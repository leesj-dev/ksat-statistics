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esj/Documents/VS Code/ksat-statistics/"/>
    </mc:Choice>
  </mc:AlternateContent>
  <xr:revisionPtr revIDLastSave="0" documentId="8_{AECDBAB9-6992-114E-9557-312E99B35005}" xr6:coauthVersionLast="47" xr6:coauthVersionMax="47" xr10:uidLastSave="{00000000-0000-0000-0000-000000000000}"/>
  <bookViews>
    <workbookView xWindow="20880" yWindow="500" windowWidth="20080" windowHeight="24000" xr2:uid="{5A8C1235-7F39-F04A-9F6F-B8FA5DDD72E5}"/>
  </bookViews>
  <sheets>
    <sheet name="Input" sheetId="1" r:id="rId1"/>
    <sheet name="Output" sheetId="2" r:id="rId2"/>
    <sheet name="Intermediate" sheetId="4" state="hidden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X52" i="1" l="1"/>
  <c r="CX51" i="1"/>
  <c r="CX50" i="1"/>
  <c r="CX49" i="1"/>
  <c r="CX48" i="1"/>
  <c r="CX47" i="1"/>
  <c r="CX46" i="1"/>
  <c r="CX45" i="1"/>
  <c r="CX44" i="1"/>
  <c r="CX43" i="1"/>
  <c r="CX42" i="1"/>
  <c r="CX41" i="1"/>
  <c r="CX40" i="1"/>
  <c r="CX39" i="1"/>
  <c r="CX38" i="1"/>
  <c r="CX37" i="1"/>
  <c r="CX36" i="1"/>
  <c r="CX35" i="1"/>
  <c r="CX34" i="1"/>
  <c r="CX33" i="1"/>
  <c r="CX32" i="1"/>
  <c r="CX31" i="1"/>
  <c r="CX30" i="1"/>
  <c r="CX29" i="1"/>
  <c r="CX28" i="1"/>
  <c r="CX27" i="1"/>
  <c r="CX26" i="1"/>
  <c r="CX25" i="1"/>
  <c r="CX24" i="1"/>
  <c r="CX23" i="1"/>
  <c r="CX22" i="1"/>
  <c r="CX21" i="1"/>
  <c r="CX20" i="1"/>
  <c r="CX19" i="1"/>
  <c r="CX18" i="1"/>
  <c r="CX17" i="1"/>
  <c r="CX16" i="1"/>
  <c r="CX15" i="1"/>
  <c r="CX14" i="1"/>
  <c r="CX13" i="1"/>
  <c r="CX12" i="1"/>
  <c r="CX11" i="1"/>
  <c r="CX10" i="1"/>
  <c r="CX9" i="1"/>
  <c r="CX8" i="1"/>
  <c r="CX7" i="1"/>
  <c r="CX6" i="1"/>
  <c r="CX5" i="1"/>
  <c r="CX4" i="1"/>
  <c r="CM52" i="1"/>
  <c r="CM51" i="1"/>
  <c r="CM50" i="1"/>
  <c r="CM49" i="1"/>
  <c r="CM48" i="1"/>
  <c r="CM47" i="1"/>
  <c r="CM46" i="1"/>
  <c r="CM45" i="1"/>
  <c r="CM44" i="1"/>
  <c r="CM43" i="1"/>
  <c r="CM42" i="1"/>
  <c r="CM41" i="1"/>
  <c r="CM40" i="1"/>
  <c r="CM39" i="1"/>
  <c r="CM38" i="1"/>
  <c r="CM37" i="1"/>
  <c r="CM36" i="1"/>
  <c r="CM35" i="1"/>
  <c r="CM34" i="1"/>
  <c r="CM33" i="1"/>
  <c r="CM32" i="1"/>
  <c r="CM31" i="1"/>
  <c r="CM30" i="1"/>
  <c r="CM29" i="1"/>
  <c r="CM28" i="1"/>
  <c r="CM27" i="1"/>
  <c r="CM26" i="1"/>
  <c r="CM25" i="1"/>
  <c r="CM24" i="1"/>
  <c r="CM23" i="1"/>
  <c r="CM22" i="1"/>
  <c r="CM21" i="1"/>
  <c r="CM20" i="1"/>
  <c r="CM19" i="1"/>
  <c r="CM18" i="1"/>
  <c r="CM17" i="1"/>
  <c r="CM16" i="1"/>
  <c r="CM15" i="1"/>
  <c r="CM14" i="1"/>
  <c r="CM13" i="1"/>
  <c r="CM12" i="1"/>
  <c r="CM11" i="1"/>
  <c r="CM10" i="1"/>
  <c r="CM9" i="1"/>
  <c r="CM8" i="1"/>
  <c r="CM7" i="1"/>
  <c r="CM6" i="1"/>
  <c r="CM5" i="1"/>
  <c r="CM4" i="1"/>
  <c r="CB52" i="1"/>
  <c r="CB51" i="1"/>
  <c r="CB50" i="1"/>
  <c r="CB49" i="1"/>
  <c r="CB48" i="1"/>
  <c r="CB47" i="1"/>
  <c r="CB46" i="1"/>
  <c r="CB45" i="1"/>
  <c r="CB44" i="1"/>
  <c r="CB43" i="1"/>
  <c r="CB42" i="1"/>
  <c r="CB41" i="1"/>
  <c r="CB40" i="1"/>
  <c r="CB39" i="1"/>
  <c r="CB38" i="1"/>
  <c r="CB37" i="1"/>
  <c r="CB36" i="1"/>
  <c r="CB35" i="1"/>
  <c r="CB34" i="1"/>
  <c r="CB33" i="1"/>
  <c r="CB32" i="1"/>
  <c r="CB31" i="1"/>
  <c r="CB30" i="1"/>
  <c r="CB29" i="1"/>
  <c r="CB28" i="1"/>
  <c r="CB27" i="1"/>
  <c r="CB26" i="1"/>
  <c r="CB25" i="1"/>
  <c r="CB24" i="1"/>
  <c r="CB23" i="1"/>
  <c r="CB22" i="1"/>
  <c r="CB21" i="1"/>
  <c r="CB20" i="1"/>
  <c r="CB19" i="1"/>
  <c r="CB18" i="1"/>
  <c r="CB17" i="1"/>
  <c r="CB16" i="1"/>
  <c r="CB15" i="1"/>
  <c r="CB14" i="1"/>
  <c r="CB13" i="1"/>
  <c r="CB12" i="1"/>
  <c r="CB11" i="1"/>
  <c r="CB10" i="1"/>
  <c r="CB9" i="1"/>
  <c r="CB8" i="1"/>
  <c r="CB7" i="1"/>
  <c r="CB6" i="1"/>
  <c r="CB5" i="1"/>
  <c r="CB4" i="1"/>
  <c r="BQ52" i="1"/>
  <c r="BQ51" i="1"/>
  <c r="BQ50" i="1"/>
  <c r="BQ49" i="1"/>
  <c r="BQ48" i="1"/>
  <c r="BQ47" i="1"/>
  <c r="BQ46" i="1"/>
  <c r="BQ45" i="1"/>
  <c r="BQ44" i="1"/>
  <c r="BQ43" i="1"/>
  <c r="BQ42" i="1"/>
  <c r="BQ41" i="1"/>
  <c r="BQ40" i="1"/>
  <c r="BQ39" i="1"/>
  <c r="BQ38" i="1"/>
  <c r="BQ37" i="1"/>
  <c r="BQ36" i="1"/>
  <c r="BQ35" i="1"/>
  <c r="BQ34" i="1"/>
  <c r="BQ33" i="1"/>
  <c r="BQ32" i="1"/>
  <c r="BQ31" i="1"/>
  <c r="BQ30" i="1"/>
  <c r="BQ29" i="1"/>
  <c r="BQ28" i="1"/>
  <c r="BQ27" i="1"/>
  <c r="BQ26" i="1"/>
  <c r="BQ25" i="1"/>
  <c r="BQ24" i="1"/>
  <c r="BQ23" i="1"/>
  <c r="BQ22" i="1"/>
  <c r="BQ21" i="1"/>
  <c r="BQ20" i="1"/>
  <c r="BQ19" i="1"/>
  <c r="BQ18" i="1"/>
  <c r="BQ17" i="1"/>
  <c r="BQ16" i="1"/>
  <c r="BQ15" i="1"/>
  <c r="BQ14" i="1"/>
  <c r="BQ13" i="1"/>
  <c r="BQ12" i="1"/>
  <c r="BQ11" i="1"/>
  <c r="BQ10" i="1"/>
  <c r="BQ9" i="1"/>
  <c r="BQ8" i="1"/>
  <c r="BQ7" i="1"/>
  <c r="BQ6" i="1"/>
  <c r="BQ5" i="1"/>
  <c r="BQ4" i="1"/>
  <c r="BF52" i="1"/>
  <c r="BF51" i="1"/>
  <c r="BF50" i="1"/>
  <c r="BF49" i="1"/>
  <c r="BF48" i="1"/>
  <c r="BF47" i="1"/>
  <c r="BF46" i="1"/>
  <c r="BF45" i="1"/>
  <c r="BF44" i="1"/>
  <c r="BF43" i="1"/>
  <c r="BF42" i="1"/>
  <c r="BF41" i="1"/>
  <c r="BF40" i="1"/>
  <c r="BF39" i="1"/>
  <c r="BF38" i="1"/>
  <c r="BF37" i="1"/>
  <c r="BF36" i="1"/>
  <c r="BF35" i="1"/>
  <c r="BF34" i="1"/>
  <c r="BF33" i="1"/>
  <c r="BF32" i="1"/>
  <c r="BF31" i="1"/>
  <c r="BF30" i="1"/>
  <c r="BF29" i="1"/>
  <c r="BF28" i="1"/>
  <c r="BF27" i="1"/>
  <c r="BF26" i="1"/>
  <c r="BF25" i="1"/>
  <c r="BF24" i="1"/>
  <c r="BF23" i="1"/>
  <c r="BF22" i="1"/>
  <c r="BF21" i="1"/>
  <c r="BF20" i="1"/>
  <c r="BF19" i="1"/>
  <c r="BF18" i="1"/>
  <c r="BF17" i="1"/>
  <c r="BF16" i="1"/>
  <c r="BF15" i="1"/>
  <c r="BF14" i="1"/>
  <c r="BF13" i="1"/>
  <c r="BF12" i="1"/>
  <c r="BF11" i="1"/>
  <c r="BF10" i="1"/>
  <c r="BF9" i="1"/>
  <c r="BF8" i="1"/>
  <c r="BF7" i="1"/>
  <c r="BF6" i="1"/>
  <c r="BF5" i="1"/>
  <c r="BF4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J52" i="1"/>
  <c r="AJ51" i="1"/>
  <c r="AJ50" i="1"/>
  <c r="AJ49" i="1"/>
  <c r="AJ48" i="1"/>
  <c r="AJ47" i="1"/>
  <c r="AJ46" i="1"/>
  <c r="AJ45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AJ8" i="1"/>
  <c r="AJ7" i="1"/>
  <c r="AJ6" i="1"/>
  <c r="AJ5" i="1"/>
  <c r="AJ4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BF162" i="1"/>
  <c r="AU162" i="1"/>
  <c r="AJ162" i="1"/>
  <c r="BF161" i="1"/>
  <c r="AU161" i="1"/>
  <c r="AJ161" i="1"/>
  <c r="BF160" i="1"/>
  <c r="AU160" i="1"/>
  <c r="AJ160" i="1"/>
  <c r="BF159" i="1"/>
  <c r="AU159" i="1"/>
  <c r="AJ159" i="1"/>
  <c r="BF158" i="1"/>
  <c r="AU158" i="1"/>
  <c r="AJ158" i="1"/>
  <c r="BF157" i="1"/>
  <c r="AU157" i="1"/>
  <c r="AJ157" i="1"/>
  <c r="BF156" i="1"/>
  <c r="AU156" i="1"/>
  <c r="AJ156" i="1"/>
  <c r="BF155" i="1"/>
  <c r="AU155" i="1"/>
  <c r="AJ155" i="1"/>
  <c r="BF154" i="1"/>
  <c r="AU154" i="1"/>
  <c r="AJ154" i="1"/>
  <c r="BF153" i="1"/>
  <c r="AU153" i="1"/>
  <c r="AJ153" i="1"/>
  <c r="BF152" i="1"/>
  <c r="AU152" i="1"/>
  <c r="AJ152" i="1"/>
  <c r="BF151" i="1"/>
  <c r="AU151" i="1"/>
  <c r="AJ151" i="1"/>
  <c r="BF150" i="1"/>
  <c r="AU150" i="1"/>
  <c r="AJ150" i="1"/>
  <c r="BF149" i="1"/>
  <c r="AU149" i="1"/>
  <c r="AJ149" i="1"/>
  <c r="BF148" i="1"/>
  <c r="AU148" i="1"/>
  <c r="AJ148" i="1"/>
  <c r="BF147" i="1"/>
  <c r="AU147" i="1"/>
  <c r="AJ147" i="1"/>
  <c r="BF146" i="1"/>
  <c r="AU146" i="1"/>
  <c r="AJ146" i="1"/>
  <c r="BF145" i="1"/>
  <c r="AU145" i="1"/>
  <c r="AJ145" i="1"/>
  <c r="BF144" i="1"/>
  <c r="AU144" i="1"/>
  <c r="AJ144" i="1"/>
  <c r="BF143" i="1"/>
  <c r="AU143" i="1"/>
  <c r="AJ143" i="1"/>
  <c r="BF142" i="1"/>
  <c r="AU142" i="1"/>
  <c r="AJ142" i="1"/>
  <c r="BF141" i="1"/>
  <c r="AU141" i="1"/>
  <c r="AJ141" i="1"/>
  <c r="BF140" i="1"/>
  <c r="AU140" i="1"/>
  <c r="AJ140" i="1"/>
  <c r="BF139" i="1"/>
  <c r="AU139" i="1"/>
  <c r="AJ139" i="1"/>
  <c r="BF138" i="1"/>
  <c r="AU138" i="1"/>
  <c r="AJ138" i="1"/>
  <c r="BF137" i="1"/>
  <c r="AU137" i="1"/>
  <c r="AJ137" i="1"/>
  <c r="BF136" i="1"/>
  <c r="AU136" i="1"/>
  <c r="AJ136" i="1"/>
  <c r="BF135" i="1"/>
  <c r="AU135" i="1"/>
  <c r="AJ135" i="1"/>
  <c r="BF134" i="1"/>
  <c r="AU134" i="1"/>
  <c r="AJ134" i="1"/>
  <c r="BF133" i="1"/>
  <c r="AU133" i="1"/>
  <c r="AJ133" i="1"/>
  <c r="BF132" i="1"/>
  <c r="AU132" i="1"/>
  <c r="AJ132" i="1"/>
  <c r="BF131" i="1"/>
  <c r="AU131" i="1"/>
  <c r="AJ131" i="1"/>
  <c r="BF130" i="1"/>
  <c r="AU130" i="1"/>
  <c r="AJ130" i="1"/>
  <c r="BF129" i="1"/>
  <c r="AU129" i="1"/>
  <c r="AJ129" i="1"/>
  <c r="BF128" i="1"/>
  <c r="AU128" i="1"/>
  <c r="AJ128" i="1"/>
  <c r="BF127" i="1"/>
  <c r="AU127" i="1"/>
  <c r="AJ127" i="1"/>
  <c r="BF126" i="1"/>
  <c r="AU126" i="1"/>
  <c r="AJ126" i="1"/>
  <c r="BF125" i="1"/>
  <c r="AU125" i="1"/>
  <c r="AJ125" i="1"/>
  <c r="BF124" i="1"/>
  <c r="AU124" i="1"/>
  <c r="AJ124" i="1"/>
  <c r="BF123" i="1"/>
  <c r="AU123" i="1"/>
  <c r="AJ123" i="1"/>
  <c r="BF122" i="1"/>
  <c r="AU122" i="1"/>
  <c r="AJ122" i="1"/>
  <c r="BF121" i="1"/>
  <c r="AU121" i="1"/>
  <c r="AJ121" i="1"/>
  <c r="BF120" i="1"/>
  <c r="AU120" i="1"/>
  <c r="AJ120" i="1"/>
  <c r="BF119" i="1"/>
  <c r="AU119" i="1"/>
  <c r="AJ119" i="1"/>
  <c r="BF118" i="1"/>
  <c r="AU118" i="1"/>
  <c r="AJ118" i="1"/>
  <c r="BF117" i="1"/>
  <c r="AU117" i="1"/>
  <c r="AJ117" i="1"/>
  <c r="BF116" i="1"/>
  <c r="AU116" i="1"/>
  <c r="AJ116" i="1"/>
  <c r="BF115" i="1"/>
  <c r="AU115" i="1"/>
  <c r="AJ115" i="1"/>
  <c r="BF114" i="1"/>
  <c r="AU114" i="1"/>
  <c r="AJ114" i="1"/>
  <c r="CX107" i="1"/>
  <c r="CM107" i="1"/>
  <c r="CB107" i="1"/>
  <c r="BQ107" i="1"/>
  <c r="BF107" i="1"/>
  <c r="AU107" i="1"/>
  <c r="AJ107" i="1"/>
  <c r="CX106" i="1"/>
  <c r="CM106" i="1"/>
  <c r="CB106" i="1"/>
  <c r="BQ106" i="1"/>
  <c r="BF106" i="1"/>
  <c r="AU106" i="1"/>
  <c r="AJ106" i="1"/>
  <c r="CX105" i="1"/>
  <c r="CM105" i="1"/>
  <c r="CB105" i="1"/>
  <c r="BQ105" i="1"/>
  <c r="BF105" i="1"/>
  <c r="AU105" i="1"/>
  <c r="AJ105" i="1"/>
  <c r="CX104" i="1"/>
  <c r="CM104" i="1"/>
  <c r="CB104" i="1"/>
  <c r="BQ104" i="1"/>
  <c r="BF104" i="1"/>
  <c r="AU104" i="1"/>
  <c r="AJ104" i="1"/>
  <c r="CX103" i="1"/>
  <c r="CM103" i="1"/>
  <c r="CB103" i="1"/>
  <c r="BQ103" i="1"/>
  <c r="BF103" i="1"/>
  <c r="AU103" i="1"/>
  <c r="AJ103" i="1"/>
  <c r="CX102" i="1"/>
  <c r="CM102" i="1"/>
  <c r="CB102" i="1"/>
  <c r="BQ102" i="1"/>
  <c r="BF102" i="1"/>
  <c r="AU102" i="1"/>
  <c r="AJ102" i="1"/>
  <c r="CX101" i="1"/>
  <c r="CM101" i="1"/>
  <c r="CB101" i="1"/>
  <c r="BQ101" i="1"/>
  <c r="BF101" i="1"/>
  <c r="AU101" i="1"/>
  <c r="AJ101" i="1"/>
  <c r="CX100" i="1"/>
  <c r="CM100" i="1"/>
  <c r="CB100" i="1"/>
  <c r="BQ100" i="1"/>
  <c r="BF100" i="1"/>
  <c r="AU100" i="1"/>
  <c r="AJ100" i="1"/>
  <c r="CX99" i="1"/>
  <c r="CM99" i="1"/>
  <c r="CB99" i="1"/>
  <c r="BQ99" i="1"/>
  <c r="BF99" i="1"/>
  <c r="AU99" i="1"/>
  <c r="AJ99" i="1"/>
  <c r="CX98" i="1"/>
  <c r="CM98" i="1"/>
  <c r="CB98" i="1"/>
  <c r="BQ98" i="1"/>
  <c r="BF98" i="1"/>
  <c r="AU98" i="1"/>
  <c r="AJ98" i="1"/>
  <c r="CX97" i="1"/>
  <c r="CM97" i="1"/>
  <c r="CB97" i="1"/>
  <c r="BQ97" i="1"/>
  <c r="BF97" i="1"/>
  <c r="AU97" i="1"/>
  <c r="AJ97" i="1"/>
  <c r="CX96" i="1"/>
  <c r="CM96" i="1"/>
  <c r="CB96" i="1"/>
  <c r="BQ96" i="1"/>
  <c r="BF96" i="1"/>
  <c r="AU96" i="1"/>
  <c r="AJ96" i="1"/>
  <c r="CX95" i="1"/>
  <c r="CM95" i="1"/>
  <c r="CB95" i="1"/>
  <c r="BQ95" i="1"/>
  <c r="BF95" i="1"/>
  <c r="AU95" i="1"/>
  <c r="AJ95" i="1"/>
  <c r="CX94" i="1"/>
  <c r="CM94" i="1"/>
  <c r="CB94" i="1"/>
  <c r="BQ94" i="1"/>
  <c r="BF94" i="1"/>
  <c r="AU94" i="1"/>
  <c r="AJ94" i="1"/>
  <c r="CX93" i="1"/>
  <c r="CM93" i="1"/>
  <c r="CB93" i="1"/>
  <c r="BQ93" i="1"/>
  <c r="BF93" i="1"/>
  <c r="AU93" i="1"/>
  <c r="AJ93" i="1"/>
  <c r="CX92" i="1"/>
  <c r="CM92" i="1"/>
  <c r="CB92" i="1"/>
  <c r="BQ92" i="1"/>
  <c r="BF92" i="1"/>
  <c r="AU92" i="1"/>
  <c r="AJ92" i="1"/>
  <c r="CX91" i="1"/>
  <c r="CM91" i="1"/>
  <c r="CB91" i="1"/>
  <c r="BQ91" i="1"/>
  <c r="BF91" i="1"/>
  <c r="AU91" i="1"/>
  <c r="AJ91" i="1"/>
  <c r="CX90" i="1"/>
  <c r="CM90" i="1"/>
  <c r="CB90" i="1"/>
  <c r="BQ90" i="1"/>
  <c r="BF90" i="1"/>
  <c r="AU90" i="1"/>
  <c r="AJ90" i="1"/>
  <c r="CX89" i="1"/>
  <c r="CM89" i="1"/>
  <c r="CB89" i="1"/>
  <c r="BQ89" i="1"/>
  <c r="BF89" i="1"/>
  <c r="AU89" i="1"/>
  <c r="AJ89" i="1"/>
  <c r="CX88" i="1"/>
  <c r="CM88" i="1"/>
  <c r="CB88" i="1"/>
  <c r="BQ88" i="1"/>
  <c r="BF88" i="1"/>
  <c r="AU88" i="1"/>
  <c r="AJ88" i="1"/>
  <c r="CX87" i="1"/>
  <c r="CM87" i="1"/>
  <c r="CB87" i="1"/>
  <c r="BQ87" i="1"/>
  <c r="BF87" i="1"/>
  <c r="AU87" i="1"/>
  <c r="AJ87" i="1"/>
  <c r="CX86" i="1"/>
  <c r="CM86" i="1"/>
  <c r="CB86" i="1"/>
  <c r="BQ86" i="1"/>
  <c r="BF86" i="1"/>
  <c r="AU86" i="1"/>
  <c r="AJ86" i="1"/>
  <c r="CX85" i="1"/>
  <c r="CM85" i="1"/>
  <c r="CB85" i="1"/>
  <c r="BQ85" i="1"/>
  <c r="BF85" i="1"/>
  <c r="AU85" i="1"/>
  <c r="AJ85" i="1"/>
  <c r="CX84" i="1"/>
  <c r="CM84" i="1"/>
  <c r="CB84" i="1"/>
  <c r="BQ84" i="1"/>
  <c r="BF84" i="1"/>
  <c r="AU84" i="1"/>
  <c r="AJ84" i="1"/>
  <c r="CX83" i="1"/>
  <c r="CM83" i="1"/>
  <c r="CB83" i="1"/>
  <c r="BQ83" i="1"/>
  <c r="BF83" i="1"/>
  <c r="AU83" i="1"/>
  <c r="AJ83" i="1"/>
  <c r="CX82" i="1"/>
  <c r="CM82" i="1"/>
  <c r="CB82" i="1"/>
  <c r="BQ82" i="1"/>
  <c r="BF82" i="1"/>
  <c r="AU82" i="1"/>
  <c r="AJ82" i="1"/>
  <c r="CX81" i="1"/>
  <c r="CM81" i="1"/>
  <c r="CB81" i="1"/>
  <c r="BQ81" i="1"/>
  <c r="BF81" i="1"/>
  <c r="AU81" i="1"/>
  <c r="AJ81" i="1"/>
  <c r="CX80" i="1"/>
  <c r="CM80" i="1"/>
  <c r="CB80" i="1"/>
  <c r="BQ80" i="1"/>
  <c r="BF80" i="1"/>
  <c r="AU80" i="1"/>
  <c r="AJ80" i="1"/>
  <c r="CX79" i="1"/>
  <c r="CM79" i="1"/>
  <c r="CB79" i="1"/>
  <c r="BQ79" i="1"/>
  <c r="BF79" i="1"/>
  <c r="AU79" i="1"/>
  <c r="AJ79" i="1"/>
  <c r="CX78" i="1"/>
  <c r="CM78" i="1"/>
  <c r="CB78" i="1"/>
  <c r="BQ78" i="1"/>
  <c r="BF78" i="1"/>
  <c r="AU78" i="1"/>
  <c r="AJ78" i="1"/>
  <c r="CX77" i="1"/>
  <c r="CM77" i="1"/>
  <c r="CB77" i="1"/>
  <c r="BQ77" i="1"/>
  <c r="BF77" i="1"/>
  <c r="AU77" i="1"/>
  <c r="AJ77" i="1"/>
  <c r="CX76" i="1"/>
  <c r="CM76" i="1"/>
  <c r="CB76" i="1"/>
  <c r="BQ76" i="1"/>
  <c r="BF76" i="1"/>
  <c r="AU76" i="1"/>
  <c r="AJ76" i="1"/>
  <c r="CX75" i="1"/>
  <c r="CM75" i="1"/>
  <c r="CB75" i="1"/>
  <c r="BQ75" i="1"/>
  <c r="BF75" i="1"/>
  <c r="AU75" i="1"/>
  <c r="AJ75" i="1"/>
  <c r="CX74" i="1"/>
  <c r="CM74" i="1"/>
  <c r="CB74" i="1"/>
  <c r="BQ74" i="1"/>
  <c r="BF74" i="1"/>
  <c r="AU74" i="1"/>
  <c r="AJ74" i="1"/>
  <c r="CX73" i="1"/>
  <c r="CM73" i="1"/>
  <c r="CB73" i="1"/>
  <c r="BQ73" i="1"/>
  <c r="BF73" i="1"/>
  <c r="AU73" i="1"/>
  <c r="AJ73" i="1"/>
  <c r="CX72" i="1"/>
  <c r="CM72" i="1"/>
  <c r="CB72" i="1"/>
  <c r="BQ72" i="1"/>
  <c r="BF72" i="1"/>
  <c r="AU72" i="1"/>
  <c r="AJ72" i="1"/>
  <c r="CX71" i="1"/>
  <c r="CM71" i="1"/>
  <c r="CB71" i="1"/>
  <c r="BQ71" i="1"/>
  <c r="BF71" i="1"/>
  <c r="AU71" i="1"/>
  <c r="AJ71" i="1"/>
  <c r="CX70" i="1"/>
  <c r="CM70" i="1"/>
  <c r="CB70" i="1"/>
  <c r="BQ70" i="1"/>
  <c r="BF70" i="1"/>
  <c r="AU70" i="1"/>
  <c r="AJ70" i="1"/>
  <c r="CX69" i="1"/>
  <c r="CM69" i="1"/>
  <c r="CB69" i="1"/>
  <c r="BQ69" i="1"/>
  <c r="BF69" i="1"/>
  <c r="AU69" i="1"/>
  <c r="AJ69" i="1"/>
  <c r="CX68" i="1"/>
  <c r="CM68" i="1"/>
  <c r="CB68" i="1"/>
  <c r="BQ68" i="1"/>
  <c r="BF68" i="1"/>
  <c r="AU68" i="1"/>
  <c r="AJ68" i="1"/>
  <c r="CX67" i="1"/>
  <c r="CM67" i="1"/>
  <c r="CB67" i="1"/>
  <c r="BQ67" i="1"/>
  <c r="BF67" i="1"/>
  <c r="AU67" i="1"/>
  <c r="AJ67" i="1"/>
  <c r="CX66" i="1"/>
  <c r="CM66" i="1"/>
  <c r="CB66" i="1"/>
  <c r="BQ66" i="1"/>
  <c r="BF66" i="1"/>
  <c r="AU66" i="1"/>
  <c r="AJ66" i="1"/>
  <c r="CX65" i="1"/>
  <c r="CM65" i="1"/>
  <c r="CB65" i="1"/>
  <c r="BQ65" i="1"/>
  <c r="BF65" i="1"/>
  <c r="AU65" i="1"/>
  <c r="AJ65" i="1"/>
  <c r="CX64" i="1"/>
  <c r="CM64" i="1"/>
  <c r="CB64" i="1"/>
  <c r="BQ64" i="1"/>
  <c r="BF64" i="1"/>
  <c r="AU64" i="1"/>
  <c r="AJ64" i="1"/>
  <c r="CX63" i="1"/>
  <c r="CM63" i="1"/>
  <c r="CB63" i="1"/>
  <c r="BQ63" i="1"/>
  <c r="BF63" i="1"/>
  <c r="AU63" i="1"/>
  <c r="AJ63" i="1"/>
  <c r="CX62" i="1"/>
  <c r="CM62" i="1"/>
  <c r="CB62" i="1"/>
  <c r="BQ62" i="1"/>
  <c r="BF62" i="1"/>
  <c r="AU62" i="1"/>
  <c r="AJ62" i="1"/>
  <c r="CX61" i="1"/>
  <c r="CM61" i="1"/>
  <c r="CB61" i="1"/>
  <c r="BQ61" i="1"/>
  <c r="BF61" i="1"/>
  <c r="AU61" i="1"/>
  <c r="AJ61" i="1"/>
  <c r="CX60" i="1"/>
  <c r="CM60" i="1"/>
  <c r="CB60" i="1"/>
  <c r="BQ60" i="1"/>
  <c r="BF60" i="1"/>
  <c r="AU60" i="1"/>
  <c r="AJ60" i="1"/>
  <c r="CX59" i="1"/>
  <c r="CM59" i="1"/>
  <c r="CB59" i="1"/>
  <c r="BQ59" i="1"/>
  <c r="BF59" i="1"/>
  <c r="AU59" i="1"/>
  <c r="AJ59" i="1"/>
  <c r="BJ162" i="4"/>
  <c r="BI162" i="4"/>
  <c r="BH162" i="4"/>
  <c r="BF162" i="4"/>
  <c r="BE162" i="4"/>
  <c r="AY162" i="4"/>
  <c r="AX162" i="4"/>
  <c r="AW162" i="4"/>
  <c r="AU162" i="4"/>
  <c r="AT162" i="4"/>
  <c r="AN162" i="4"/>
  <c r="AM162" i="4"/>
  <c r="AL162" i="4"/>
  <c r="AJ162" i="4"/>
  <c r="AI162" i="4"/>
  <c r="BJ161" i="4"/>
  <c r="BI161" i="4"/>
  <c r="BH161" i="4"/>
  <c r="BF161" i="4"/>
  <c r="BE161" i="4"/>
  <c r="AY161" i="4"/>
  <c r="AX161" i="4"/>
  <c r="AW161" i="4"/>
  <c r="AU161" i="4"/>
  <c r="AT161" i="4"/>
  <c r="AN161" i="4"/>
  <c r="AM161" i="4"/>
  <c r="AL161" i="4"/>
  <c r="AJ161" i="4"/>
  <c r="AI161" i="4"/>
  <c r="BJ160" i="4"/>
  <c r="BI160" i="4"/>
  <c r="BH160" i="4"/>
  <c r="BF160" i="4"/>
  <c r="BE160" i="4"/>
  <c r="AX160" i="4"/>
  <c r="AY160" i="4" s="1"/>
  <c r="AN160" i="4"/>
  <c r="AM160" i="4"/>
  <c r="AL160" i="4"/>
  <c r="AJ160" i="4"/>
  <c r="AI160" i="4"/>
  <c r="BJ159" i="4"/>
  <c r="BI159" i="4"/>
  <c r="BH159" i="4"/>
  <c r="BF159" i="4"/>
  <c r="BE159" i="4"/>
  <c r="AY159" i="4"/>
  <c r="AT160" i="4" s="1"/>
  <c r="AX159" i="4"/>
  <c r="AU160" i="4" s="1"/>
  <c r="AN159" i="4"/>
  <c r="AM159" i="4"/>
  <c r="AL159" i="4"/>
  <c r="AJ159" i="4"/>
  <c r="AI159" i="4"/>
  <c r="BJ158" i="4"/>
  <c r="BI158" i="4"/>
  <c r="BH158" i="4"/>
  <c r="BF158" i="4"/>
  <c r="BE158" i="4"/>
  <c r="AX158" i="4"/>
  <c r="AU159" i="4" s="1"/>
  <c r="AU158" i="4"/>
  <c r="AM158" i="4"/>
  <c r="AN158" i="4" s="1"/>
  <c r="BJ157" i="4"/>
  <c r="BI157" i="4"/>
  <c r="BH157" i="4"/>
  <c r="BF157" i="4"/>
  <c r="BE157" i="4"/>
  <c r="AX157" i="4"/>
  <c r="AY157" i="4" s="1"/>
  <c r="AT158" i="4" s="1"/>
  <c r="AN157" i="4"/>
  <c r="AI158" i="4" s="1"/>
  <c r="AM157" i="4"/>
  <c r="BJ156" i="4"/>
  <c r="BI156" i="4"/>
  <c r="BH156" i="4"/>
  <c r="BF156" i="4"/>
  <c r="BE156" i="4"/>
  <c r="AX156" i="4"/>
  <c r="AY156" i="4" s="1"/>
  <c r="AT157" i="4" s="1"/>
  <c r="AM156" i="4"/>
  <c r="AJ157" i="4" s="1"/>
  <c r="AL156" i="4"/>
  <c r="AJ156" i="4"/>
  <c r="BI155" i="4"/>
  <c r="BJ155" i="4" s="1"/>
  <c r="AX155" i="4"/>
  <c r="AU156" i="4" s="1"/>
  <c r="AM155" i="4"/>
  <c r="AN155" i="4" s="1"/>
  <c r="AI156" i="4" s="1"/>
  <c r="BI154" i="4"/>
  <c r="AX154" i="4"/>
  <c r="AU155" i="4" s="1"/>
  <c r="AU154" i="4"/>
  <c r="AT154" i="4"/>
  <c r="AM154" i="4"/>
  <c r="BI153" i="4"/>
  <c r="BH153" i="4"/>
  <c r="AX153" i="4"/>
  <c r="AY153" i="4" s="1"/>
  <c r="AN153" i="4"/>
  <c r="AI154" i="4" s="1"/>
  <c r="AM153" i="4"/>
  <c r="BI152" i="4"/>
  <c r="BE152" i="4"/>
  <c r="AX152" i="4"/>
  <c r="AY152" i="4" s="1"/>
  <c r="AT153" i="4" s="1"/>
  <c r="AM152" i="4"/>
  <c r="AJ153" i="4" s="1"/>
  <c r="AL152" i="4"/>
  <c r="AJ152" i="4"/>
  <c r="BI151" i="4"/>
  <c r="BJ151" i="4" s="1"/>
  <c r="AX151" i="4"/>
  <c r="AU152" i="4" s="1"/>
  <c r="AM151" i="4"/>
  <c r="AN151" i="4" s="1"/>
  <c r="AI152" i="4" s="1"/>
  <c r="BI150" i="4"/>
  <c r="AX150" i="4"/>
  <c r="AU151" i="4" s="1"/>
  <c r="AU150" i="4"/>
  <c r="AM150" i="4"/>
  <c r="AC150" i="4"/>
  <c r="AB150" i="4"/>
  <c r="AA150" i="4"/>
  <c r="Y150" i="4"/>
  <c r="X150" i="4"/>
  <c r="U150" i="4"/>
  <c r="T150" i="4"/>
  <c r="S150" i="4"/>
  <c r="Q150" i="4"/>
  <c r="P150" i="4"/>
  <c r="BI149" i="4"/>
  <c r="BF150" i="4" s="1"/>
  <c r="BF149" i="4"/>
  <c r="BE149" i="4"/>
  <c r="AX149" i="4"/>
  <c r="AM149" i="4"/>
  <c r="AL149" i="4"/>
  <c r="AC149" i="4"/>
  <c r="AB149" i="4"/>
  <c r="AA149" i="4"/>
  <c r="Y149" i="4"/>
  <c r="X149" i="4"/>
  <c r="U149" i="4"/>
  <c r="T149" i="4"/>
  <c r="S149" i="4"/>
  <c r="Q149" i="4"/>
  <c r="P149" i="4"/>
  <c r="BI148" i="4"/>
  <c r="BJ148" i="4" s="1"/>
  <c r="AX148" i="4"/>
  <c r="AW148" i="4"/>
  <c r="AM148" i="4"/>
  <c r="AJ149" i="4" s="1"/>
  <c r="AC148" i="4"/>
  <c r="AB148" i="4"/>
  <c r="AA148" i="4"/>
  <c r="Y148" i="4"/>
  <c r="X148" i="4"/>
  <c r="U148" i="4"/>
  <c r="T148" i="4"/>
  <c r="S148" i="4"/>
  <c r="Q148" i="4"/>
  <c r="P148" i="4"/>
  <c r="BI147" i="4"/>
  <c r="BH147" i="4"/>
  <c r="AX147" i="4"/>
  <c r="AU148" i="4" s="1"/>
  <c r="AN147" i="4"/>
  <c r="AI148" i="4" s="1"/>
  <c r="AM147" i="4"/>
  <c r="AC147" i="4"/>
  <c r="AB147" i="4"/>
  <c r="AA147" i="4"/>
  <c r="Y147" i="4"/>
  <c r="X147" i="4"/>
  <c r="U147" i="4"/>
  <c r="T147" i="4"/>
  <c r="S147" i="4"/>
  <c r="Q147" i="4"/>
  <c r="P147" i="4"/>
  <c r="BI146" i="4"/>
  <c r="BF147" i="4" s="1"/>
  <c r="AY146" i="4"/>
  <c r="AT147" i="4" s="1"/>
  <c r="AX146" i="4"/>
  <c r="AM146" i="4"/>
  <c r="AJ147" i="4" s="1"/>
  <c r="AC146" i="4"/>
  <c r="AB146" i="4"/>
  <c r="AA146" i="4"/>
  <c r="Y146" i="4"/>
  <c r="X146" i="4"/>
  <c r="U146" i="4"/>
  <c r="T146" i="4"/>
  <c r="S146" i="4"/>
  <c r="Q146" i="4"/>
  <c r="P146" i="4"/>
  <c r="BJ145" i="4"/>
  <c r="BE146" i="4" s="1"/>
  <c r="BI145" i="4"/>
  <c r="AX145" i="4"/>
  <c r="AU146" i="4" s="1"/>
  <c r="AM145" i="4"/>
  <c r="AC145" i="4"/>
  <c r="AB145" i="4"/>
  <c r="AA145" i="4"/>
  <c r="Y145" i="4"/>
  <c r="X145" i="4"/>
  <c r="U145" i="4"/>
  <c r="T145" i="4"/>
  <c r="S145" i="4"/>
  <c r="Q145" i="4"/>
  <c r="P145" i="4"/>
  <c r="BI144" i="4"/>
  <c r="BF145" i="4" s="1"/>
  <c r="AX144" i="4"/>
  <c r="AM144" i="4"/>
  <c r="AJ145" i="4" s="1"/>
  <c r="AL144" i="4"/>
  <c r="AJ144" i="4"/>
  <c r="AC144" i="4"/>
  <c r="AB144" i="4"/>
  <c r="AA144" i="4"/>
  <c r="Y144" i="4"/>
  <c r="X144" i="4"/>
  <c r="U144" i="4"/>
  <c r="T144" i="4"/>
  <c r="S144" i="4"/>
  <c r="Q144" i="4"/>
  <c r="P144" i="4"/>
  <c r="BI143" i="4"/>
  <c r="BJ143" i="4" s="1"/>
  <c r="BE144" i="4" s="1"/>
  <c r="AX143" i="4"/>
  <c r="AU144" i="4" s="1"/>
  <c r="AW143" i="4"/>
  <c r="AU143" i="4"/>
  <c r="AM143" i="4"/>
  <c r="AN143" i="4" s="1"/>
  <c r="AI144" i="4" s="1"/>
  <c r="AC143" i="4"/>
  <c r="AB143" i="4"/>
  <c r="AA143" i="4"/>
  <c r="Y143" i="4"/>
  <c r="X143" i="4"/>
  <c r="U143" i="4"/>
  <c r="T143" i="4"/>
  <c r="S143" i="4"/>
  <c r="Q143" i="4"/>
  <c r="P143" i="4"/>
  <c r="BI142" i="4"/>
  <c r="BF143" i="4" s="1"/>
  <c r="BH142" i="4"/>
  <c r="BF142" i="4"/>
  <c r="AX142" i="4"/>
  <c r="AY142" i="4" s="1"/>
  <c r="AT143" i="4" s="1"/>
  <c r="AM142" i="4"/>
  <c r="AJ143" i="4" s="1"/>
  <c r="AC142" i="4"/>
  <c r="AB142" i="4"/>
  <c r="AA142" i="4"/>
  <c r="Y142" i="4"/>
  <c r="X142" i="4"/>
  <c r="U142" i="4"/>
  <c r="T142" i="4"/>
  <c r="S142" i="4"/>
  <c r="Q142" i="4"/>
  <c r="P142" i="4"/>
  <c r="BI141" i="4"/>
  <c r="BJ141" i="4" s="1"/>
  <c r="BE142" i="4" s="1"/>
  <c r="AX141" i="4"/>
  <c r="AU142" i="4" s="1"/>
  <c r="AM141" i="4"/>
  <c r="AJ142" i="4" s="1"/>
  <c r="AC141" i="4"/>
  <c r="AB141" i="4"/>
  <c r="AA141" i="4"/>
  <c r="Y141" i="4"/>
  <c r="X141" i="4"/>
  <c r="U141" i="4"/>
  <c r="T141" i="4"/>
  <c r="S141" i="4"/>
  <c r="Q141" i="4"/>
  <c r="P141" i="4"/>
  <c r="BJ140" i="4"/>
  <c r="BE141" i="4" s="1"/>
  <c r="BI140" i="4"/>
  <c r="BF141" i="4" s="1"/>
  <c r="AX140" i="4"/>
  <c r="AU141" i="4" s="1"/>
  <c r="AM140" i="4"/>
  <c r="AC140" i="4"/>
  <c r="AB140" i="4"/>
  <c r="AA140" i="4"/>
  <c r="Y140" i="4"/>
  <c r="X140" i="4"/>
  <c r="U140" i="4"/>
  <c r="T140" i="4"/>
  <c r="S140" i="4"/>
  <c r="Q140" i="4"/>
  <c r="P140" i="4"/>
  <c r="BI139" i="4"/>
  <c r="AX139" i="4"/>
  <c r="AM139" i="4"/>
  <c r="AJ140" i="4" s="1"/>
  <c r="AJ139" i="4"/>
  <c r="AC139" i="4"/>
  <c r="AB139" i="4"/>
  <c r="AA139" i="4"/>
  <c r="Y139" i="4"/>
  <c r="X139" i="4"/>
  <c r="U139" i="4"/>
  <c r="T139" i="4"/>
  <c r="S139" i="4"/>
  <c r="Q139" i="4"/>
  <c r="P139" i="4"/>
  <c r="BI138" i="4"/>
  <c r="AX138" i="4"/>
  <c r="AU139" i="4" s="1"/>
  <c r="AU138" i="4"/>
  <c r="AM138" i="4"/>
  <c r="AC138" i="4"/>
  <c r="AB138" i="4"/>
  <c r="AA138" i="4"/>
  <c r="Y138" i="4"/>
  <c r="X138" i="4"/>
  <c r="U138" i="4"/>
  <c r="T138" i="4"/>
  <c r="S138" i="4"/>
  <c r="Q138" i="4"/>
  <c r="P138" i="4"/>
  <c r="BI137" i="4"/>
  <c r="BF138" i="4" s="1"/>
  <c r="BF137" i="4"/>
  <c r="BE137" i="4"/>
  <c r="AX137" i="4"/>
  <c r="AM137" i="4"/>
  <c r="AL137" i="4"/>
  <c r="AC137" i="4"/>
  <c r="AB137" i="4"/>
  <c r="AA137" i="4"/>
  <c r="Y137" i="4"/>
  <c r="X137" i="4"/>
  <c r="U137" i="4"/>
  <c r="T137" i="4"/>
  <c r="S137" i="4"/>
  <c r="Q137" i="4"/>
  <c r="P137" i="4"/>
  <c r="BI136" i="4"/>
  <c r="BJ136" i="4" s="1"/>
  <c r="AX136" i="4"/>
  <c r="AW136" i="4"/>
  <c r="AM136" i="4"/>
  <c r="AC136" i="4"/>
  <c r="AB136" i="4"/>
  <c r="AA136" i="4"/>
  <c r="Y136" i="4"/>
  <c r="X136" i="4"/>
  <c r="U136" i="4"/>
  <c r="T136" i="4"/>
  <c r="S136" i="4"/>
  <c r="Q136" i="4"/>
  <c r="P136" i="4"/>
  <c r="BI135" i="4"/>
  <c r="BH135" i="4"/>
  <c r="AX135" i="4"/>
  <c r="AY135" i="4" s="1"/>
  <c r="AT136" i="4" s="1"/>
  <c r="AN135" i="4"/>
  <c r="AI136" i="4" s="1"/>
  <c r="AM135" i="4"/>
  <c r="AC135" i="4"/>
  <c r="AB135" i="4"/>
  <c r="AA135" i="4"/>
  <c r="Y135" i="4"/>
  <c r="X135" i="4"/>
  <c r="U135" i="4"/>
  <c r="T135" i="4"/>
  <c r="S135" i="4"/>
  <c r="Q135" i="4"/>
  <c r="P135" i="4"/>
  <c r="BI134" i="4"/>
  <c r="BF135" i="4" s="1"/>
  <c r="AY134" i="4"/>
  <c r="AT135" i="4" s="1"/>
  <c r="AX134" i="4"/>
  <c r="AM134" i="4"/>
  <c r="AJ135" i="4" s="1"/>
  <c r="AC134" i="4"/>
  <c r="AB134" i="4"/>
  <c r="AA134" i="4"/>
  <c r="Y134" i="4"/>
  <c r="X134" i="4"/>
  <c r="U134" i="4"/>
  <c r="T134" i="4"/>
  <c r="S134" i="4"/>
  <c r="Q134" i="4"/>
  <c r="P134" i="4"/>
  <c r="BJ133" i="4"/>
  <c r="BE134" i="4" s="1"/>
  <c r="BI133" i="4"/>
  <c r="AX133" i="4"/>
  <c r="AU134" i="4" s="1"/>
  <c r="AM133" i="4"/>
  <c r="AC133" i="4"/>
  <c r="AB133" i="4"/>
  <c r="AA133" i="4"/>
  <c r="Y133" i="4"/>
  <c r="X133" i="4"/>
  <c r="U133" i="4"/>
  <c r="T133" i="4"/>
  <c r="S133" i="4"/>
  <c r="Q133" i="4"/>
  <c r="P133" i="4"/>
  <c r="BI132" i="4"/>
  <c r="BF133" i="4" s="1"/>
  <c r="AX132" i="4"/>
  <c r="AM132" i="4"/>
  <c r="AJ133" i="4" s="1"/>
  <c r="AL132" i="4"/>
  <c r="AJ132" i="4"/>
  <c r="AC132" i="4"/>
  <c r="AB132" i="4"/>
  <c r="AA132" i="4"/>
  <c r="Y132" i="4"/>
  <c r="X132" i="4"/>
  <c r="U132" i="4"/>
  <c r="T132" i="4"/>
  <c r="S132" i="4"/>
  <c r="Q132" i="4"/>
  <c r="P132" i="4"/>
  <c r="BI131" i="4"/>
  <c r="BJ131" i="4" s="1"/>
  <c r="BE132" i="4" s="1"/>
  <c r="AX131" i="4"/>
  <c r="AU132" i="4" s="1"/>
  <c r="AW131" i="4"/>
  <c r="AU131" i="4"/>
  <c r="AM131" i="4"/>
  <c r="AN131" i="4" s="1"/>
  <c r="AI132" i="4" s="1"/>
  <c r="AC131" i="4"/>
  <c r="AB131" i="4"/>
  <c r="AA131" i="4"/>
  <c r="Y131" i="4"/>
  <c r="X131" i="4"/>
  <c r="U131" i="4"/>
  <c r="T131" i="4"/>
  <c r="S131" i="4"/>
  <c r="Q131" i="4"/>
  <c r="P131" i="4"/>
  <c r="BI130" i="4"/>
  <c r="BF131" i="4" s="1"/>
  <c r="BH130" i="4"/>
  <c r="BF130" i="4"/>
  <c r="AX130" i="4"/>
  <c r="AY130" i="4" s="1"/>
  <c r="AT131" i="4" s="1"/>
  <c r="AM130" i="4"/>
  <c r="AJ131" i="4" s="1"/>
  <c r="AC130" i="4"/>
  <c r="AB130" i="4"/>
  <c r="AA130" i="4"/>
  <c r="Y130" i="4"/>
  <c r="X130" i="4"/>
  <c r="U130" i="4"/>
  <c r="T130" i="4"/>
  <c r="S130" i="4"/>
  <c r="Q130" i="4"/>
  <c r="P130" i="4"/>
  <c r="BI129" i="4"/>
  <c r="BJ129" i="4" s="1"/>
  <c r="BE130" i="4" s="1"/>
  <c r="AX129" i="4"/>
  <c r="AU130" i="4" s="1"/>
  <c r="AM129" i="4"/>
  <c r="AJ130" i="4" s="1"/>
  <c r="AC129" i="4"/>
  <c r="AB129" i="4"/>
  <c r="AA129" i="4"/>
  <c r="Y129" i="4"/>
  <c r="X129" i="4"/>
  <c r="U129" i="4"/>
  <c r="T129" i="4"/>
  <c r="S129" i="4"/>
  <c r="Q129" i="4"/>
  <c r="P129" i="4"/>
  <c r="BJ128" i="4"/>
  <c r="BE129" i="4" s="1"/>
  <c r="BI128" i="4"/>
  <c r="BF129" i="4" s="1"/>
  <c r="AX128" i="4"/>
  <c r="AU129" i="4" s="1"/>
  <c r="AM128" i="4"/>
  <c r="AC128" i="4"/>
  <c r="AB128" i="4"/>
  <c r="AA128" i="4"/>
  <c r="Y128" i="4"/>
  <c r="X128" i="4"/>
  <c r="U128" i="4"/>
  <c r="T128" i="4"/>
  <c r="S128" i="4"/>
  <c r="Q128" i="4"/>
  <c r="P128" i="4"/>
  <c r="BI127" i="4"/>
  <c r="AX127" i="4"/>
  <c r="AM127" i="4"/>
  <c r="AJ128" i="4" s="1"/>
  <c r="AL127" i="4"/>
  <c r="AJ127" i="4"/>
  <c r="AC127" i="4"/>
  <c r="AB127" i="4"/>
  <c r="AA127" i="4"/>
  <c r="Y127" i="4"/>
  <c r="X127" i="4"/>
  <c r="U127" i="4"/>
  <c r="T127" i="4"/>
  <c r="S127" i="4"/>
  <c r="Q127" i="4"/>
  <c r="P127" i="4"/>
  <c r="BI126" i="4"/>
  <c r="AX126" i="4"/>
  <c r="AU127" i="4" s="1"/>
  <c r="AU126" i="4"/>
  <c r="AT126" i="4"/>
  <c r="AM126" i="4"/>
  <c r="AN126" i="4" s="1"/>
  <c r="AI127" i="4" s="1"/>
  <c r="AC126" i="4"/>
  <c r="AB126" i="4"/>
  <c r="AA126" i="4"/>
  <c r="Y126" i="4"/>
  <c r="X126" i="4"/>
  <c r="U126" i="4"/>
  <c r="T126" i="4"/>
  <c r="S126" i="4"/>
  <c r="Q126" i="4"/>
  <c r="P126" i="4"/>
  <c r="BI125" i="4"/>
  <c r="BF126" i="4" s="1"/>
  <c r="BH125" i="4"/>
  <c r="BF125" i="4"/>
  <c r="BE125" i="4"/>
  <c r="AX125" i="4"/>
  <c r="AY125" i="4" s="1"/>
  <c r="AM125" i="4"/>
  <c r="AL125" i="4"/>
  <c r="AC125" i="4"/>
  <c r="AB125" i="4"/>
  <c r="AA125" i="4"/>
  <c r="Y125" i="4"/>
  <c r="X125" i="4"/>
  <c r="U125" i="4"/>
  <c r="T125" i="4"/>
  <c r="S125" i="4"/>
  <c r="Q125" i="4"/>
  <c r="P125" i="4"/>
  <c r="BI124" i="4"/>
  <c r="BJ124" i="4" s="1"/>
  <c r="AX124" i="4"/>
  <c r="AW124" i="4"/>
  <c r="AM124" i="4"/>
  <c r="AC124" i="4"/>
  <c r="AB124" i="4"/>
  <c r="AA124" i="4"/>
  <c r="Y124" i="4"/>
  <c r="X124" i="4"/>
  <c r="U124" i="4"/>
  <c r="T124" i="4"/>
  <c r="S124" i="4"/>
  <c r="Q124" i="4"/>
  <c r="P124" i="4"/>
  <c r="BI123" i="4"/>
  <c r="BH123" i="4"/>
  <c r="AX123" i="4"/>
  <c r="AN123" i="4"/>
  <c r="AI124" i="4" s="1"/>
  <c r="AM123" i="4"/>
  <c r="AC123" i="4"/>
  <c r="AB123" i="4"/>
  <c r="AA123" i="4"/>
  <c r="Y123" i="4"/>
  <c r="X123" i="4"/>
  <c r="U123" i="4"/>
  <c r="T123" i="4"/>
  <c r="S123" i="4"/>
  <c r="Q123" i="4"/>
  <c r="P123" i="4"/>
  <c r="BI122" i="4"/>
  <c r="BJ122" i="4" s="1"/>
  <c r="BE123" i="4" s="1"/>
  <c r="AY122" i="4"/>
  <c r="AT123" i="4" s="1"/>
  <c r="AX122" i="4"/>
  <c r="AM122" i="4"/>
  <c r="AJ123" i="4" s="1"/>
  <c r="AL122" i="4"/>
  <c r="AJ122" i="4"/>
  <c r="AC122" i="4"/>
  <c r="AB122" i="4"/>
  <c r="AA122" i="4"/>
  <c r="Y122" i="4"/>
  <c r="X122" i="4"/>
  <c r="U122" i="4"/>
  <c r="T122" i="4"/>
  <c r="S122" i="4"/>
  <c r="Q122" i="4"/>
  <c r="P122" i="4"/>
  <c r="BJ121" i="4"/>
  <c r="BE122" i="4" s="1"/>
  <c r="BI121" i="4"/>
  <c r="BF122" i="4" s="1"/>
  <c r="AX121" i="4"/>
  <c r="AU122" i="4" s="1"/>
  <c r="AM121" i="4"/>
  <c r="AC121" i="4"/>
  <c r="AB121" i="4"/>
  <c r="AA121" i="4"/>
  <c r="Y121" i="4"/>
  <c r="X121" i="4"/>
  <c r="U121" i="4"/>
  <c r="T121" i="4"/>
  <c r="S121" i="4"/>
  <c r="Q121" i="4"/>
  <c r="P121" i="4"/>
  <c r="BI120" i="4"/>
  <c r="BF121" i="4" s="1"/>
  <c r="BH120" i="4"/>
  <c r="BF120" i="4"/>
  <c r="AX120" i="4"/>
  <c r="AM120" i="4"/>
  <c r="AJ121" i="4" s="1"/>
  <c r="AL120" i="4"/>
  <c r="AJ120" i="4"/>
  <c r="AC120" i="4"/>
  <c r="AB120" i="4"/>
  <c r="AA120" i="4"/>
  <c r="Y120" i="4"/>
  <c r="X120" i="4"/>
  <c r="U120" i="4"/>
  <c r="T120" i="4"/>
  <c r="S120" i="4"/>
  <c r="Q120" i="4"/>
  <c r="P120" i="4"/>
  <c r="BI119" i="4"/>
  <c r="AX119" i="4"/>
  <c r="AU120" i="4" s="1"/>
  <c r="AW119" i="4"/>
  <c r="AU119" i="4"/>
  <c r="AM119" i="4"/>
  <c r="AN119" i="4" s="1"/>
  <c r="AI120" i="4" s="1"/>
  <c r="AC119" i="4"/>
  <c r="AB119" i="4"/>
  <c r="AA119" i="4"/>
  <c r="Y119" i="4"/>
  <c r="X119" i="4"/>
  <c r="U119" i="4"/>
  <c r="T119" i="4"/>
  <c r="S119" i="4"/>
  <c r="Q119" i="4"/>
  <c r="P119" i="4"/>
  <c r="BI118" i="4"/>
  <c r="BF119" i="4" s="1"/>
  <c r="BH118" i="4"/>
  <c r="BF118" i="4"/>
  <c r="AX118" i="4"/>
  <c r="AY118" i="4" s="1"/>
  <c r="AT119" i="4" s="1"/>
  <c r="AN118" i="4"/>
  <c r="AI119" i="4" s="1"/>
  <c r="AM118" i="4"/>
  <c r="AJ119" i="4" s="1"/>
  <c r="AL118" i="4"/>
  <c r="AC118" i="4"/>
  <c r="AB118" i="4"/>
  <c r="AA118" i="4"/>
  <c r="Y118" i="4"/>
  <c r="X118" i="4"/>
  <c r="U118" i="4"/>
  <c r="T118" i="4"/>
  <c r="S118" i="4"/>
  <c r="Q118" i="4"/>
  <c r="P118" i="4"/>
  <c r="BI117" i="4"/>
  <c r="BJ117" i="4" s="1"/>
  <c r="BE118" i="4" s="1"/>
  <c r="AY117" i="4"/>
  <c r="AT118" i="4" s="1"/>
  <c r="AX117" i="4"/>
  <c r="AU118" i="4" s="1"/>
  <c r="AM117" i="4"/>
  <c r="AJ118" i="4" s="1"/>
  <c r="AL117" i="4"/>
  <c r="AJ117" i="4"/>
  <c r="AI117" i="4"/>
  <c r="AC117" i="4"/>
  <c r="AB117" i="4"/>
  <c r="AA117" i="4"/>
  <c r="Y117" i="4"/>
  <c r="X117" i="4"/>
  <c r="U117" i="4"/>
  <c r="T117" i="4"/>
  <c r="S117" i="4"/>
  <c r="Q117" i="4"/>
  <c r="P117" i="4"/>
  <c r="BJ116" i="4"/>
  <c r="BE117" i="4" s="1"/>
  <c r="BI116" i="4"/>
  <c r="BF117" i="4" s="1"/>
  <c r="BH116" i="4"/>
  <c r="AX116" i="4"/>
  <c r="AU117" i="4" s="1"/>
  <c r="AN116" i="4"/>
  <c r="AM116" i="4"/>
  <c r="AC116" i="4"/>
  <c r="AB116" i="4"/>
  <c r="AA116" i="4"/>
  <c r="Y116" i="4"/>
  <c r="X116" i="4"/>
  <c r="U116" i="4"/>
  <c r="T116" i="4"/>
  <c r="S116" i="4"/>
  <c r="Q116" i="4"/>
  <c r="P116" i="4"/>
  <c r="BI115" i="4"/>
  <c r="BH115" i="4"/>
  <c r="BF115" i="4"/>
  <c r="BE115" i="4"/>
  <c r="AX115" i="4"/>
  <c r="AM115" i="4"/>
  <c r="AJ116" i="4" s="1"/>
  <c r="AL115" i="4"/>
  <c r="AJ115" i="4"/>
  <c r="AI115" i="4"/>
  <c r="AC115" i="4"/>
  <c r="AB115" i="4"/>
  <c r="AA115" i="4"/>
  <c r="Y115" i="4"/>
  <c r="X115" i="4"/>
  <c r="U115" i="4"/>
  <c r="T115" i="4"/>
  <c r="S115" i="4"/>
  <c r="Q115" i="4"/>
  <c r="P115" i="4"/>
  <c r="BJ114" i="4"/>
  <c r="BI114" i="4"/>
  <c r="BE114" i="4"/>
  <c r="AX114" i="4"/>
  <c r="AU115" i="4" s="1"/>
  <c r="AW114" i="4"/>
  <c r="AU114" i="4"/>
  <c r="AT114" i="4"/>
  <c r="AM114" i="4"/>
  <c r="AN114" i="4" s="1"/>
  <c r="AL114" i="4"/>
  <c r="AJ114" i="4"/>
  <c r="AI114" i="4"/>
  <c r="AC114" i="4"/>
  <c r="AB114" i="4"/>
  <c r="AA114" i="4"/>
  <c r="Y114" i="4"/>
  <c r="X114" i="4"/>
  <c r="U114" i="4"/>
  <c r="T114" i="4"/>
  <c r="S114" i="4"/>
  <c r="Q114" i="4"/>
  <c r="P114" i="4"/>
  <c r="AC113" i="4"/>
  <c r="AB113" i="4"/>
  <c r="AA113" i="4"/>
  <c r="Y113" i="4"/>
  <c r="X113" i="4"/>
  <c r="U113" i="4"/>
  <c r="T113" i="4"/>
  <c r="S113" i="4"/>
  <c r="Q113" i="4"/>
  <c r="P113" i="4"/>
  <c r="AC112" i="4"/>
  <c r="AB112" i="4"/>
  <c r="AA112" i="4"/>
  <c r="Y112" i="4"/>
  <c r="X112" i="4"/>
  <c r="U112" i="4"/>
  <c r="T112" i="4"/>
  <c r="S112" i="4"/>
  <c r="Q112" i="4"/>
  <c r="P112" i="4"/>
  <c r="BJ111" i="4"/>
  <c r="BJ154" i="4" s="1"/>
  <c r="BE155" i="4" s="1"/>
  <c r="AY111" i="4"/>
  <c r="AW159" i="4" s="1"/>
  <c r="AN111" i="4"/>
  <c r="AL142" i="4" s="1"/>
  <c r="AC111" i="4"/>
  <c r="AB111" i="4"/>
  <c r="AA111" i="4"/>
  <c r="Y111" i="4"/>
  <c r="X111" i="4"/>
  <c r="U111" i="4"/>
  <c r="T111" i="4"/>
  <c r="S111" i="4"/>
  <c r="Q111" i="4"/>
  <c r="P111" i="4"/>
  <c r="AC110" i="4"/>
  <c r="AB110" i="4"/>
  <c r="AA110" i="4"/>
  <c r="Y110" i="4"/>
  <c r="X110" i="4"/>
  <c r="U110" i="4"/>
  <c r="T110" i="4"/>
  <c r="S110" i="4"/>
  <c r="Q110" i="4"/>
  <c r="P110" i="4"/>
  <c r="AC109" i="4"/>
  <c r="AB109" i="4"/>
  <c r="AA109" i="4"/>
  <c r="Y109" i="4"/>
  <c r="X109" i="4"/>
  <c r="U109" i="4"/>
  <c r="T109" i="4"/>
  <c r="S109" i="4"/>
  <c r="Q109" i="4"/>
  <c r="P109" i="4"/>
  <c r="AC108" i="4"/>
  <c r="AB108" i="4"/>
  <c r="AA108" i="4"/>
  <c r="Y108" i="4"/>
  <c r="X108" i="4"/>
  <c r="U108" i="4"/>
  <c r="T108" i="4"/>
  <c r="S108" i="4"/>
  <c r="Q108" i="4"/>
  <c r="P108" i="4"/>
  <c r="DA107" i="4"/>
  <c r="CQ107" i="4"/>
  <c r="CP107" i="4"/>
  <c r="CO107" i="4"/>
  <c r="CM107" i="4"/>
  <c r="CL107" i="4"/>
  <c r="CF107" i="4"/>
  <c r="CE107" i="4"/>
  <c r="CD107" i="4"/>
  <c r="CB107" i="4"/>
  <c r="CA107" i="4"/>
  <c r="BU107" i="4"/>
  <c r="BT107" i="4"/>
  <c r="BS107" i="4"/>
  <c r="BQ107" i="4"/>
  <c r="BP107" i="4"/>
  <c r="BJ107" i="4"/>
  <c r="BI107" i="4"/>
  <c r="BH107" i="4"/>
  <c r="BF107" i="4"/>
  <c r="BE107" i="4"/>
  <c r="AY107" i="4"/>
  <c r="AX107" i="4"/>
  <c r="AW107" i="4"/>
  <c r="AU107" i="4"/>
  <c r="AT107" i="4"/>
  <c r="AN107" i="4"/>
  <c r="AM107" i="4"/>
  <c r="AL107" i="4"/>
  <c r="AJ107" i="4"/>
  <c r="AI107" i="4"/>
  <c r="AC107" i="4"/>
  <c r="AB107" i="4"/>
  <c r="AA107" i="4"/>
  <c r="Y107" i="4"/>
  <c r="X107" i="4"/>
  <c r="U107" i="4"/>
  <c r="T107" i="4"/>
  <c r="S107" i="4"/>
  <c r="Q107" i="4"/>
  <c r="P107" i="4"/>
  <c r="DA106" i="4"/>
  <c r="CQ106" i="4"/>
  <c r="CP106" i="4"/>
  <c r="CO106" i="4"/>
  <c r="CM106" i="4"/>
  <c r="CL106" i="4"/>
  <c r="CF106" i="4"/>
  <c r="CE106" i="4"/>
  <c r="CD106" i="4"/>
  <c r="CB106" i="4"/>
  <c r="CA106" i="4"/>
  <c r="BU106" i="4"/>
  <c r="BT106" i="4"/>
  <c r="BS106" i="4"/>
  <c r="BQ106" i="4"/>
  <c r="BP106" i="4"/>
  <c r="BJ106" i="4"/>
  <c r="BI106" i="4"/>
  <c r="BH106" i="4"/>
  <c r="BF106" i="4"/>
  <c r="BE106" i="4"/>
  <c r="AY106" i="4"/>
  <c r="AX106" i="4"/>
  <c r="AW106" i="4"/>
  <c r="AU106" i="4"/>
  <c r="AT106" i="4"/>
  <c r="AN106" i="4"/>
  <c r="AM106" i="4"/>
  <c r="AL106" i="4"/>
  <c r="AJ106" i="4"/>
  <c r="AI106" i="4"/>
  <c r="AC106" i="4"/>
  <c r="AB106" i="4"/>
  <c r="AA106" i="4"/>
  <c r="Y106" i="4"/>
  <c r="X106" i="4"/>
  <c r="U106" i="4"/>
  <c r="T106" i="4"/>
  <c r="S106" i="4"/>
  <c r="Q106" i="4"/>
  <c r="P106" i="4"/>
  <c r="DA105" i="4"/>
  <c r="CQ105" i="4"/>
  <c r="CP105" i="4"/>
  <c r="CO105" i="4"/>
  <c r="CM105" i="4"/>
  <c r="CL105" i="4"/>
  <c r="CF105" i="4"/>
  <c r="CE105" i="4"/>
  <c r="CD105" i="4"/>
  <c r="CB105" i="4"/>
  <c r="CA105" i="4"/>
  <c r="BT105" i="4"/>
  <c r="BJ105" i="4"/>
  <c r="BI105" i="4"/>
  <c r="BH105" i="4"/>
  <c r="BF105" i="4"/>
  <c r="BE105" i="4"/>
  <c r="AY105" i="4"/>
  <c r="AX105" i="4"/>
  <c r="AW105" i="4"/>
  <c r="AU105" i="4"/>
  <c r="AT105" i="4"/>
  <c r="AN105" i="4"/>
  <c r="AM105" i="4"/>
  <c r="AL105" i="4"/>
  <c r="AJ105" i="4"/>
  <c r="AI105" i="4"/>
  <c r="AC105" i="4"/>
  <c r="AB105" i="4"/>
  <c r="AA105" i="4"/>
  <c r="Y105" i="4"/>
  <c r="X105" i="4"/>
  <c r="U105" i="4"/>
  <c r="T105" i="4"/>
  <c r="S105" i="4"/>
  <c r="Q105" i="4"/>
  <c r="P105" i="4"/>
  <c r="DA104" i="4"/>
  <c r="CQ104" i="4"/>
  <c r="CP104" i="4"/>
  <c r="CO104" i="4"/>
  <c r="CM104" i="4"/>
  <c r="CL104" i="4"/>
  <c r="CF104" i="4"/>
  <c r="CE104" i="4"/>
  <c r="CD104" i="4"/>
  <c r="CB104" i="4"/>
  <c r="CA104" i="4"/>
  <c r="BT104" i="4"/>
  <c r="BJ104" i="4"/>
  <c r="BI104" i="4"/>
  <c r="BH104" i="4"/>
  <c r="BF104" i="4"/>
  <c r="BE104" i="4"/>
  <c r="AY104" i="4"/>
  <c r="AX104" i="4"/>
  <c r="AW104" i="4"/>
  <c r="AU104" i="4"/>
  <c r="AT104" i="4"/>
  <c r="AN104" i="4"/>
  <c r="AM104" i="4"/>
  <c r="AL104" i="4"/>
  <c r="AJ104" i="4"/>
  <c r="AI104" i="4"/>
  <c r="AC104" i="4"/>
  <c r="AB104" i="4"/>
  <c r="AA104" i="4"/>
  <c r="Y104" i="4"/>
  <c r="X104" i="4"/>
  <c r="U104" i="4"/>
  <c r="T104" i="4"/>
  <c r="S104" i="4"/>
  <c r="Q104" i="4"/>
  <c r="P104" i="4"/>
  <c r="DA103" i="4"/>
  <c r="CQ103" i="4"/>
  <c r="CP103" i="4"/>
  <c r="CO103" i="4"/>
  <c r="CM103" i="4"/>
  <c r="CL103" i="4"/>
  <c r="CE103" i="4"/>
  <c r="BT103" i="4"/>
  <c r="BJ103" i="4"/>
  <c r="BI103" i="4"/>
  <c r="BH103" i="4"/>
  <c r="BF103" i="4"/>
  <c r="BE103" i="4"/>
  <c r="AY103" i="4"/>
  <c r="AX103" i="4"/>
  <c r="AW103" i="4"/>
  <c r="AU103" i="4"/>
  <c r="AT103" i="4"/>
  <c r="AN103" i="4"/>
  <c r="AM103" i="4"/>
  <c r="AL103" i="4"/>
  <c r="AJ103" i="4"/>
  <c r="AI103" i="4"/>
  <c r="AC103" i="4"/>
  <c r="AB103" i="4"/>
  <c r="AA103" i="4"/>
  <c r="Y103" i="4"/>
  <c r="X103" i="4"/>
  <c r="U103" i="4"/>
  <c r="T103" i="4"/>
  <c r="S103" i="4"/>
  <c r="Q103" i="4"/>
  <c r="P103" i="4"/>
  <c r="DA102" i="4"/>
  <c r="CQ102" i="4"/>
  <c r="CP102" i="4"/>
  <c r="CO102" i="4"/>
  <c r="CM102" i="4"/>
  <c r="CL102" i="4"/>
  <c r="CE102" i="4"/>
  <c r="BT102" i="4"/>
  <c r="BJ102" i="4"/>
  <c r="BI102" i="4"/>
  <c r="BH102" i="4"/>
  <c r="BF102" i="4"/>
  <c r="BE102" i="4"/>
  <c r="AY102" i="4"/>
  <c r="AX102" i="4"/>
  <c r="AW102" i="4"/>
  <c r="AU102" i="4"/>
  <c r="AT102" i="4"/>
  <c r="AN102" i="4"/>
  <c r="AM102" i="4"/>
  <c r="AL102" i="4"/>
  <c r="AJ102" i="4"/>
  <c r="AI102" i="4"/>
  <c r="AC102" i="4"/>
  <c r="AB102" i="4"/>
  <c r="AA102" i="4"/>
  <c r="Y102" i="4"/>
  <c r="X102" i="4"/>
  <c r="U102" i="4"/>
  <c r="T102" i="4"/>
  <c r="S102" i="4"/>
  <c r="Q102" i="4"/>
  <c r="P102" i="4"/>
  <c r="DA101" i="4"/>
  <c r="CQ101" i="4"/>
  <c r="CP101" i="4"/>
  <c r="CO101" i="4"/>
  <c r="CM101" i="4"/>
  <c r="CL101" i="4"/>
  <c r="CE101" i="4"/>
  <c r="BT101" i="4"/>
  <c r="BJ101" i="4"/>
  <c r="BI101" i="4"/>
  <c r="BH101" i="4"/>
  <c r="BF101" i="4"/>
  <c r="BE101" i="4"/>
  <c r="AY101" i="4"/>
  <c r="AX101" i="4"/>
  <c r="AW101" i="4"/>
  <c r="AU101" i="4"/>
  <c r="AT101" i="4"/>
  <c r="AN101" i="4"/>
  <c r="AM101" i="4"/>
  <c r="AL101" i="4"/>
  <c r="AJ101" i="4"/>
  <c r="AI101" i="4"/>
  <c r="AC101" i="4"/>
  <c r="AB101" i="4"/>
  <c r="AA101" i="4"/>
  <c r="Y101" i="4"/>
  <c r="X101" i="4"/>
  <c r="U101" i="4"/>
  <c r="T101" i="4"/>
  <c r="S101" i="4"/>
  <c r="Q101" i="4"/>
  <c r="P101" i="4"/>
  <c r="DA100" i="4"/>
  <c r="DB100" i="4" s="1"/>
  <c r="CW101" i="4" s="1"/>
  <c r="CQ100" i="4"/>
  <c r="CP100" i="4"/>
  <c r="CO100" i="4"/>
  <c r="CM100" i="4"/>
  <c r="CL100" i="4"/>
  <c r="CE100" i="4"/>
  <c r="BT100" i="4"/>
  <c r="BJ100" i="4"/>
  <c r="BI100" i="4"/>
  <c r="BH100" i="4"/>
  <c r="BF100" i="4"/>
  <c r="BE100" i="4"/>
  <c r="AY100" i="4"/>
  <c r="AX100" i="4"/>
  <c r="AW100" i="4"/>
  <c r="AU100" i="4"/>
  <c r="AT100" i="4"/>
  <c r="AN100" i="4"/>
  <c r="AM100" i="4"/>
  <c r="AL100" i="4"/>
  <c r="AJ100" i="4"/>
  <c r="AI100" i="4"/>
  <c r="AC100" i="4"/>
  <c r="AB100" i="4"/>
  <c r="AA100" i="4"/>
  <c r="Y100" i="4"/>
  <c r="X100" i="4"/>
  <c r="U100" i="4"/>
  <c r="T100" i="4"/>
  <c r="S100" i="4"/>
  <c r="Q100" i="4"/>
  <c r="P100" i="4"/>
  <c r="DA99" i="4"/>
  <c r="CP99" i="4"/>
  <c r="CQ99" i="4" s="1"/>
  <c r="CO99" i="4"/>
  <c r="CM99" i="4"/>
  <c r="CE99" i="4"/>
  <c r="BT99" i="4"/>
  <c r="BJ99" i="4"/>
  <c r="BI99" i="4"/>
  <c r="BH99" i="4"/>
  <c r="BF99" i="4"/>
  <c r="BE99" i="4"/>
  <c r="AY99" i="4"/>
  <c r="AX99" i="4"/>
  <c r="AW99" i="4"/>
  <c r="AU99" i="4"/>
  <c r="AT99" i="4"/>
  <c r="AN99" i="4"/>
  <c r="AM99" i="4"/>
  <c r="AL99" i="4"/>
  <c r="AJ99" i="4"/>
  <c r="AI99" i="4"/>
  <c r="AC99" i="4"/>
  <c r="AB99" i="4"/>
  <c r="AA99" i="4"/>
  <c r="Y99" i="4"/>
  <c r="X99" i="4"/>
  <c r="U99" i="4"/>
  <c r="T99" i="4"/>
  <c r="S99" i="4"/>
  <c r="Q99" i="4"/>
  <c r="P99" i="4"/>
  <c r="DA98" i="4"/>
  <c r="CP98" i="4"/>
  <c r="CE98" i="4"/>
  <c r="BT98" i="4"/>
  <c r="BI98" i="4"/>
  <c r="AX98" i="4"/>
  <c r="AM98" i="4"/>
  <c r="AB98" i="4"/>
  <c r="U98" i="4"/>
  <c r="T98" i="4"/>
  <c r="S98" i="4"/>
  <c r="Q98" i="4"/>
  <c r="P98" i="4"/>
  <c r="DA97" i="4"/>
  <c r="CP97" i="4"/>
  <c r="CE97" i="4"/>
  <c r="BT97" i="4"/>
  <c r="BI97" i="4"/>
  <c r="AX97" i="4"/>
  <c r="AM97" i="4"/>
  <c r="AB97" i="4"/>
  <c r="U97" i="4"/>
  <c r="T97" i="4"/>
  <c r="S97" i="4"/>
  <c r="Q97" i="4"/>
  <c r="P97" i="4"/>
  <c r="DA96" i="4"/>
  <c r="CP96" i="4"/>
  <c r="CE96" i="4"/>
  <c r="BT96" i="4"/>
  <c r="BI96" i="4"/>
  <c r="AX96" i="4"/>
  <c r="AM96" i="4"/>
  <c r="AB96" i="4"/>
  <c r="U96" i="4"/>
  <c r="T96" i="4"/>
  <c r="S96" i="4"/>
  <c r="Q96" i="4"/>
  <c r="P96" i="4"/>
  <c r="DA95" i="4"/>
  <c r="CP95" i="4"/>
  <c r="CE95" i="4"/>
  <c r="BT95" i="4"/>
  <c r="BI95" i="4"/>
  <c r="AX95" i="4"/>
  <c r="AM95" i="4"/>
  <c r="AB95" i="4"/>
  <c r="U95" i="4"/>
  <c r="T95" i="4"/>
  <c r="S95" i="4"/>
  <c r="Q95" i="4"/>
  <c r="P95" i="4"/>
  <c r="DA94" i="4"/>
  <c r="CP94" i="4"/>
  <c r="CE94" i="4"/>
  <c r="BT94" i="4"/>
  <c r="BI94" i="4"/>
  <c r="AX94" i="4"/>
  <c r="AU95" i="4" s="1"/>
  <c r="AM94" i="4"/>
  <c r="AB94" i="4"/>
  <c r="U94" i="4"/>
  <c r="T94" i="4"/>
  <c r="S94" i="4"/>
  <c r="Q94" i="4"/>
  <c r="P94" i="4"/>
  <c r="DA93" i="4"/>
  <c r="CP93" i="4"/>
  <c r="CE93" i="4"/>
  <c r="BT93" i="4"/>
  <c r="BI93" i="4"/>
  <c r="AX93" i="4"/>
  <c r="AM93" i="4"/>
  <c r="AB93" i="4"/>
  <c r="U93" i="4"/>
  <c r="T93" i="4"/>
  <c r="S93" i="4"/>
  <c r="Q93" i="4"/>
  <c r="P93" i="4"/>
  <c r="DA92" i="4"/>
  <c r="CP92" i="4"/>
  <c r="CE92" i="4"/>
  <c r="BT92" i="4"/>
  <c r="BI92" i="4"/>
  <c r="AX92" i="4"/>
  <c r="AM92" i="4"/>
  <c r="AB92" i="4"/>
  <c r="U92" i="4"/>
  <c r="T92" i="4"/>
  <c r="S92" i="4"/>
  <c r="Q92" i="4"/>
  <c r="P92" i="4"/>
  <c r="DA91" i="4"/>
  <c r="CP91" i="4"/>
  <c r="CE91" i="4"/>
  <c r="BT91" i="4"/>
  <c r="BI91" i="4"/>
  <c r="AX91" i="4"/>
  <c r="AN91" i="4"/>
  <c r="AI92" i="4" s="1"/>
  <c r="AM91" i="4"/>
  <c r="AB91" i="4"/>
  <c r="U91" i="4"/>
  <c r="T91" i="4"/>
  <c r="S91" i="4"/>
  <c r="Q91" i="4"/>
  <c r="P91" i="4"/>
  <c r="DA90" i="4"/>
  <c r="CP90" i="4"/>
  <c r="CE90" i="4"/>
  <c r="BT90" i="4"/>
  <c r="BI90" i="4"/>
  <c r="AX90" i="4"/>
  <c r="AM90" i="4"/>
  <c r="AB90" i="4"/>
  <c r="T90" i="4"/>
  <c r="DA89" i="4"/>
  <c r="CP89" i="4"/>
  <c r="CE89" i="4"/>
  <c r="BT89" i="4"/>
  <c r="BI89" i="4"/>
  <c r="AX89" i="4"/>
  <c r="AM89" i="4"/>
  <c r="AB89" i="4"/>
  <c r="T89" i="4"/>
  <c r="DA88" i="4"/>
  <c r="CP88" i="4"/>
  <c r="CE88" i="4"/>
  <c r="BT88" i="4"/>
  <c r="BI88" i="4"/>
  <c r="AX88" i="4"/>
  <c r="AM88" i="4"/>
  <c r="AJ88" i="4" s="1"/>
  <c r="AB88" i="4"/>
  <c r="T88" i="4"/>
  <c r="DA87" i="4"/>
  <c r="CP87" i="4"/>
  <c r="CE87" i="4"/>
  <c r="BT87" i="4"/>
  <c r="BI87" i="4"/>
  <c r="AX87" i="4"/>
  <c r="AM87" i="4"/>
  <c r="AL87" i="4"/>
  <c r="AB87" i="4"/>
  <c r="T87" i="4"/>
  <c r="DA86" i="4"/>
  <c r="CP86" i="4"/>
  <c r="CE86" i="4"/>
  <c r="BT86" i="4"/>
  <c r="BI86" i="4"/>
  <c r="BF86" i="4" s="1"/>
  <c r="AX86" i="4"/>
  <c r="AM86" i="4"/>
  <c r="AB86" i="4"/>
  <c r="T86" i="4"/>
  <c r="DA85" i="4"/>
  <c r="CP85" i="4"/>
  <c r="CE85" i="4"/>
  <c r="BT85" i="4"/>
  <c r="BI85" i="4"/>
  <c r="AX85" i="4"/>
  <c r="AM85" i="4"/>
  <c r="AN85" i="4" s="1"/>
  <c r="AI86" i="4" s="1"/>
  <c r="AB85" i="4"/>
  <c r="T85" i="4"/>
  <c r="DA84" i="4"/>
  <c r="CP84" i="4"/>
  <c r="CE84" i="4"/>
  <c r="BT84" i="4"/>
  <c r="BI84" i="4"/>
  <c r="AX84" i="4"/>
  <c r="AM84" i="4"/>
  <c r="AB84" i="4"/>
  <c r="T84" i="4"/>
  <c r="DA83" i="4"/>
  <c r="CP83" i="4"/>
  <c r="CE83" i="4"/>
  <c r="BT83" i="4"/>
  <c r="BI83" i="4"/>
  <c r="BH83" i="4"/>
  <c r="AX83" i="4"/>
  <c r="AM83" i="4"/>
  <c r="AB83" i="4"/>
  <c r="T83" i="4"/>
  <c r="DA82" i="4"/>
  <c r="CP82" i="4"/>
  <c r="CE82" i="4"/>
  <c r="BT82" i="4"/>
  <c r="BI82" i="4"/>
  <c r="AX82" i="4"/>
  <c r="AW82" i="4"/>
  <c r="AM82" i="4"/>
  <c r="AB82" i="4"/>
  <c r="T82" i="4"/>
  <c r="DA81" i="4"/>
  <c r="CP81" i="4"/>
  <c r="CE81" i="4"/>
  <c r="BT81" i="4"/>
  <c r="BI81" i="4"/>
  <c r="AX81" i="4"/>
  <c r="AM81" i="4"/>
  <c r="AB81" i="4"/>
  <c r="T81" i="4"/>
  <c r="DA80" i="4"/>
  <c r="CP80" i="4"/>
  <c r="CE80" i="4"/>
  <c r="BT80" i="4"/>
  <c r="BI80" i="4"/>
  <c r="AX80" i="4"/>
  <c r="AM80" i="4"/>
  <c r="AB80" i="4"/>
  <c r="T80" i="4"/>
  <c r="DA79" i="4"/>
  <c r="DB79" i="4" s="1"/>
  <c r="CW80" i="4" s="1"/>
  <c r="CP79" i="4"/>
  <c r="CE79" i="4"/>
  <c r="BT79" i="4"/>
  <c r="BI79" i="4"/>
  <c r="AX79" i="4"/>
  <c r="AM79" i="4"/>
  <c r="AB79" i="4"/>
  <c r="T79" i="4"/>
  <c r="DA78" i="4"/>
  <c r="CP78" i="4"/>
  <c r="CE78" i="4"/>
  <c r="BT78" i="4"/>
  <c r="BI78" i="4"/>
  <c r="AX78" i="4"/>
  <c r="AN78" i="4"/>
  <c r="AI79" i="4" s="1"/>
  <c r="AM78" i="4"/>
  <c r="AB78" i="4"/>
  <c r="T78" i="4"/>
  <c r="DA77" i="4"/>
  <c r="CP77" i="4"/>
  <c r="CE77" i="4"/>
  <c r="BT77" i="4"/>
  <c r="BI77" i="4"/>
  <c r="AX77" i="4"/>
  <c r="AM77" i="4"/>
  <c r="AB77" i="4"/>
  <c r="T77" i="4"/>
  <c r="DA76" i="4"/>
  <c r="CP76" i="4"/>
  <c r="CE76" i="4"/>
  <c r="BT76" i="4"/>
  <c r="BI76" i="4"/>
  <c r="AX76" i="4"/>
  <c r="AM76" i="4"/>
  <c r="AB76" i="4"/>
  <c r="T76" i="4"/>
  <c r="DA75" i="4"/>
  <c r="CP75" i="4"/>
  <c r="CE75" i="4"/>
  <c r="BT75" i="4"/>
  <c r="BI75" i="4"/>
  <c r="AX75" i="4"/>
  <c r="AM75" i="4"/>
  <c r="AN75" i="4" s="1"/>
  <c r="AI76" i="4" s="1"/>
  <c r="AB75" i="4"/>
  <c r="T75" i="4"/>
  <c r="DA74" i="4"/>
  <c r="CP74" i="4"/>
  <c r="CE74" i="4"/>
  <c r="BT74" i="4"/>
  <c r="BI74" i="4"/>
  <c r="AX74" i="4"/>
  <c r="AM74" i="4"/>
  <c r="AJ75" i="4" s="1"/>
  <c r="AB74" i="4"/>
  <c r="T74" i="4"/>
  <c r="DA73" i="4"/>
  <c r="CP73" i="4"/>
  <c r="CE73" i="4"/>
  <c r="CB74" i="4" s="1"/>
  <c r="BT73" i="4"/>
  <c r="BI73" i="4"/>
  <c r="BJ73" i="4" s="1"/>
  <c r="BE74" i="4" s="1"/>
  <c r="AX73" i="4"/>
  <c r="AM73" i="4"/>
  <c r="AJ74" i="4" s="1"/>
  <c r="AB73" i="4"/>
  <c r="T73" i="4"/>
  <c r="DA72" i="4"/>
  <c r="CP72" i="4"/>
  <c r="CE72" i="4"/>
  <c r="BT72" i="4"/>
  <c r="BI72" i="4"/>
  <c r="BJ72" i="4" s="1"/>
  <c r="BE73" i="4" s="1"/>
  <c r="AX72" i="4"/>
  <c r="AN72" i="4"/>
  <c r="AI73" i="4" s="1"/>
  <c r="AM72" i="4"/>
  <c r="AJ73" i="4" s="1"/>
  <c r="AB72" i="4"/>
  <c r="T72" i="4"/>
  <c r="DA71" i="4"/>
  <c r="CP71" i="4"/>
  <c r="CE71" i="4"/>
  <c r="BT71" i="4"/>
  <c r="BI71" i="4"/>
  <c r="BF72" i="4" s="1"/>
  <c r="AX71" i="4"/>
  <c r="AY71" i="4" s="1"/>
  <c r="AT72" i="4" s="1"/>
  <c r="AM71" i="4"/>
  <c r="AB71" i="4"/>
  <c r="T71" i="4"/>
  <c r="DA70" i="4"/>
  <c r="CP70" i="4"/>
  <c r="CE70" i="4"/>
  <c r="BT70" i="4"/>
  <c r="BJ70" i="4"/>
  <c r="BE71" i="4" s="1"/>
  <c r="BI70" i="4"/>
  <c r="BF71" i="4" s="1"/>
  <c r="AX70" i="4"/>
  <c r="AM70" i="4"/>
  <c r="AJ71" i="4" s="1"/>
  <c r="AL70" i="4"/>
  <c r="AB70" i="4"/>
  <c r="T70" i="4"/>
  <c r="DA69" i="4"/>
  <c r="CP69" i="4"/>
  <c r="CE69" i="4"/>
  <c r="CB70" i="4" s="1"/>
  <c r="BT69" i="4"/>
  <c r="BI69" i="4"/>
  <c r="BF70" i="4" s="1"/>
  <c r="AX69" i="4"/>
  <c r="AM69" i="4"/>
  <c r="AJ70" i="4" s="1"/>
  <c r="AL69" i="4"/>
  <c r="AJ69" i="4"/>
  <c r="AB69" i="4"/>
  <c r="T69" i="4"/>
  <c r="DA68" i="4"/>
  <c r="CX69" i="4" s="1"/>
  <c r="CP68" i="4"/>
  <c r="CE68" i="4"/>
  <c r="BT68" i="4"/>
  <c r="BI68" i="4"/>
  <c r="BH68" i="4"/>
  <c r="AX68" i="4"/>
  <c r="AN68" i="4"/>
  <c r="AI69" i="4" s="1"/>
  <c r="AM68" i="4"/>
  <c r="AJ68" i="4"/>
  <c r="AB68" i="4"/>
  <c r="T68" i="4"/>
  <c r="DA67" i="4"/>
  <c r="CP67" i="4"/>
  <c r="CE67" i="4"/>
  <c r="BT67" i="4"/>
  <c r="BJ67" i="4"/>
  <c r="BE68" i="4" s="1"/>
  <c r="BI67" i="4"/>
  <c r="BF68" i="4" s="1"/>
  <c r="BH67" i="4"/>
  <c r="BF67" i="4"/>
  <c r="AX67" i="4"/>
  <c r="AM67" i="4"/>
  <c r="AB67" i="4"/>
  <c r="T67" i="4"/>
  <c r="DA66" i="4"/>
  <c r="CZ66" i="4"/>
  <c r="CP66" i="4"/>
  <c r="CE66" i="4"/>
  <c r="BT66" i="4"/>
  <c r="BJ66" i="4"/>
  <c r="BE67" i="4" s="1"/>
  <c r="BI66" i="4"/>
  <c r="BH66" i="4"/>
  <c r="BF66" i="4"/>
  <c r="AX66" i="4"/>
  <c r="AU67" i="4" s="1"/>
  <c r="AM66" i="4"/>
  <c r="AN66" i="4" s="1"/>
  <c r="AI67" i="4" s="1"/>
  <c r="AL66" i="4"/>
  <c r="AJ66" i="4"/>
  <c r="AB66" i="4"/>
  <c r="T66" i="4"/>
  <c r="DA65" i="4"/>
  <c r="CX65" i="4"/>
  <c r="CP65" i="4"/>
  <c r="CF65" i="4"/>
  <c r="CA66" i="4" s="1"/>
  <c r="CE65" i="4"/>
  <c r="CB66" i="4" s="1"/>
  <c r="BT65" i="4"/>
  <c r="BI65" i="4"/>
  <c r="BH65" i="4"/>
  <c r="AX65" i="4"/>
  <c r="AM65" i="4"/>
  <c r="AJ65" i="4"/>
  <c r="AB65" i="4"/>
  <c r="T65" i="4"/>
  <c r="DA64" i="4"/>
  <c r="CX64" i="4"/>
  <c r="CP64" i="4"/>
  <c r="CE64" i="4"/>
  <c r="CD64" i="4"/>
  <c r="BT64" i="4"/>
  <c r="BI64" i="4"/>
  <c r="BJ64" i="4" s="1"/>
  <c r="BE65" i="4" s="1"/>
  <c r="BH64" i="4"/>
  <c r="BF64" i="4"/>
  <c r="AX64" i="4"/>
  <c r="AU65" i="4" s="1"/>
  <c r="AM64" i="4"/>
  <c r="AJ64" i="4"/>
  <c r="AI64" i="4"/>
  <c r="AB64" i="4"/>
  <c r="T64" i="4"/>
  <c r="DA63" i="4"/>
  <c r="CZ63" i="4"/>
  <c r="CP63" i="4"/>
  <c r="CF63" i="4"/>
  <c r="CA64" i="4" s="1"/>
  <c r="CE63" i="4"/>
  <c r="CB64" i="4" s="1"/>
  <c r="BT63" i="4"/>
  <c r="BI63" i="4"/>
  <c r="BH63" i="4"/>
  <c r="BF63" i="4"/>
  <c r="AY63" i="4"/>
  <c r="AT64" i="4" s="1"/>
  <c r="AX63" i="4"/>
  <c r="AU64" i="4" s="1"/>
  <c r="AM63" i="4"/>
  <c r="AN63" i="4" s="1"/>
  <c r="AB63" i="4"/>
  <c r="T63" i="4"/>
  <c r="DA62" i="4"/>
  <c r="CP62" i="4"/>
  <c r="CE62" i="4"/>
  <c r="CD62" i="4"/>
  <c r="CB62" i="4"/>
  <c r="BT62" i="4"/>
  <c r="BI62" i="4"/>
  <c r="BF62" i="4"/>
  <c r="AX62" i="4"/>
  <c r="AU63" i="4" s="1"/>
  <c r="AU62" i="4"/>
  <c r="AM62" i="4"/>
  <c r="AJ63" i="4" s="1"/>
  <c r="AB62" i="4"/>
  <c r="T62" i="4"/>
  <c r="DA61" i="4"/>
  <c r="CZ61" i="4"/>
  <c r="CX61" i="4"/>
  <c r="CP61" i="4"/>
  <c r="CE61" i="4"/>
  <c r="BT61" i="4"/>
  <c r="BI61" i="4"/>
  <c r="BJ61" i="4" s="1"/>
  <c r="BE62" i="4" s="1"/>
  <c r="BE61" i="4"/>
  <c r="AX61" i="4"/>
  <c r="AN61" i="4"/>
  <c r="AI62" i="4" s="1"/>
  <c r="AM61" i="4"/>
  <c r="AJ62" i="4" s="1"/>
  <c r="AB61" i="4"/>
  <c r="T61" i="4"/>
  <c r="DA60" i="4"/>
  <c r="CP60" i="4"/>
  <c r="CE60" i="4"/>
  <c r="BT60" i="4"/>
  <c r="BJ60" i="4"/>
  <c r="BI60" i="4"/>
  <c r="BF61" i="4" s="1"/>
  <c r="BH60" i="4"/>
  <c r="AX60" i="4"/>
  <c r="AU61" i="4" s="1"/>
  <c r="AM60" i="4"/>
  <c r="AJ61" i="4" s="1"/>
  <c r="AB60" i="4"/>
  <c r="T60" i="4"/>
  <c r="DA59" i="4"/>
  <c r="CW59" i="4"/>
  <c r="CP59" i="4"/>
  <c r="CL59" i="4"/>
  <c r="CE59" i="4"/>
  <c r="CF59" i="4" s="1"/>
  <c r="CA60" i="4" s="1"/>
  <c r="CA59" i="4"/>
  <c r="BT59" i="4"/>
  <c r="BP59" i="4"/>
  <c r="BJ59" i="4"/>
  <c r="BE60" i="4" s="1"/>
  <c r="BI59" i="4"/>
  <c r="BF59" i="4" s="1"/>
  <c r="BE59" i="4"/>
  <c r="AX59" i="4"/>
  <c r="AY59" i="4" s="1"/>
  <c r="AT60" i="4" s="1"/>
  <c r="AW59" i="4"/>
  <c r="AU59" i="4"/>
  <c r="AT59" i="4"/>
  <c r="AN59" i="4"/>
  <c r="AI60" i="4" s="1"/>
  <c r="AM59" i="4"/>
  <c r="AL59" i="4"/>
  <c r="AI59" i="4"/>
  <c r="AB59" i="4"/>
  <c r="T59" i="4"/>
  <c r="AB58" i="4"/>
  <c r="T58" i="4"/>
  <c r="AB57" i="4"/>
  <c r="T57" i="4"/>
  <c r="DB56" i="4"/>
  <c r="DB64" i="4" s="1"/>
  <c r="CW65" i="4" s="1"/>
  <c r="CQ56" i="4"/>
  <c r="CQ76" i="4" s="1"/>
  <c r="CL77" i="4" s="1"/>
  <c r="CF56" i="4"/>
  <c r="BU56" i="4"/>
  <c r="BJ56" i="4"/>
  <c r="BH74" i="4" s="1"/>
  <c r="AY56" i="4"/>
  <c r="AW62" i="4" s="1"/>
  <c r="AN56" i="4"/>
  <c r="AL88" i="4" s="1"/>
  <c r="AB56" i="4"/>
  <c r="T56" i="4"/>
  <c r="AB55" i="4"/>
  <c r="T55" i="4"/>
  <c r="AB54" i="4"/>
  <c r="T54" i="4"/>
  <c r="AB53" i="4"/>
  <c r="T53" i="4"/>
  <c r="DB52" i="4"/>
  <c r="DA52" i="4"/>
  <c r="CZ52" i="4"/>
  <c r="CX52" i="4"/>
  <c r="CW52" i="4"/>
  <c r="CQ52" i="4"/>
  <c r="CP52" i="4"/>
  <c r="CO52" i="4"/>
  <c r="CM52" i="4"/>
  <c r="CL52" i="4"/>
  <c r="CF52" i="4"/>
  <c r="CE52" i="4"/>
  <c r="CD52" i="4"/>
  <c r="CB52" i="4"/>
  <c r="CA52" i="4"/>
  <c r="BU52" i="4"/>
  <c r="BT52" i="4"/>
  <c r="BS52" i="4"/>
  <c r="BQ52" i="4"/>
  <c r="BP52" i="4"/>
  <c r="BJ52" i="4"/>
  <c r="BI52" i="4"/>
  <c r="BH52" i="4"/>
  <c r="BF52" i="4"/>
  <c r="BE52" i="4"/>
  <c r="AY52" i="4"/>
  <c r="AX52" i="4"/>
  <c r="AW52" i="4"/>
  <c r="AU52" i="4"/>
  <c r="AT52" i="4"/>
  <c r="AN52" i="4"/>
  <c r="AM52" i="4"/>
  <c r="AL52" i="4"/>
  <c r="AJ52" i="4"/>
  <c r="AI52" i="4"/>
  <c r="AB52" i="4"/>
  <c r="T52" i="4"/>
  <c r="DB51" i="4"/>
  <c r="DA51" i="4"/>
  <c r="CZ51" i="4"/>
  <c r="CX51" i="4"/>
  <c r="CW51" i="4"/>
  <c r="CQ51" i="4"/>
  <c r="CP51" i="4"/>
  <c r="CO51" i="4"/>
  <c r="CM51" i="4"/>
  <c r="CL51" i="4"/>
  <c r="CF51" i="4"/>
  <c r="CE51" i="4"/>
  <c r="CD51" i="4"/>
  <c r="CB51" i="4"/>
  <c r="CA51" i="4"/>
  <c r="BU51" i="4"/>
  <c r="BT51" i="4"/>
  <c r="BS51" i="4"/>
  <c r="BQ51" i="4"/>
  <c r="BP51" i="4"/>
  <c r="BJ51" i="4"/>
  <c r="BI51" i="4"/>
  <c r="BH51" i="4"/>
  <c r="BF51" i="4"/>
  <c r="BE51" i="4"/>
  <c r="AY51" i="4"/>
  <c r="AX51" i="4"/>
  <c r="AW51" i="4"/>
  <c r="AU51" i="4"/>
  <c r="AT51" i="4"/>
  <c r="AN51" i="4"/>
  <c r="AM51" i="4"/>
  <c r="AL51" i="4"/>
  <c r="AJ51" i="4"/>
  <c r="AI51" i="4"/>
  <c r="AB51" i="4"/>
  <c r="T51" i="4"/>
  <c r="DA50" i="4"/>
  <c r="CQ50" i="4"/>
  <c r="CP50" i="4"/>
  <c r="CO50" i="4"/>
  <c r="CM50" i="4"/>
  <c r="CL50" i="4"/>
  <c r="CF50" i="4"/>
  <c r="CE50" i="4"/>
  <c r="CD50" i="4"/>
  <c r="CB50" i="4"/>
  <c r="CA50" i="4"/>
  <c r="BU50" i="4"/>
  <c r="BT50" i="4"/>
  <c r="BS50" i="4"/>
  <c r="BQ50" i="4"/>
  <c r="BP50" i="4"/>
  <c r="BJ50" i="4"/>
  <c r="BI50" i="4"/>
  <c r="BH50" i="4"/>
  <c r="BF50" i="4"/>
  <c r="BE50" i="4"/>
  <c r="AY50" i="4"/>
  <c r="AX50" i="4"/>
  <c r="AW50" i="4"/>
  <c r="AU50" i="4"/>
  <c r="AT50" i="4"/>
  <c r="AN50" i="4"/>
  <c r="AM50" i="4"/>
  <c r="AL50" i="4"/>
  <c r="AJ50" i="4"/>
  <c r="AI50" i="4"/>
  <c r="AB50" i="4"/>
  <c r="T50" i="4"/>
  <c r="DA49" i="4"/>
  <c r="CP49" i="4"/>
  <c r="CF49" i="4"/>
  <c r="CE49" i="4"/>
  <c r="CD49" i="4"/>
  <c r="CB49" i="4"/>
  <c r="CA49" i="4"/>
  <c r="BT49" i="4"/>
  <c r="BJ49" i="4"/>
  <c r="BI49" i="4"/>
  <c r="BH49" i="4"/>
  <c r="BF49" i="4"/>
  <c r="BE49" i="4"/>
  <c r="AY49" i="4"/>
  <c r="AX49" i="4"/>
  <c r="AW49" i="4"/>
  <c r="AU49" i="4"/>
  <c r="AT49" i="4"/>
  <c r="AN49" i="4"/>
  <c r="AM49" i="4"/>
  <c r="AL49" i="4"/>
  <c r="AJ49" i="4"/>
  <c r="AI49" i="4"/>
  <c r="AB49" i="4"/>
  <c r="T49" i="4"/>
  <c r="DA48" i="4"/>
  <c r="CP48" i="4"/>
  <c r="CE48" i="4"/>
  <c r="BT48" i="4"/>
  <c r="BJ48" i="4"/>
  <c r="BI48" i="4"/>
  <c r="BH48" i="4"/>
  <c r="BF48" i="4"/>
  <c r="BE48" i="4"/>
  <c r="AY48" i="4"/>
  <c r="AX48" i="4"/>
  <c r="AW48" i="4"/>
  <c r="AU48" i="4"/>
  <c r="AT48" i="4"/>
  <c r="AN48" i="4"/>
  <c r="AM48" i="4"/>
  <c r="AL48" i="4"/>
  <c r="AJ48" i="4"/>
  <c r="AI48" i="4"/>
  <c r="AB48" i="4"/>
  <c r="T48" i="4"/>
  <c r="DA47" i="4"/>
  <c r="CP47" i="4"/>
  <c r="CE47" i="4"/>
  <c r="BT47" i="4"/>
  <c r="BI47" i="4"/>
  <c r="AY47" i="4"/>
  <c r="AX47" i="4"/>
  <c r="AW47" i="4"/>
  <c r="AU47" i="4"/>
  <c r="AT47" i="4"/>
  <c r="AN47" i="4"/>
  <c r="AM47" i="4"/>
  <c r="AL47" i="4"/>
  <c r="AJ47" i="4"/>
  <c r="AI47" i="4"/>
  <c r="AB47" i="4"/>
  <c r="T47" i="4"/>
  <c r="DA46" i="4"/>
  <c r="CP46" i="4"/>
  <c r="CE46" i="4"/>
  <c r="BT46" i="4"/>
  <c r="BI46" i="4"/>
  <c r="AY46" i="4"/>
  <c r="AX46" i="4"/>
  <c r="AW46" i="4"/>
  <c r="AU46" i="4"/>
  <c r="AT46" i="4"/>
  <c r="AM46" i="4"/>
  <c r="AB46" i="4"/>
  <c r="T46" i="4"/>
  <c r="DA45" i="4"/>
  <c r="CP45" i="4"/>
  <c r="CE45" i="4"/>
  <c r="BT45" i="4"/>
  <c r="BI45" i="4"/>
  <c r="AY45" i="4"/>
  <c r="AX45" i="4"/>
  <c r="AW45" i="4"/>
  <c r="AU45" i="4"/>
  <c r="AT45" i="4"/>
  <c r="AM45" i="4"/>
  <c r="AB45" i="4"/>
  <c r="T45" i="4"/>
  <c r="DA44" i="4"/>
  <c r="CP44" i="4"/>
  <c r="CE44" i="4"/>
  <c r="BT44" i="4"/>
  <c r="BI44" i="4"/>
  <c r="AX44" i="4"/>
  <c r="AM44" i="4"/>
  <c r="AB44" i="4"/>
  <c r="T44" i="4"/>
  <c r="DA43" i="4"/>
  <c r="CP43" i="4"/>
  <c r="CE43" i="4"/>
  <c r="BT43" i="4"/>
  <c r="BI43" i="4"/>
  <c r="AX43" i="4"/>
  <c r="AM43" i="4"/>
  <c r="AB43" i="4"/>
  <c r="T43" i="4"/>
  <c r="DA42" i="4"/>
  <c r="CP42" i="4"/>
  <c r="CE42" i="4"/>
  <c r="BT42" i="4"/>
  <c r="BQ42" i="4" s="1"/>
  <c r="BI42" i="4"/>
  <c r="AX42" i="4"/>
  <c r="AM42" i="4"/>
  <c r="AB42" i="4"/>
  <c r="T42" i="4"/>
  <c r="DA41" i="4"/>
  <c r="CP41" i="4"/>
  <c r="CE41" i="4"/>
  <c r="BT41" i="4"/>
  <c r="BI41" i="4"/>
  <c r="AX41" i="4"/>
  <c r="AM41" i="4"/>
  <c r="AB41" i="4"/>
  <c r="T41" i="4"/>
  <c r="DA40" i="4"/>
  <c r="CP40" i="4"/>
  <c r="CE40" i="4"/>
  <c r="BT40" i="4"/>
  <c r="BI40" i="4"/>
  <c r="AX40" i="4"/>
  <c r="AM40" i="4"/>
  <c r="AB40" i="4"/>
  <c r="T40" i="4"/>
  <c r="DA39" i="4"/>
  <c r="CP39" i="4"/>
  <c r="CE39" i="4"/>
  <c r="BT39" i="4"/>
  <c r="BI39" i="4"/>
  <c r="AX39" i="4"/>
  <c r="AM39" i="4"/>
  <c r="AB39" i="4"/>
  <c r="Y39" i="4" s="1"/>
  <c r="T39" i="4"/>
  <c r="DA38" i="4"/>
  <c r="CP38" i="4"/>
  <c r="CE38" i="4"/>
  <c r="BT38" i="4"/>
  <c r="BI38" i="4"/>
  <c r="AX38" i="4"/>
  <c r="AM38" i="4"/>
  <c r="AB38" i="4"/>
  <c r="T38" i="4"/>
  <c r="DA37" i="4"/>
  <c r="CP37" i="4"/>
  <c r="CE37" i="4"/>
  <c r="BT37" i="4"/>
  <c r="BI37" i="4"/>
  <c r="AX37" i="4"/>
  <c r="AM37" i="4"/>
  <c r="AB37" i="4"/>
  <c r="T37" i="4"/>
  <c r="DA36" i="4"/>
  <c r="CP36" i="4"/>
  <c r="CE36" i="4"/>
  <c r="BT36" i="4"/>
  <c r="BI36" i="4"/>
  <c r="AX36" i="4"/>
  <c r="AM36" i="4"/>
  <c r="AB36" i="4"/>
  <c r="T36" i="4"/>
  <c r="DA35" i="4"/>
  <c r="CX35" i="4"/>
  <c r="CP35" i="4"/>
  <c r="CE35" i="4"/>
  <c r="BT35" i="4"/>
  <c r="BI35" i="4"/>
  <c r="AX35" i="4"/>
  <c r="AM35" i="4"/>
  <c r="AB35" i="4"/>
  <c r="T35" i="4"/>
  <c r="DA34" i="4"/>
  <c r="CP34" i="4"/>
  <c r="CE34" i="4"/>
  <c r="BT34" i="4"/>
  <c r="BI34" i="4"/>
  <c r="AX34" i="4"/>
  <c r="AM34" i="4"/>
  <c r="AB34" i="4"/>
  <c r="T34" i="4"/>
  <c r="DA33" i="4"/>
  <c r="CP33" i="4"/>
  <c r="CE33" i="4"/>
  <c r="BT33" i="4"/>
  <c r="BI33" i="4"/>
  <c r="AX33" i="4"/>
  <c r="AM33" i="4"/>
  <c r="AB33" i="4"/>
  <c r="T33" i="4"/>
  <c r="Q33" i="4" s="1"/>
  <c r="DA32" i="4"/>
  <c r="CP32" i="4"/>
  <c r="CE32" i="4"/>
  <c r="BT32" i="4"/>
  <c r="BI32" i="4"/>
  <c r="AX32" i="4"/>
  <c r="AM32" i="4"/>
  <c r="AB32" i="4"/>
  <c r="T32" i="4"/>
  <c r="DA31" i="4"/>
  <c r="CP31" i="4"/>
  <c r="CE31" i="4"/>
  <c r="BT31" i="4"/>
  <c r="BI31" i="4"/>
  <c r="BF31" i="4" s="1"/>
  <c r="AX31" i="4"/>
  <c r="AM31" i="4"/>
  <c r="AB31" i="4"/>
  <c r="T31" i="4"/>
  <c r="DA30" i="4"/>
  <c r="CP30" i="4"/>
  <c r="CE30" i="4"/>
  <c r="BT30" i="4"/>
  <c r="BI30" i="4"/>
  <c r="AY30" i="4"/>
  <c r="AT31" i="4" s="1"/>
  <c r="AX30" i="4"/>
  <c r="AM30" i="4"/>
  <c r="AB30" i="4"/>
  <c r="T30" i="4"/>
  <c r="DA29" i="4"/>
  <c r="CP29" i="4"/>
  <c r="CE29" i="4"/>
  <c r="BT29" i="4"/>
  <c r="BU29" i="4" s="1"/>
  <c r="BP30" i="4" s="1"/>
  <c r="BI29" i="4"/>
  <c r="AX29" i="4"/>
  <c r="AM29" i="4"/>
  <c r="AB29" i="4"/>
  <c r="T29" i="4"/>
  <c r="DA28" i="4"/>
  <c r="CP28" i="4"/>
  <c r="CF28" i="4"/>
  <c r="CA29" i="4" s="1"/>
  <c r="CE28" i="4"/>
  <c r="BT28" i="4"/>
  <c r="BI28" i="4"/>
  <c r="AX28" i="4"/>
  <c r="AU29" i="4" s="1"/>
  <c r="AM28" i="4"/>
  <c r="AB28" i="4"/>
  <c r="U28" i="4"/>
  <c r="P29" i="4" s="1"/>
  <c r="T28" i="4"/>
  <c r="DA27" i="4"/>
  <c r="CP27" i="4"/>
  <c r="CE27" i="4"/>
  <c r="BT27" i="4"/>
  <c r="BI27" i="4"/>
  <c r="AX27" i="4"/>
  <c r="AY27" i="4" s="1"/>
  <c r="AT28" i="4" s="1"/>
  <c r="AM27" i="4"/>
  <c r="AB27" i="4"/>
  <c r="T27" i="4"/>
  <c r="DA26" i="4"/>
  <c r="CP26" i="4"/>
  <c r="CF26" i="4"/>
  <c r="CA27" i="4" s="1"/>
  <c r="CE26" i="4"/>
  <c r="BT26" i="4"/>
  <c r="BI26" i="4"/>
  <c r="AX26" i="4"/>
  <c r="AM26" i="4"/>
  <c r="AB26" i="4"/>
  <c r="T26" i="4"/>
  <c r="U26" i="4" s="1"/>
  <c r="P27" i="4" s="1"/>
  <c r="DA25" i="4"/>
  <c r="CP25" i="4"/>
  <c r="CE25" i="4"/>
  <c r="BT25" i="4"/>
  <c r="BI25" i="4"/>
  <c r="AY25" i="4"/>
  <c r="AT26" i="4" s="1"/>
  <c r="AX25" i="4"/>
  <c r="AM25" i="4"/>
  <c r="AB25" i="4"/>
  <c r="T25" i="4"/>
  <c r="DA24" i="4"/>
  <c r="CP24" i="4"/>
  <c r="CE24" i="4"/>
  <c r="CF24" i="4" s="1"/>
  <c r="CA25" i="4" s="1"/>
  <c r="BT24" i="4"/>
  <c r="BI24" i="4"/>
  <c r="AX24" i="4"/>
  <c r="AM24" i="4"/>
  <c r="AB24" i="4"/>
  <c r="T24" i="4"/>
  <c r="DA23" i="4"/>
  <c r="CP23" i="4"/>
  <c r="CE23" i="4"/>
  <c r="BT23" i="4"/>
  <c r="BQ23" i="4"/>
  <c r="BI23" i="4"/>
  <c r="AX23" i="4"/>
  <c r="AM23" i="4"/>
  <c r="AB23" i="4"/>
  <c r="T23" i="4"/>
  <c r="Q23" i="4"/>
  <c r="DA22" i="4"/>
  <c r="CP22" i="4"/>
  <c r="CM22" i="4" s="1"/>
  <c r="CE22" i="4"/>
  <c r="BT22" i="4"/>
  <c r="BI22" i="4"/>
  <c r="AX22" i="4"/>
  <c r="AM22" i="4"/>
  <c r="AB22" i="4"/>
  <c r="T22" i="4"/>
  <c r="DA21" i="4"/>
  <c r="CP21" i="4"/>
  <c r="CE21" i="4"/>
  <c r="BT21" i="4"/>
  <c r="BI21" i="4"/>
  <c r="BF21" i="4" s="1"/>
  <c r="AX21" i="4"/>
  <c r="AM21" i="4"/>
  <c r="AN21" i="4" s="1"/>
  <c r="AI22" i="4" s="1"/>
  <c r="AJ21" i="4"/>
  <c r="AB21" i="4"/>
  <c r="T21" i="4"/>
  <c r="DA20" i="4"/>
  <c r="CP20" i="4"/>
  <c r="CE20" i="4"/>
  <c r="CF20" i="4" s="1"/>
  <c r="CA21" i="4" s="1"/>
  <c r="CD20" i="4"/>
  <c r="BT20" i="4"/>
  <c r="BI20" i="4"/>
  <c r="AX20" i="4"/>
  <c r="AM20" i="4"/>
  <c r="AN20" i="4" s="1"/>
  <c r="AI21" i="4" s="1"/>
  <c r="AB20" i="4"/>
  <c r="T20" i="4"/>
  <c r="DA19" i="4"/>
  <c r="CP19" i="4"/>
  <c r="CE19" i="4"/>
  <c r="BT19" i="4"/>
  <c r="BQ19" i="4"/>
  <c r="BI19" i="4"/>
  <c r="AX19" i="4"/>
  <c r="AM19" i="4"/>
  <c r="AB19" i="4"/>
  <c r="T19" i="4"/>
  <c r="Q19" i="4"/>
  <c r="DA18" i="4"/>
  <c r="CP18" i="4"/>
  <c r="CM18" i="4" s="1"/>
  <c r="CE18" i="4"/>
  <c r="BT18" i="4"/>
  <c r="BI18" i="4"/>
  <c r="BF19" i="4" s="1"/>
  <c r="BH18" i="4"/>
  <c r="AX18" i="4"/>
  <c r="AM18" i="4"/>
  <c r="AB18" i="4"/>
  <c r="T18" i="4"/>
  <c r="DA17" i="4"/>
  <c r="CP17" i="4"/>
  <c r="CE17" i="4"/>
  <c r="BT17" i="4"/>
  <c r="BI17" i="4"/>
  <c r="AX17" i="4"/>
  <c r="AM17" i="4"/>
  <c r="AN17" i="4" s="1"/>
  <c r="AI18" i="4" s="1"/>
  <c r="AJ17" i="4"/>
  <c r="AB17" i="4"/>
  <c r="T17" i="4"/>
  <c r="DA16" i="4"/>
  <c r="CP16" i="4"/>
  <c r="CE16" i="4"/>
  <c r="CF16" i="4" s="1"/>
  <c r="CA17" i="4" s="1"/>
  <c r="CD16" i="4"/>
  <c r="BT16" i="4"/>
  <c r="BI16" i="4"/>
  <c r="AX16" i="4"/>
  <c r="AM16" i="4"/>
  <c r="AB16" i="4"/>
  <c r="AA16" i="4"/>
  <c r="T16" i="4"/>
  <c r="DA15" i="4"/>
  <c r="CP15" i="4"/>
  <c r="CE15" i="4"/>
  <c r="BT15" i="4"/>
  <c r="BQ15" i="4" s="1"/>
  <c r="BI15" i="4"/>
  <c r="AX15" i="4"/>
  <c r="AM15" i="4"/>
  <c r="AJ16" i="4" s="1"/>
  <c r="AB15" i="4"/>
  <c r="T15" i="4"/>
  <c r="DA14" i="4"/>
  <c r="CP14" i="4"/>
  <c r="CQ14" i="4" s="1"/>
  <c r="CL15" i="4" s="1"/>
  <c r="CE14" i="4"/>
  <c r="BT14" i="4"/>
  <c r="BI14" i="4"/>
  <c r="BF15" i="4" s="1"/>
  <c r="AX14" i="4"/>
  <c r="AM14" i="4"/>
  <c r="AJ15" i="4" s="1"/>
  <c r="AB14" i="4"/>
  <c r="Y15" i="4" s="1"/>
  <c r="U14" i="4"/>
  <c r="P15" i="4" s="1"/>
  <c r="T14" i="4"/>
  <c r="DA13" i="4"/>
  <c r="CP13" i="4"/>
  <c r="CE13" i="4"/>
  <c r="BT13" i="4"/>
  <c r="BI13" i="4"/>
  <c r="BH13" i="4"/>
  <c r="AX13" i="4"/>
  <c r="AM13" i="4"/>
  <c r="AN13" i="4" s="1"/>
  <c r="AI14" i="4" s="1"/>
  <c r="AL13" i="4"/>
  <c r="AC13" i="4"/>
  <c r="X14" i="4" s="1"/>
  <c r="AB13" i="4"/>
  <c r="T13" i="4"/>
  <c r="Q14" i="4" s="1"/>
  <c r="DA12" i="4"/>
  <c r="CX13" i="4" s="1"/>
  <c r="CZ12" i="4"/>
  <c r="CP12" i="4"/>
  <c r="CQ12" i="4" s="1"/>
  <c r="CL13" i="4" s="1"/>
  <c r="CE12" i="4"/>
  <c r="CB13" i="4" s="1"/>
  <c r="CD12" i="4"/>
  <c r="CB12" i="4"/>
  <c r="BT12" i="4"/>
  <c r="BU12" i="4" s="1"/>
  <c r="BP13" i="4" s="1"/>
  <c r="BI12" i="4"/>
  <c r="BF13" i="4" s="1"/>
  <c r="BH12" i="4"/>
  <c r="BF12" i="4"/>
  <c r="AX12" i="4"/>
  <c r="AU13" i="4" s="1"/>
  <c r="AM12" i="4"/>
  <c r="AB12" i="4"/>
  <c r="Y13" i="4" s="1"/>
  <c r="AA12" i="4"/>
  <c r="Y12" i="4"/>
  <c r="T12" i="4"/>
  <c r="DA11" i="4"/>
  <c r="CX12" i="4" s="1"/>
  <c r="CP11" i="4"/>
  <c r="CE11" i="4"/>
  <c r="CF11" i="4" s="1"/>
  <c r="CA12" i="4" s="1"/>
  <c r="CD11" i="4"/>
  <c r="CB11" i="4"/>
  <c r="BT11" i="4"/>
  <c r="BQ12" i="4" s="1"/>
  <c r="BS11" i="4"/>
  <c r="BI11" i="4"/>
  <c r="BJ11" i="4" s="1"/>
  <c r="BE12" i="4" s="1"/>
  <c r="AX11" i="4"/>
  <c r="AU12" i="4" s="1"/>
  <c r="AM11" i="4"/>
  <c r="AN11" i="4" s="1"/>
  <c r="AI12" i="4" s="1"/>
  <c r="AB11" i="4"/>
  <c r="T11" i="4"/>
  <c r="Q12" i="4" s="1"/>
  <c r="DA10" i="4"/>
  <c r="CP10" i="4"/>
  <c r="CM11" i="4" s="1"/>
  <c r="CE10" i="4"/>
  <c r="BT10" i="4"/>
  <c r="BQ11" i="4" s="1"/>
  <c r="BJ10" i="4"/>
  <c r="BE11" i="4" s="1"/>
  <c r="BI10" i="4"/>
  <c r="AX10" i="4"/>
  <c r="AY10" i="4" s="1"/>
  <c r="AT11" i="4" s="1"/>
  <c r="AM10" i="4"/>
  <c r="AJ11" i="4" s="1"/>
  <c r="AL10" i="4"/>
  <c r="AB10" i="4"/>
  <c r="AC10" i="4" s="1"/>
  <c r="X11" i="4" s="1"/>
  <c r="T10" i="4"/>
  <c r="Q11" i="4" s="1"/>
  <c r="DA9" i="4"/>
  <c r="DB9" i="4" s="1"/>
  <c r="CW10" i="4" s="1"/>
  <c r="CP9" i="4"/>
  <c r="CE9" i="4"/>
  <c r="CB10" i="4" s="1"/>
  <c r="BT9" i="4"/>
  <c r="BJ9" i="4"/>
  <c r="BE10" i="4" s="1"/>
  <c r="BI9" i="4"/>
  <c r="BF10" i="4" s="1"/>
  <c r="BH9" i="4"/>
  <c r="BF9" i="4"/>
  <c r="AX9" i="4"/>
  <c r="AM9" i="4"/>
  <c r="AJ10" i="4" s="1"/>
  <c r="AL9" i="4"/>
  <c r="AC9" i="4"/>
  <c r="X10" i="4" s="1"/>
  <c r="AB9" i="4"/>
  <c r="T9" i="4"/>
  <c r="U9" i="4" s="1"/>
  <c r="P10" i="4" s="1"/>
  <c r="DA8" i="4"/>
  <c r="CX9" i="4" s="1"/>
  <c r="CZ8" i="4"/>
  <c r="CP8" i="4"/>
  <c r="CQ8" i="4" s="1"/>
  <c r="CL9" i="4" s="1"/>
  <c r="CF8" i="4"/>
  <c r="CA9" i="4" s="1"/>
  <c r="CE8" i="4"/>
  <c r="CB9" i="4" s="1"/>
  <c r="CD8" i="4"/>
  <c r="CB8" i="4"/>
  <c r="BT8" i="4"/>
  <c r="BU8" i="4" s="1"/>
  <c r="BP9" i="4" s="1"/>
  <c r="BJ8" i="4"/>
  <c r="BE9" i="4" s="1"/>
  <c r="BI8" i="4"/>
  <c r="BH8" i="4"/>
  <c r="BF8" i="4"/>
  <c r="AX8" i="4"/>
  <c r="AU9" i="4" s="1"/>
  <c r="AM8" i="4"/>
  <c r="AL8" i="4"/>
  <c r="AJ8" i="4"/>
  <c r="AC8" i="4"/>
  <c r="X9" i="4" s="1"/>
  <c r="AB8" i="4"/>
  <c r="Y9" i="4" s="1"/>
  <c r="AA8" i="4"/>
  <c r="Y8" i="4"/>
  <c r="T8" i="4"/>
  <c r="DA7" i="4"/>
  <c r="CX8" i="4" s="1"/>
  <c r="CZ7" i="4"/>
  <c r="CP7" i="4"/>
  <c r="CE7" i="4"/>
  <c r="CF7" i="4" s="1"/>
  <c r="CA8" i="4" s="1"/>
  <c r="CD7" i="4"/>
  <c r="CB7" i="4"/>
  <c r="CA7" i="4"/>
  <c r="BT7" i="4"/>
  <c r="BQ8" i="4" s="1"/>
  <c r="BS7" i="4"/>
  <c r="BI7" i="4"/>
  <c r="BJ7" i="4" s="1"/>
  <c r="BE8" i="4" s="1"/>
  <c r="BF7" i="4"/>
  <c r="AX7" i="4"/>
  <c r="AU8" i="4" s="1"/>
  <c r="AM7" i="4"/>
  <c r="AN7" i="4" s="1"/>
  <c r="AI8" i="4" s="1"/>
  <c r="AB7" i="4"/>
  <c r="AA7" i="4"/>
  <c r="Y7" i="4"/>
  <c r="T7" i="4"/>
  <c r="Q8" i="4" s="1"/>
  <c r="DA6" i="4"/>
  <c r="CP6" i="4"/>
  <c r="CM7" i="4" s="1"/>
  <c r="CF6" i="4"/>
  <c r="CE6" i="4"/>
  <c r="CD6" i="4"/>
  <c r="BT6" i="4"/>
  <c r="BQ7" i="4" s="1"/>
  <c r="BJ6" i="4"/>
  <c r="BE7" i="4" s="1"/>
  <c r="BI6" i="4"/>
  <c r="AX6" i="4"/>
  <c r="AY6" i="4" s="1"/>
  <c r="AT7" i="4" s="1"/>
  <c r="AM6" i="4"/>
  <c r="AJ7" i="4" s="1"/>
  <c r="AL6" i="4"/>
  <c r="AB6" i="4"/>
  <c r="AC6" i="4" s="1"/>
  <c r="X7" i="4" s="1"/>
  <c r="T6" i="4"/>
  <c r="Q7" i="4" s="1"/>
  <c r="Q6" i="4"/>
  <c r="DA5" i="4"/>
  <c r="DB5" i="4" s="1"/>
  <c r="CW6" i="4" s="1"/>
  <c r="CP5" i="4"/>
  <c r="CQ5" i="4" s="1"/>
  <c r="CL6" i="4" s="1"/>
  <c r="CE5" i="4"/>
  <c r="CB6" i="4" s="1"/>
  <c r="BT5" i="4"/>
  <c r="BJ5" i="4"/>
  <c r="BE6" i="4" s="1"/>
  <c r="BI5" i="4"/>
  <c r="BF6" i="4" s="1"/>
  <c r="BH5" i="4"/>
  <c r="BF5" i="4"/>
  <c r="AX5" i="4"/>
  <c r="AM5" i="4"/>
  <c r="AJ6" i="4" s="1"/>
  <c r="AL5" i="4"/>
  <c r="AI5" i="4"/>
  <c r="AC5" i="4"/>
  <c r="X6" i="4" s="1"/>
  <c r="AB5" i="4"/>
  <c r="T5" i="4"/>
  <c r="U5" i="4" s="1"/>
  <c r="P6" i="4" s="1"/>
  <c r="Q5" i="4"/>
  <c r="DA4" i="4"/>
  <c r="CX4" i="4" s="1"/>
  <c r="CZ4" i="4"/>
  <c r="CW4" i="4"/>
  <c r="CP4" i="4"/>
  <c r="CQ4" i="4" s="1"/>
  <c r="CL5" i="4" s="1"/>
  <c r="CL4" i="4"/>
  <c r="CF4" i="4"/>
  <c r="CA5" i="4" s="1"/>
  <c r="CE4" i="4"/>
  <c r="CB5" i="4" s="1"/>
  <c r="CD4" i="4"/>
  <c r="CB4" i="4"/>
  <c r="CA4" i="4"/>
  <c r="BT4" i="4"/>
  <c r="BU4" i="4" s="1"/>
  <c r="BP5" i="4" s="1"/>
  <c r="BP4" i="4"/>
  <c r="BJ4" i="4"/>
  <c r="BE5" i="4" s="1"/>
  <c r="BI4" i="4"/>
  <c r="BH4" i="4"/>
  <c r="BF4" i="4"/>
  <c r="BE4" i="4"/>
  <c r="AX4" i="4"/>
  <c r="AU4" i="4" s="1"/>
  <c r="AT4" i="4"/>
  <c r="AN4" i="4"/>
  <c r="AM4" i="4"/>
  <c r="AL4" i="4"/>
  <c r="AJ4" i="4"/>
  <c r="AI4" i="4"/>
  <c r="AC4" i="4"/>
  <c r="X5" i="4" s="1"/>
  <c r="AB4" i="4"/>
  <c r="Y5" i="4" s="1"/>
  <c r="AA4" i="4"/>
  <c r="Y4" i="4"/>
  <c r="X4" i="4"/>
  <c r="T4" i="4"/>
  <c r="Q4" i="4" s="1"/>
  <c r="P4" i="4"/>
  <c r="DB1" i="4"/>
  <c r="CZ24" i="4" s="1"/>
  <c r="CQ1" i="4"/>
  <c r="CM12" i="4" s="1"/>
  <c r="CF1" i="4"/>
  <c r="CD25" i="4" s="1"/>
  <c r="BU1" i="4"/>
  <c r="BS23" i="4" s="1"/>
  <c r="BJ1" i="4"/>
  <c r="BH36" i="4" s="1"/>
  <c r="AY1" i="4"/>
  <c r="AY21" i="4" s="1"/>
  <c r="AT22" i="4" s="1"/>
  <c r="AN1" i="4"/>
  <c r="AN27" i="4" s="1"/>
  <c r="AI28" i="4" s="1"/>
  <c r="AC1" i="4"/>
  <c r="AC65" i="4" s="1"/>
  <c r="X66" i="4" s="1"/>
  <c r="U1" i="4"/>
  <c r="S22" i="4" s="1"/>
  <c r="BE162" i="1"/>
  <c r="BE161" i="1"/>
  <c r="BE160" i="1"/>
  <c r="BE159" i="1"/>
  <c r="BE158" i="1"/>
  <c r="BE157" i="1"/>
  <c r="BE156" i="1"/>
  <c r="BE114" i="1"/>
  <c r="AT162" i="1"/>
  <c r="AT161" i="1"/>
  <c r="AT114" i="1"/>
  <c r="AI162" i="1"/>
  <c r="AI161" i="1"/>
  <c r="AI160" i="1"/>
  <c r="AI159" i="1"/>
  <c r="AI114" i="1"/>
  <c r="AI107" i="1"/>
  <c r="AI106" i="1"/>
  <c r="AI105" i="1"/>
  <c r="AI104" i="1"/>
  <c r="AI103" i="1"/>
  <c r="AI102" i="1"/>
  <c r="AI101" i="1"/>
  <c r="AI100" i="1"/>
  <c r="AI99" i="1"/>
  <c r="AI98" i="1"/>
  <c r="AI59" i="1"/>
  <c r="AT107" i="1"/>
  <c r="AT106" i="1"/>
  <c r="AT105" i="1"/>
  <c r="AT104" i="1"/>
  <c r="AT103" i="1"/>
  <c r="AT102" i="1"/>
  <c r="AT101" i="1"/>
  <c r="AT100" i="1"/>
  <c r="AT99" i="1"/>
  <c r="AT59" i="1"/>
  <c r="BE107" i="1"/>
  <c r="BE106" i="1"/>
  <c r="BE105" i="1"/>
  <c r="BE104" i="1"/>
  <c r="BE103" i="1"/>
  <c r="BE102" i="1"/>
  <c r="BE101" i="1"/>
  <c r="BE100" i="1"/>
  <c r="BE99" i="1"/>
  <c r="BE59" i="1"/>
  <c r="BP107" i="1"/>
  <c r="BP106" i="1"/>
  <c r="BP59" i="1"/>
  <c r="CA107" i="1"/>
  <c r="CA106" i="1"/>
  <c r="CA105" i="1"/>
  <c r="CA104" i="1"/>
  <c r="CA59" i="1"/>
  <c r="CL107" i="1"/>
  <c r="CL106" i="1"/>
  <c r="CL105" i="1"/>
  <c r="CL104" i="1"/>
  <c r="CL103" i="1"/>
  <c r="CL102" i="1"/>
  <c r="CL101" i="1"/>
  <c r="CL100" i="1"/>
  <c r="CL99" i="1"/>
  <c r="CL98" i="1"/>
  <c r="CL59" i="1"/>
  <c r="CW59" i="1"/>
  <c r="CW52" i="1"/>
  <c r="CW51" i="1"/>
  <c r="CW4" i="1"/>
  <c r="CL52" i="1"/>
  <c r="CL51" i="1"/>
  <c r="CL50" i="1"/>
  <c r="CL4" i="1"/>
  <c r="CA52" i="1"/>
  <c r="CA51" i="1"/>
  <c r="CA50" i="1"/>
  <c r="CA49" i="1"/>
  <c r="CA4" i="1"/>
  <c r="BP52" i="1"/>
  <c r="BP51" i="1"/>
  <c r="BP50" i="1"/>
  <c r="BP4" i="1"/>
  <c r="BE52" i="1"/>
  <c r="BE51" i="1"/>
  <c r="BE50" i="1"/>
  <c r="BE49" i="1"/>
  <c r="BE48" i="1"/>
  <c r="BE4" i="1"/>
  <c r="AT52" i="1"/>
  <c r="AT51" i="1"/>
  <c r="AT50" i="1"/>
  <c r="AT49" i="1"/>
  <c r="AT48" i="1"/>
  <c r="AT47" i="1"/>
  <c r="AT46" i="1"/>
  <c r="AT45" i="1"/>
  <c r="AT4" i="1"/>
  <c r="AI52" i="1"/>
  <c r="AI51" i="1"/>
  <c r="AI50" i="1"/>
  <c r="AI49" i="1"/>
  <c r="AI48" i="1"/>
  <c r="AI47" i="1"/>
  <c r="AI4" i="1"/>
  <c r="X150" i="1"/>
  <c r="X149" i="1"/>
  <c r="X148" i="1"/>
  <c r="X147" i="1"/>
  <c r="X146" i="1"/>
  <c r="X145" i="1"/>
  <c r="X144" i="1"/>
  <c r="X143" i="1"/>
  <c r="X142" i="1"/>
  <c r="X141" i="1"/>
  <c r="X140" i="1"/>
  <c r="X139" i="1"/>
  <c r="X138" i="1"/>
  <c r="X137" i="1"/>
  <c r="X136" i="1"/>
  <c r="X135" i="1"/>
  <c r="X134" i="1"/>
  <c r="X133" i="1"/>
  <c r="X132" i="1"/>
  <c r="X131" i="1"/>
  <c r="X130" i="1"/>
  <c r="X129" i="1"/>
  <c r="X128" i="1"/>
  <c r="X127" i="1"/>
  <c r="X126" i="1"/>
  <c r="X125" i="1"/>
  <c r="X124" i="1"/>
  <c r="X123" i="1"/>
  <c r="X122" i="1"/>
  <c r="X121" i="1"/>
  <c r="X120" i="1"/>
  <c r="X119" i="1"/>
  <c r="X118" i="1"/>
  <c r="X117" i="1"/>
  <c r="X116" i="1"/>
  <c r="X115" i="1"/>
  <c r="X114" i="1"/>
  <c r="X113" i="1"/>
  <c r="X112" i="1"/>
  <c r="X111" i="1"/>
  <c r="X110" i="1"/>
  <c r="X109" i="1"/>
  <c r="X108" i="1"/>
  <c r="X107" i="1"/>
  <c r="X106" i="1"/>
  <c r="X105" i="1"/>
  <c r="X104" i="1"/>
  <c r="X103" i="1"/>
  <c r="X102" i="1"/>
  <c r="X101" i="1"/>
  <c r="X100" i="1"/>
  <c r="X4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4" i="1"/>
  <c r="BX4" i="1" a="1"/>
  <c r="BH1" i="4" a="1"/>
  <c r="BF1" i="4" a="1"/>
  <c r="BS56" i="4" a="1"/>
  <c r="CZ1" i="4" a="1"/>
  <c r="AW1" i="4" a="1"/>
  <c r="AJ111" i="4" a="1"/>
  <c r="CB56" i="4" a="1"/>
  <c r="AJ56" i="4" a="1"/>
  <c r="AL56" i="4" a="1"/>
  <c r="CM56" i="4" a="1"/>
  <c r="AW56" i="4" a="1"/>
  <c r="AU1" i="4" a="1"/>
  <c r="CB1" i="4" a="1"/>
  <c r="BF111" i="4" a="1"/>
  <c r="CX1" i="4" a="1"/>
  <c r="AU56" i="4" a="1"/>
  <c r="AU111" i="4" a="1"/>
  <c r="BF56" i="4" a="1"/>
  <c r="AJ1" i="4" a="1"/>
  <c r="CO1" i="4" a="1"/>
  <c r="AL111" i="4" a="1"/>
  <c r="CD1" i="4" a="1"/>
  <c r="BS1" i="4" a="1"/>
  <c r="CO56" i="4" a="1"/>
  <c r="CZ56" i="4" a="1"/>
  <c r="CD56" i="4" a="1"/>
  <c r="BQ56" i="4" a="1"/>
  <c r="BQ1" i="4" a="1"/>
  <c r="AW111" i="4" a="1"/>
  <c r="BH56" i="4" a="1"/>
  <c r="AL1" i="4" a="1"/>
  <c r="BH111" i="4" a="1"/>
  <c r="CX56" i="4" a="1"/>
  <c r="CM1" i="4" a="1"/>
  <c r="BX4" i="1" l="1"/>
  <c r="CQ98" i="4"/>
  <c r="CL99" i="4" s="1"/>
  <c r="CM97" i="4"/>
  <c r="CQ97" i="4"/>
  <c r="CL98" i="4" s="1"/>
  <c r="CM98" i="4"/>
  <c r="CO98" i="4"/>
  <c r="CM62" i="4"/>
  <c r="CQ67" i="4"/>
  <c r="CL68" i="4" s="1"/>
  <c r="CM61" i="4"/>
  <c r="CO97" i="4"/>
  <c r="CM67" i="4"/>
  <c r="CQ96" i="4"/>
  <c r="CL97" i="4" s="1"/>
  <c r="CM69" i="4"/>
  <c r="CM96" i="4"/>
  <c r="CO60" i="4"/>
  <c r="CO61" i="4"/>
  <c r="CO66" i="4"/>
  <c r="CO67" i="4"/>
  <c r="CO71" i="4"/>
  <c r="CM77" i="4"/>
  <c r="CO89" i="4"/>
  <c r="CM63" i="4"/>
  <c r="CO68" i="4"/>
  <c r="CO70" i="4"/>
  <c r="CO75" i="4"/>
  <c r="CQ68" i="4"/>
  <c r="CL69" i="4" s="1"/>
  <c r="CQ69" i="4"/>
  <c r="CL70" i="4" s="1"/>
  <c r="CM75" i="4"/>
  <c r="CQ93" i="4"/>
  <c r="CL94" i="4" s="1"/>
  <c r="CQ64" i="4"/>
  <c r="CL65" i="4" s="1"/>
  <c r="CM66" i="4"/>
  <c r="CM59" i="4"/>
  <c r="CQ73" i="4"/>
  <c r="CL74" i="4" s="1"/>
  <c r="CO96" i="4"/>
  <c r="CO59" i="4"/>
  <c r="CQ77" i="4"/>
  <c r="CL78" i="4" s="1"/>
  <c r="CM72" i="4"/>
  <c r="CM71" i="4"/>
  <c r="CQ61" i="4"/>
  <c r="CL62" i="4" s="1"/>
  <c r="CM70" i="4"/>
  <c r="CM65" i="4"/>
  <c r="CQ60" i="4"/>
  <c r="CL61" i="4" s="1"/>
  <c r="CQ62" i="4"/>
  <c r="CL63" i="4" s="1"/>
  <c r="CM64" i="4"/>
  <c r="CX1" i="4"/>
  <c r="AW1" i="4"/>
  <c r="CB1" i="4"/>
  <c r="CZ1" i="4"/>
  <c r="BF1" i="4"/>
  <c r="CD1" i="4"/>
  <c r="AU1" i="4"/>
  <c r="AJ1" i="4"/>
  <c r="BH1" i="4"/>
  <c r="BS1" i="4"/>
  <c r="CM1" i="4"/>
  <c r="AL1" i="4"/>
  <c r="BQ1" i="4"/>
  <c r="CO1" i="4"/>
  <c r="CB56" i="4"/>
  <c r="AW56" i="4"/>
  <c r="CD56" i="4"/>
  <c r="BF56" i="4"/>
  <c r="CM56" i="4"/>
  <c r="BH56" i="4"/>
  <c r="CZ56" i="4"/>
  <c r="AJ56" i="4"/>
  <c r="AL56" i="4"/>
  <c r="BQ56" i="4"/>
  <c r="CO56" i="4"/>
  <c r="AU56" i="4"/>
  <c r="BS56" i="4"/>
  <c r="CX56" i="4"/>
  <c r="AW111" i="4"/>
  <c r="BF111" i="4"/>
  <c r="AJ111" i="4"/>
  <c r="BH111" i="4"/>
  <c r="AL111" i="4"/>
  <c r="AU111" i="4"/>
  <c r="CM10" i="4"/>
  <c r="AY4" i="4"/>
  <c r="AT5" i="4" s="1"/>
  <c r="CF5" i="4"/>
  <c r="CA6" i="4" s="1"/>
  <c r="CO6" i="4"/>
  <c r="U7" i="4"/>
  <c r="P8" i="4" s="1"/>
  <c r="AU7" i="4"/>
  <c r="AY8" i="4"/>
  <c r="AT9" i="4" s="1"/>
  <c r="CF9" i="4"/>
  <c r="CA10" i="4" s="1"/>
  <c r="Q10" i="4"/>
  <c r="CO10" i="4"/>
  <c r="U11" i="4"/>
  <c r="P12" i="4" s="1"/>
  <c r="AU11" i="4"/>
  <c r="AY12" i="4"/>
  <c r="AT13" i="4" s="1"/>
  <c r="BF14" i="4"/>
  <c r="CM13" i="4"/>
  <c r="BJ14" i="4"/>
  <c r="BE15" i="4" s="1"/>
  <c r="AN15" i="4"/>
  <c r="AI16" i="4" s="1"/>
  <c r="Y17" i="4"/>
  <c r="AC16" i="4"/>
  <c r="X17" i="4" s="1"/>
  <c r="CX18" i="4"/>
  <c r="S19" i="4"/>
  <c r="BS19" i="4"/>
  <c r="Y20" i="4"/>
  <c r="CX22" i="4"/>
  <c r="BH22" i="4"/>
  <c r="S23" i="4"/>
  <c r="Y24" i="4"/>
  <c r="CQ24" i="4"/>
  <c r="CL25" i="4" s="1"/>
  <c r="AC26" i="4"/>
  <c r="X27" i="4" s="1"/>
  <c r="BJ27" i="4"/>
  <c r="BE28" i="4" s="1"/>
  <c r="CB29" i="4"/>
  <c r="AN32" i="4"/>
  <c r="AI33" i="4" s="1"/>
  <c r="AJ32" i="4"/>
  <c r="DB34" i="4"/>
  <c r="CW35" i="4" s="1"/>
  <c r="CX34" i="4"/>
  <c r="CZ35" i="4"/>
  <c r="CX43" i="4"/>
  <c r="Q45" i="4"/>
  <c r="BQ47" i="4"/>
  <c r="CQ11" i="4"/>
  <c r="CL12" i="4" s="1"/>
  <c r="BS47" i="4"/>
  <c r="BS43" i="4"/>
  <c r="BS39" i="4"/>
  <c r="BS35" i="4"/>
  <c r="BS31" i="4"/>
  <c r="BS48" i="4"/>
  <c r="BS44" i="4"/>
  <c r="BS40" i="4"/>
  <c r="BS36" i="4"/>
  <c r="BS32" i="4"/>
  <c r="BS28" i="4"/>
  <c r="BQ48" i="4"/>
  <c r="BQ44" i="4"/>
  <c r="BQ40" i="4"/>
  <c r="BS49" i="4"/>
  <c r="BS45" i="4"/>
  <c r="BS41" i="4"/>
  <c r="BS37" i="4"/>
  <c r="BS46" i="4"/>
  <c r="BS33" i="4"/>
  <c r="BS24" i="4"/>
  <c r="BS20" i="4"/>
  <c r="BS16" i="4"/>
  <c r="BQ46" i="4"/>
  <c r="BU17" i="4"/>
  <c r="BP18" i="4" s="1"/>
  <c r="BS42" i="4"/>
  <c r="BS38" i="4"/>
  <c r="BS29" i="4"/>
  <c r="BS25" i="4"/>
  <c r="BS21" i="4"/>
  <c r="BS17" i="4"/>
  <c r="BS13" i="4"/>
  <c r="BU43" i="4"/>
  <c r="BP44" i="4" s="1"/>
  <c r="BU39" i="4"/>
  <c r="BP40" i="4" s="1"/>
  <c r="BS30" i="4"/>
  <c r="BQ49" i="4"/>
  <c r="BU35" i="4"/>
  <c r="BP36" i="4" s="1"/>
  <c r="BQ30" i="4"/>
  <c r="BS26" i="4"/>
  <c r="BS22" i="4"/>
  <c r="BS18" i="4"/>
  <c r="BU31" i="4"/>
  <c r="BP32" i="4" s="1"/>
  <c r="BU27" i="4"/>
  <c r="BP28" i="4" s="1"/>
  <c r="BQ26" i="4"/>
  <c r="BQ45" i="4"/>
  <c r="BU46" i="4"/>
  <c r="BP47" i="4" s="1"/>
  <c r="DB4" i="4"/>
  <c r="CW5" i="4" s="1"/>
  <c r="AJ5" i="4"/>
  <c r="S6" i="4"/>
  <c r="AN6" i="4"/>
  <c r="AI7" i="4" s="1"/>
  <c r="BQ6" i="4"/>
  <c r="AW7" i="4"/>
  <c r="BU7" i="4"/>
  <c r="BP8" i="4" s="1"/>
  <c r="CX7" i="4"/>
  <c r="DB8" i="4"/>
  <c r="CW9" i="4" s="1"/>
  <c r="AJ9" i="4"/>
  <c r="S10" i="4"/>
  <c r="AN10" i="4"/>
  <c r="AI11" i="4" s="1"/>
  <c r="BQ10" i="4"/>
  <c r="AW11" i="4"/>
  <c r="BU11" i="4"/>
  <c r="BP12" i="4" s="1"/>
  <c r="CX11" i="4"/>
  <c r="DB12" i="4"/>
  <c r="CW13" i="4" s="1"/>
  <c r="AJ13" i="4"/>
  <c r="BJ13" i="4"/>
  <c r="BE14" i="4" s="1"/>
  <c r="CO13" i="4"/>
  <c r="AC14" i="4"/>
  <c r="X15" i="4" s="1"/>
  <c r="CO15" i="4"/>
  <c r="CQ16" i="4"/>
  <c r="CL17" i="4" s="1"/>
  <c r="DB17" i="4"/>
  <c r="CW18" i="4" s="1"/>
  <c r="Q20" i="4"/>
  <c r="U19" i="4"/>
  <c r="P20" i="4" s="1"/>
  <c r="BQ20" i="4"/>
  <c r="Y21" i="4"/>
  <c r="AC20" i="4"/>
  <c r="X21" i="4" s="1"/>
  <c r="CQ20" i="4"/>
  <c r="CL21" i="4" s="1"/>
  <c r="DB21" i="4"/>
  <c r="CW22" i="4" s="1"/>
  <c r="BF23" i="4"/>
  <c r="Q24" i="4"/>
  <c r="U23" i="4"/>
  <c r="P24" i="4" s="1"/>
  <c r="BQ24" i="4"/>
  <c r="Y25" i="4"/>
  <c r="AC24" i="4"/>
  <c r="X25" i="4" s="1"/>
  <c r="BF25" i="4"/>
  <c r="CM26" i="4"/>
  <c r="Y28" i="4"/>
  <c r="CX29" i="4"/>
  <c r="AJ33" i="4"/>
  <c r="Y34" i="4"/>
  <c r="Q37" i="4"/>
  <c r="AW39" i="4"/>
  <c r="BF40" i="4"/>
  <c r="BQ41" i="4"/>
  <c r="CM5" i="4"/>
  <c r="BS6" i="4"/>
  <c r="CQ6" i="4"/>
  <c r="CL7" i="4" s="1"/>
  <c r="CM9" i="4"/>
  <c r="BS10" i="4"/>
  <c r="CQ10" i="4"/>
  <c r="CL11" i="4" s="1"/>
  <c r="Y11" i="4"/>
  <c r="CZ11" i="4"/>
  <c r="AC12" i="4"/>
  <c r="X13" i="4" s="1"/>
  <c r="CQ13" i="4"/>
  <c r="CL14" i="4" s="1"/>
  <c r="BQ14" i="4"/>
  <c r="DB14" i="4"/>
  <c r="CW15" i="4" s="1"/>
  <c r="AU15" i="4"/>
  <c r="CM16" i="4"/>
  <c r="AU16" i="4"/>
  <c r="AY17" i="4"/>
  <c r="AT18" i="4" s="1"/>
  <c r="BJ18" i="4"/>
  <c r="BE19" i="4" s="1"/>
  <c r="BU19" i="4"/>
  <c r="BP20" i="4" s="1"/>
  <c r="BJ22" i="4"/>
  <c r="BE23" i="4" s="1"/>
  <c r="BU23" i="4"/>
  <c r="BP24" i="4" s="1"/>
  <c r="AN24" i="4"/>
  <c r="AI25" i="4" s="1"/>
  <c r="CX24" i="4"/>
  <c r="BF26" i="4"/>
  <c r="AJ26" i="4"/>
  <c r="CM27" i="4"/>
  <c r="BQ27" i="4"/>
  <c r="S29" i="4"/>
  <c r="CF29" i="4"/>
  <c r="CA30" i="4" s="1"/>
  <c r="BH31" i="4"/>
  <c r="AL33" i="4"/>
  <c r="AA34" i="4"/>
  <c r="S37" i="4"/>
  <c r="AC38" i="4"/>
  <c r="X39" i="4" s="1"/>
  <c r="Q73" i="4"/>
  <c r="CQ7" i="4"/>
  <c r="CL8" i="4" s="1"/>
  <c r="CQ17" i="4"/>
  <c r="CL18" i="4" s="1"/>
  <c r="AY44" i="4"/>
  <c r="AY40" i="4"/>
  <c r="AT41" i="4" s="1"/>
  <c r="AY36" i="4"/>
  <c r="AT37" i="4" s="1"/>
  <c r="AY32" i="4"/>
  <c r="AT33" i="4" s="1"/>
  <c r="AW44" i="4"/>
  <c r="AW40" i="4"/>
  <c r="AW36" i="4"/>
  <c r="AW32" i="4"/>
  <c r="AW28" i="4"/>
  <c r="AY41" i="4"/>
  <c r="AT42" i="4" s="1"/>
  <c r="AY37" i="4"/>
  <c r="AT38" i="4" s="1"/>
  <c r="AY33" i="4"/>
  <c r="AT34" i="4" s="1"/>
  <c r="AW41" i="4"/>
  <c r="AW37" i="4"/>
  <c r="AW33" i="4"/>
  <c r="AU41" i="4"/>
  <c r="AU37" i="4"/>
  <c r="AW30" i="4"/>
  <c r="AW25" i="4"/>
  <c r="AW21" i="4"/>
  <c r="AW17" i="4"/>
  <c r="AW35" i="4"/>
  <c r="AY26" i="4"/>
  <c r="AT27" i="4" s="1"/>
  <c r="AY22" i="4"/>
  <c r="AT23" i="4" s="1"/>
  <c r="AY18" i="4"/>
  <c r="AT19" i="4" s="1"/>
  <c r="AY14" i="4"/>
  <c r="AT15" i="4" s="1"/>
  <c r="AW34" i="4"/>
  <c r="AW31" i="4"/>
  <c r="AW26" i="4"/>
  <c r="AW22" i="4"/>
  <c r="AW18" i="4"/>
  <c r="AW14" i="4"/>
  <c r="AU26" i="4"/>
  <c r="AU22" i="4"/>
  <c r="AU18" i="4"/>
  <c r="AW42" i="4"/>
  <c r="AW38" i="4"/>
  <c r="AU33" i="4"/>
  <c r="AU42" i="4"/>
  <c r="AU38" i="4"/>
  <c r="AW27" i="4"/>
  <c r="AY29" i="4"/>
  <c r="AT30" i="4" s="1"/>
  <c r="AU27" i="4"/>
  <c r="AU23" i="4"/>
  <c r="AU19" i="4"/>
  <c r="CO5" i="4"/>
  <c r="U6" i="4"/>
  <c r="P7" i="4" s="1"/>
  <c r="AU6" i="4"/>
  <c r="AY7" i="4"/>
  <c r="AT8" i="4" s="1"/>
  <c r="Q9" i="4"/>
  <c r="CO9" i="4"/>
  <c r="U10" i="4"/>
  <c r="P11" i="4" s="1"/>
  <c r="AU10" i="4"/>
  <c r="AA11" i="4"/>
  <c r="AY11" i="4"/>
  <c r="AT12" i="4" s="1"/>
  <c r="CF12" i="4"/>
  <c r="CA13" i="4" s="1"/>
  <c r="Q13" i="4"/>
  <c r="BQ13" i="4"/>
  <c r="AJ14" i="4"/>
  <c r="BS14" i="4"/>
  <c r="Q15" i="4"/>
  <c r="AW15" i="4"/>
  <c r="CQ15" i="4"/>
  <c r="CL16" i="4" s="1"/>
  <c r="AW16" i="4"/>
  <c r="CX16" i="4"/>
  <c r="S18" i="4"/>
  <c r="BQ18" i="4"/>
  <c r="AC19" i="4"/>
  <c r="X20" i="4" s="1"/>
  <c r="AU20" i="4"/>
  <c r="CX20" i="4"/>
  <c r="BQ22" i="4"/>
  <c r="AC23" i="4"/>
  <c r="X24" i="4" s="1"/>
  <c r="AU24" i="4"/>
  <c r="BU25" i="4"/>
  <c r="BP26" i="4" s="1"/>
  <c r="AL26" i="4"/>
  <c r="DB26" i="4"/>
  <c r="CW27" i="4" s="1"/>
  <c r="BS27" i="4"/>
  <c r="AN28" i="4"/>
  <c r="AI29" i="4" s="1"/>
  <c r="Q30" i="4"/>
  <c r="BJ31" i="4"/>
  <c r="BE32" i="4" s="1"/>
  <c r="BF32" i="4"/>
  <c r="AJ34" i="4"/>
  <c r="AN33" i="4"/>
  <c r="AI34" i="4" s="1"/>
  <c r="S80" i="4"/>
  <c r="U83" i="4"/>
  <c r="P84" i="4" s="1"/>
  <c r="S81" i="4"/>
  <c r="S82" i="4"/>
  <c r="S83" i="4"/>
  <c r="S84" i="4"/>
  <c r="S85" i="4"/>
  <c r="Q84" i="4"/>
  <c r="S86" i="4"/>
  <c r="Q85" i="4"/>
  <c r="U89" i="4"/>
  <c r="P90" i="4" s="1"/>
  <c r="S87" i="4"/>
  <c r="Q86" i="4"/>
  <c r="S88" i="4"/>
  <c r="Q87" i="4"/>
  <c r="S73" i="4"/>
  <c r="S89" i="4"/>
  <c r="U79" i="4"/>
  <c r="P80" i="4" s="1"/>
  <c r="U76" i="4"/>
  <c r="P77" i="4" s="1"/>
  <c r="U64" i="4"/>
  <c r="P65" i="4" s="1"/>
  <c r="S62" i="4"/>
  <c r="Q89" i="4"/>
  <c r="S63" i="4"/>
  <c r="S79" i="4"/>
  <c r="S76" i="4"/>
  <c r="U66" i="4"/>
  <c r="P67" i="4" s="1"/>
  <c r="S64" i="4"/>
  <c r="S56" i="4"/>
  <c r="U78" i="4"/>
  <c r="P79" i="4" s="1"/>
  <c r="U67" i="4"/>
  <c r="P68" i="4" s="1"/>
  <c r="S65" i="4"/>
  <c r="U57" i="4"/>
  <c r="P58" i="4" s="1"/>
  <c r="S66" i="4"/>
  <c r="S78" i="4"/>
  <c r="S67" i="4"/>
  <c r="Q66" i="4"/>
  <c r="S90" i="4"/>
  <c r="U81" i="4"/>
  <c r="P82" i="4" s="1"/>
  <c r="Q78" i="4"/>
  <c r="U70" i="4"/>
  <c r="P71" i="4" s="1"/>
  <c r="S68" i="4"/>
  <c r="Q90" i="4"/>
  <c r="Q88" i="4"/>
  <c r="U77" i="4"/>
  <c r="P78" i="4" s="1"/>
  <c r="U75" i="4"/>
  <c r="P76" i="4" s="1"/>
  <c r="U74" i="4"/>
  <c r="P75" i="4" s="1"/>
  <c r="U71" i="4"/>
  <c r="P72" i="4" s="1"/>
  <c r="S69" i="4"/>
  <c r="Q68" i="4"/>
  <c r="S70" i="4"/>
  <c r="S77" i="4"/>
  <c r="S75" i="4"/>
  <c r="S74" i="4"/>
  <c r="S71" i="4"/>
  <c r="Q70" i="4"/>
  <c r="S72" i="4"/>
  <c r="Q71" i="4"/>
  <c r="U61" i="4"/>
  <c r="P62" i="4" s="1"/>
  <c r="S54" i="4"/>
  <c r="U51" i="4"/>
  <c r="P52" i="4" s="1"/>
  <c r="U47" i="4"/>
  <c r="P48" i="4" s="1"/>
  <c r="U43" i="4"/>
  <c r="P44" i="4" s="1"/>
  <c r="U39" i="4"/>
  <c r="P40" i="4" s="1"/>
  <c r="U35" i="4"/>
  <c r="P36" i="4" s="1"/>
  <c r="U58" i="4"/>
  <c r="P59" i="4" s="1"/>
  <c r="S61" i="4"/>
  <c r="S51" i="4"/>
  <c r="S47" i="4"/>
  <c r="S43" i="4"/>
  <c r="S39" i="4"/>
  <c r="S35" i="4"/>
  <c r="S31" i="4"/>
  <c r="Q75" i="4"/>
  <c r="Q74" i="4"/>
  <c r="S58" i="4"/>
  <c r="U52" i="4"/>
  <c r="P53" i="4" s="1"/>
  <c r="U48" i="4"/>
  <c r="P49" i="4" s="1"/>
  <c r="U44" i="4"/>
  <c r="P45" i="4" s="1"/>
  <c r="U40" i="4"/>
  <c r="P41" i="4" s="1"/>
  <c r="U36" i="4"/>
  <c r="P37" i="4" s="1"/>
  <c r="U32" i="4"/>
  <c r="P33" i="4" s="1"/>
  <c r="Q58" i="4"/>
  <c r="S55" i="4"/>
  <c r="S52" i="4"/>
  <c r="S48" i="4"/>
  <c r="S44" i="4"/>
  <c r="S40" i="4"/>
  <c r="S36" i="4"/>
  <c r="S32" i="4"/>
  <c r="Q77" i="4"/>
  <c r="Q67" i="4"/>
  <c r="U56" i="4"/>
  <c r="P57" i="4" s="1"/>
  <c r="Q52" i="4"/>
  <c r="Q48" i="4"/>
  <c r="Q44" i="4"/>
  <c r="Q40" i="4"/>
  <c r="Q36" i="4"/>
  <c r="Q56" i="4"/>
  <c r="U63" i="4"/>
  <c r="P64" i="4" s="1"/>
  <c r="S59" i="4"/>
  <c r="S57" i="4"/>
  <c r="Q53" i="4"/>
  <c r="Q49" i="4"/>
  <c r="S49" i="4"/>
  <c r="S53" i="4"/>
  <c r="S46" i="4"/>
  <c r="U31" i="4"/>
  <c r="P32" i="4" s="1"/>
  <c r="S28" i="4"/>
  <c r="S24" i="4"/>
  <c r="S20" i="4"/>
  <c r="S16" i="4"/>
  <c r="S34" i="4"/>
  <c r="U25" i="4"/>
  <c r="P26" i="4" s="1"/>
  <c r="U21" i="4"/>
  <c r="P22" i="4" s="1"/>
  <c r="U17" i="4"/>
  <c r="P18" i="4" s="1"/>
  <c r="S42" i="4"/>
  <c r="S38" i="4"/>
  <c r="S33" i="4"/>
  <c r="Q57" i="4"/>
  <c r="S25" i="4"/>
  <c r="S21" i="4"/>
  <c r="S17" i="4"/>
  <c r="Q25" i="4"/>
  <c r="Q21" i="4"/>
  <c r="Q17" i="4"/>
  <c r="Q32" i="4"/>
  <c r="S50" i="4"/>
  <c r="S26" i="4"/>
  <c r="Q26" i="4"/>
  <c r="Q22" i="4"/>
  <c r="Q18" i="4"/>
  <c r="U54" i="4"/>
  <c r="P55" i="4" s="1"/>
  <c r="S60" i="4"/>
  <c r="Q59" i="4"/>
  <c r="S45" i="4"/>
  <c r="S41" i="4"/>
  <c r="CZ48" i="4"/>
  <c r="CZ44" i="4"/>
  <c r="CZ40" i="4"/>
  <c r="CZ36" i="4"/>
  <c r="CZ32" i="4"/>
  <c r="CZ28" i="4"/>
  <c r="CZ49" i="4"/>
  <c r="CZ45" i="4"/>
  <c r="CZ41" i="4"/>
  <c r="CZ37" i="4"/>
  <c r="CZ33" i="4"/>
  <c r="CZ29" i="4"/>
  <c r="CX49" i="4"/>
  <c r="CX45" i="4"/>
  <c r="CX41" i="4"/>
  <c r="CX37" i="4"/>
  <c r="CZ50" i="4"/>
  <c r="CZ46" i="4"/>
  <c r="CZ42" i="4"/>
  <c r="CZ38" i="4"/>
  <c r="CZ34" i="4"/>
  <c r="CZ25" i="4"/>
  <c r="CZ21" i="4"/>
  <c r="CZ17" i="4"/>
  <c r="DB44" i="4"/>
  <c r="CW45" i="4" s="1"/>
  <c r="DB40" i="4"/>
  <c r="CW41" i="4" s="1"/>
  <c r="DB36" i="4"/>
  <c r="CW37" i="4" s="1"/>
  <c r="DB48" i="4"/>
  <c r="CW49" i="4" s="1"/>
  <c r="DB28" i="4"/>
  <c r="CW29" i="4" s="1"/>
  <c r="DB47" i="4"/>
  <c r="CW48" i="4" s="1"/>
  <c r="CZ26" i="4"/>
  <c r="CZ22" i="4"/>
  <c r="CZ18" i="4"/>
  <c r="CZ14" i="4"/>
  <c r="CZ47" i="4"/>
  <c r="CZ30" i="4"/>
  <c r="CX47" i="4"/>
  <c r="CX46" i="4"/>
  <c r="DB32" i="4"/>
  <c r="CW33" i="4" s="1"/>
  <c r="CX30" i="4"/>
  <c r="CZ27" i="4"/>
  <c r="CZ23" i="4"/>
  <c r="CZ19" i="4"/>
  <c r="CZ15" i="4"/>
  <c r="CX42" i="4"/>
  <c r="CX38" i="4"/>
  <c r="CX27" i="4"/>
  <c r="DB24" i="4"/>
  <c r="CW25" i="4" s="1"/>
  <c r="CX50" i="4"/>
  <c r="CZ43" i="4"/>
  <c r="CZ39" i="4"/>
  <c r="S5" i="4"/>
  <c r="AN5" i="4"/>
  <c r="AI6" i="4" s="1"/>
  <c r="BQ5" i="4"/>
  <c r="AW6" i="4"/>
  <c r="BU6" i="4"/>
  <c r="BP7" i="4" s="1"/>
  <c r="CX6" i="4"/>
  <c r="DB7" i="4"/>
  <c r="CW8" i="4" s="1"/>
  <c r="S9" i="4"/>
  <c r="AN9" i="4"/>
  <c r="AI10" i="4" s="1"/>
  <c r="BQ9" i="4"/>
  <c r="AW10" i="4"/>
  <c r="BU10" i="4"/>
  <c r="BP11" i="4" s="1"/>
  <c r="CX10" i="4"/>
  <c r="DB11" i="4"/>
  <c r="CW12" i="4" s="1"/>
  <c r="AJ12" i="4"/>
  <c r="S13" i="4"/>
  <c r="CZ13" i="4"/>
  <c r="AL14" i="4"/>
  <c r="BU14" i="4"/>
  <c r="BP15" i="4" s="1"/>
  <c r="S15" i="4"/>
  <c r="AY15" i="4"/>
  <c r="AT16" i="4" s="1"/>
  <c r="AU17" i="4"/>
  <c r="CZ16" i="4"/>
  <c r="BF17" i="4"/>
  <c r="U18" i="4"/>
  <c r="P19" i="4" s="1"/>
  <c r="BU18" i="4"/>
  <c r="BP19" i="4" s="1"/>
  <c r="AJ20" i="4"/>
  <c r="CO19" i="4"/>
  <c r="AW20" i="4"/>
  <c r="CZ20" i="4"/>
  <c r="U22" i="4"/>
  <c r="P23" i="4" s="1"/>
  <c r="BU22" i="4"/>
  <c r="BP23" i="4" s="1"/>
  <c r="AJ24" i="4"/>
  <c r="CO23" i="4"/>
  <c r="AW24" i="4"/>
  <c r="CX25" i="4"/>
  <c r="CB25" i="4"/>
  <c r="AJ27" i="4"/>
  <c r="Q27" i="4"/>
  <c r="BQ28" i="4"/>
  <c r="AU28" i="4"/>
  <c r="U29" i="4"/>
  <c r="P30" i="4" s="1"/>
  <c r="CO30" i="4"/>
  <c r="CM15" i="4"/>
  <c r="AA96" i="4"/>
  <c r="AA98" i="4"/>
  <c r="AA85" i="4"/>
  <c r="AA73" i="4"/>
  <c r="AC96" i="4"/>
  <c r="X97" i="4" s="1"/>
  <c r="AC88" i="4"/>
  <c r="X89" i="4" s="1"/>
  <c r="AA86" i="4"/>
  <c r="AC76" i="4"/>
  <c r="X77" i="4" s="1"/>
  <c r="AA87" i="4"/>
  <c r="AA75" i="4"/>
  <c r="AC90" i="4"/>
  <c r="X91" i="4" s="1"/>
  <c r="AA88" i="4"/>
  <c r="AA76" i="4"/>
  <c r="AA89" i="4"/>
  <c r="AA77" i="4"/>
  <c r="AA90" i="4"/>
  <c r="Y89" i="4"/>
  <c r="AA78" i="4"/>
  <c r="Y77" i="4"/>
  <c r="AA91" i="4"/>
  <c r="Y90" i="4"/>
  <c r="AC94" i="4"/>
  <c r="X95" i="4" s="1"/>
  <c r="AA92" i="4"/>
  <c r="Y91" i="4"/>
  <c r="Y98" i="4"/>
  <c r="AA93" i="4"/>
  <c r="Y92" i="4"/>
  <c r="AA94" i="4"/>
  <c r="Y93" i="4"/>
  <c r="AA97" i="4"/>
  <c r="AA95" i="4"/>
  <c r="Y94" i="4"/>
  <c r="Y97" i="4"/>
  <c r="AC68" i="4"/>
  <c r="X69" i="4" s="1"/>
  <c r="AA66" i="4"/>
  <c r="AC85" i="4"/>
  <c r="X86" i="4" s="1"/>
  <c r="AC82" i="4"/>
  <c r="X83" i="4" s="1"/>
  <c r="AA67" i="4"/>
  <c r="AC58" i="4"/>
  <c r="X59" i="4" s="1"/>
  <c r="AA57" i="4"/>
  <c r="Y78" i="4"/>
  <c r="AA68" i="4"/>
  <c r="AA82" i="4"/>
  <c r="AA69" i="4"/>
  <c r="AC59" i="4"/>
  <c r="X60" i="4" s="1"/>
  <c r="AA58" i="4"/>
  <c r="AA81" i="4"/>
  <c r="AC72" i="4"/>
  <c r="X73" i="4" s="1"/>
  <c r="AA70" i="4"/>
  <c r="AC60" i="4"/>
  <c r="X61" i="4" s="1"/>
  <c r="AC74" i="4"/>
  <c r="X75" i="4" s="1"/>
  <c r="AA71" i="4"/>
  <c r="AA59" i="4"/>
  <c r="AA83" i="4"/>
  <c r="AA80" i="4"/>
  <c r="AA72" i="4"/>
  <c r="Y71" i="4"/>
  <c r="AC86" i="4"/>
  <c r="X87" i="4" s="1"/>
  <c r="Y83" i="4"/>
  <c r="Y80" i="4"/>
  <c r="AA74" i="4"/>
  <c r="AC73" i="4"/>
  <c r="X74" i="4" s="1"/>
  <c r="Y72" i="4"/>
  <c r="AA84" i="4"/>
  <c r="Y95" i="4"/>
  <c r="AA79" i="4"/>
  <c r="AC66" i="4"/>
  <c r="X67" i="4" s="1"/>
  <c r="AC64" i="4"/>
  <c r="X65" i="4" s="1"/>
  <c r="AA52" i="4"/>
  <c r="AA48" i="4"/>
  <c r="AA44" i="4"/>
  <c r="AA40" i="4"/>
  <c r="AA36" i="4"/>
  <c r="AA32" i="4"/>
  <c r="AA65" i="4"/>
  <c r="AA62" i="4"/>
  <c r="AC37" i="4"/>
  <c r="X38" i="4" s="1"/>
  <c r="AC33" i="4"/>
  <c r="X34" i="4" s="1"/>
  <c r="AC29" i="4"/>
  <c r="X30" i="4" s="1"/>
  <c r="AA64" i="4"/>
  <c r="AC67" i="4"/>
  <c r="X68" i="4" s="1"/>
  <c r="AA56" i="4"/>
  <c r="AA49" i="4"/>
  <c r="AA45" i="4"/>
  <c r="AA41" i="4"/>
  <c r="AA37" i="4"/>
  <c r="AA33" i="4"/>
  <c r="AA53" i="4"/>
  <c r="Y59" i="4"/>
  <c r="AC54" i="4"/>
  <c r="X55" i="4" s="1"/>
  <c r="AA63" i="4"/>
  <c r="AA60" i="4"/>
  <c r="AA50" i="4"/>
  <c r="AA46" i="4"/>
  <c r="AA42" i="4"/>
  <c r="AA38" i="4"/>
  <c r="Y63" i="4"/>
  <c r="Y60" i="4"/>
  <c r="AA54" i="4"/>
  <c r="Y50" i="4"/>
  <c r="Y46" i="4"/>
  <c r="Y42" i="4"/>
  <c r="Y38" i="4"/>
  <c r="Y79" i="4"/>
  <c r="Y54" i="4"/>
  <c r="AA61" i="4"/>
  <c r="AA51" i="4"/>
  <c r="AA47" i="4"/>
  <c r="AC48" i="4"/>
  <c r="X49" i="4" s="1"/>
  <c r="AC52" i="4"/>
  <c r="X53" i="4" s="1"/>
  <c r="Y47" i="4"/>
  <c r="AA43" i="4"/>
  <c r="AA39" i="4"/>
  <c r="AA26" i="4"/>
  <c r="AA22" i="4"/>
  <c r="AA18" i="4"/>
  <c r="AA14" i="4"/>
  <c r="Y43" i="4"/>
  <c r="Y61" i="4"/>
  <c r="Y51" i="4"/>
  <c r="AA27" i="4"/>
  <c r="AA23" i="4"/>
  <c r="AA19" i="4"/>
  <c r="AA15" i="4"/>
  <c r="AA55" i="4"/>
  <c r="AA30" i="4"/>
  <c r="Y27" i="4"/>
  <c r="Y23" i="4"/>
  <c r="Y19" i="4"/>
  <c r="AA35" i="4"/>
  <c r="Y30" i="4"/>
  <c r="AA29" i="4"/>
  <c r="Y35" i="4"/>
  <c r="AA28" i="4"/>
  <c r="AA24" i="4"/>
  <c r="AA20" i="4"/>
  <c r="AC62" i="4"/>
  <c r="X63" i="4" s="1"/>
  <c r="CM4" i="4"/>
  <c r="BS5" i="4"/>
  <c r="Y6" i="4"/>
  <c r="CZ6" i="4"/>
  <c r="AC7" i="4"/>
  <c r="X8" i="4" s="1"/>
  <c r="CM8" i="4"/>
  <c r="BS9" i="4"/>
  <c r="CQ9" i="4"/>
  <c r="CL10" i="4" s="1"/>
  <c r="Y10" i="4"/>
  <c r="CZ10" i="4"/>
  <c r="AC11" i="4"/>
  <c r="X12" i="4" s="1"/>
  <c r="BF11" i="4"/>
  <c r="AL12" i="4"/>
  <c r="BJ12" i="4"/>
  <c r="BE13" i="4" s="1"/>
  <c r="BU13" i="4"/>
  <c r="BP14" i="4" s="1"/>
  <c r="CX14" i="4"/>
  <c r="CD14" i="4"/>
  <c r="Q16" i="4"/>
  <c r="BJ15" i="4"/>
  <c r="BE16" i="4" s="1"/>
  <c r="BF16" i="4"/>
  <c r="CX15" i="4"/>
  <c r="AY16" i="4"/>
  <c r="AT17" i="4" s="1"/>
  <c r="CX17" i="4"/>
  <c r="BF18" i="4"/>
  <c r="BJ17" i="4"/>
  <c r="BE18" i="4" s="1"/>
  <c r="AC18" i="4"/>
  <c r="X19" i="4" s="1"/>
  <c r="AN19" i="4"/>
  <c r="AI20" i="4" s="1"/>
  <c r="CM20" i="4"/>
  <c r="AU21" i="4"/>
  <c r="AY20" i="4"/>
  <c r="AT21" i="4" s="1"/>
  <c r="CX21" i="4"/>
  <c r="BF22" i="4"/>
  <c r="BJ21" i="4"/>
  <c r="BE22" i="4" s="1"/>
  <c r="AC22" i="4"/>
  <c r="X23" i="4" s="1"/>
  <c r="AN23" i="4"/>
  <c r="AI24" i="4" s="1"/>
  <c r="CM24" i="4"/>
  <c r="AU25" i="4"/>
  <c r="AY24" i="4"/>
  <c r="AT25" i="4" s="1"/>
  <c r="S27" i="4"/>
  <c r="CB28" i="4"/>
  <c r="S30" i="4"/>
  <c r="CM31" i="4"/>
  <c r="CQ30" i="4"/>
  <c r="CL31" i="4" s="1"/>
  <c r="AU34" i="4"/>
  <c r="CO46" i="4"/>
  <c r="CO42" i="4"/>
  <c r="CO38" i="4"/>
  <c r="CO34" i="4"/>
  <c r="CQ35" i="4"/>
  <c r="CL36" i="4" s="1"/>
  <c r="CQ31" i="4"/>
  <c r="CL32" i="4" s="1"/>
  <c r="CO47" i="4"/>
  <c r="CO43" i="4"/>
  <c r="CO39" i="4"/>
  <c r="CO35" i="4"/>
  <c r="CO31" i="4"/>
  <c r="CO48" i="4"/>
  <c r="CO44" i="4"/>
  <c r="CO40" i="4"/>
  <c r="CO36" i="4"/>
  <c r="CM48" i="4"/>
  <c r="CM44" i="4"/>
  <c r="CM40" i="4"/>
  <c r="CM36" i="4"/>
  <c r="CO49" i="4"/>
  <c r="CO45" i="4"/>
  <c r="CO24" i="4"/>
  <c r="CO20" i="4"/>
  <c r="CO16" i="4"/>
  <c r="CM45" i="4"/>
  <c r="CQ29" i="4"/>
  <c r="CL30" i="4" s="1"/>
  <c r="CO25" i="4"/>
  <c r="CO21" i="4"/>
  <c r="CO17" i="4"/>
  <c r="CO41" i="4"/>
  <c r="CO37" i="4"/>
  <c r="CO29" i="4"/>
  <c r="CO28" i="4"/>
  <c r="CM25" i="4"/>
  <c r="CM21" i="4"/>
  <c r="CM41" i="4"/>
  <c r="CM37" i="4"/>
  <c r="CO33" i="4"/>
  <c r="CM29" i="4"/>
  <c r="CM33" i="4"/>
  <c r="CO26" i="4"/>
  <c r="CO22" i="4"/>
  <c r="CO18" i="4"/>
  <c r="CM49" i="4"/>
  <c r="CF45" i="4"/>
  <c r="CA46" i="4" s="1"/>
  <c r="CF41" i="4"/>
  <c r="CA42" i="4" s="1"/>
  <c r="CF37" i="4"/>
  <c r="CA38" i="4" s="1"/>
  <c r="CF33" i="4"/>
  <c r="CA34" i="4" s="1"/>
  <c r="CD45" i="4"/>
  <c r="CD41" i="4"/>
  <c r="CD37" i="4"/>
  <c r="CD33" i="4"/>
  <c r="CD29" i="4"/>
  <c r="CF46" i="4"/>
  <c r="CA47" i="4" s="1"/>
  <c r="CF42" i="4"/>
  <c r="CA43" i="4" s="1"/>
  <c r="CF38" i="4"/>
  <c r="CA39" i="4" s="1"/>
  <c r="CF34" i="4"/>
  <c r="CA35" i="4" s="1"/>
  <c r="CF30" i="4"/>
  <c r="CA31" i="4" s="1"/>
  <c r="CD46" i="4"/>
  <c r="CD42" i="4"/>
  <c r="CD38" i="4"/>
  <c r="CD34" i="4"/>
  <c r="CB46" i="4"/>
  <c r="CB42" i="4"/>
  <c r="CB38" i="4"/>
  <c r="CB47" i="4"/>
  <c r="CD30" i="4"/>
  <c r="CF35" i="4"/>
  <c r="CA36" i="4" s="1"/>
  <c r="CB30" i="4"/>
  <c r="CD26" i="4"/>
  <c r="CD22" i="4"/>
  <c r="CD18" i="4"/>
  <c r="CD43" i="4"/>
  <c r="CD39" i="4"/>
  <c r="CD32" i="4"/>
  <c r="CF31" i="4"/>
  <c r="CA32" i="4" s="1"/>
  <c r="CF27" i="4"/>
  <c r="CA28" i="4" s="1"/>
  <c r="CF23" i="4"/>
  <c r="CA24" i="4" s="1"/>
  <c r="CF19" i="4"/>
  <c r="CA20" i="4" s="1"/>
  <c r="CF15" i="4"/>
  <c r="CA16" i="4" s="1"/>
  <c r="CB43" i="4"/>
  <c r="CB39" i="4"/>
  <c r="CD35" i="4"/>
  <c r="CB35" i="4"/>
  <c r="CD31" i="4"/>
  <c r="CD27" i="4"/>
  <c r="CD23" i="4"/>
  <c r="CD19" i="4"/>
  <c r="CD15" i="4"/>
  <c r="CF44" i="4"/>
  <c r="CA45" i="4" s="1"/>
  <c r="CF40" i="4"/>
  <c r="CA41" i="4" s="1"/>
  <c r="CB31" i="4"/>
  <c r="CB27" i="4"/>
  <c r="CB23" i="4"/>
  <c r="CB19" i="4"/>
  <c r="CB15" i="4"/>
  <c r="CB34" i="4"/>
  <c r="CD48" i="4"/>
  <c r="CD44" i="4"/>
  <c r="CD40" i="4"/>
  <c r="CD36" i="4"/>
  <c r="CD24" i="4"/>
  <c r="CB24" i="4"/>
  <c r="CB20" i="4"/>
  <c r="CB16" i="4"/>
  <c r="CD47" i="4"/>
  <c r="CO4" i="4"/>
  <c r="AU5" i="4"/>
  <c r="AA6" i="4"/>
  <c r="BH7" i="4"/>
  <c r="CO8" i="4"/>
  <c r="AA10" i="4"/>
  <c r="BH11" i="4"/>
  <c r="CO12" i="4"/>
  <c r="U13" i="4"/>
  <c r="P14" i="4" s="1"/>
  <c r="AW13" i="4"/>
  <c r="DB13" i="4"/>
  <c r="CW14" i="4" s="1"/>
  <c r="AN14" i="4"/>
  <c r="AI15" i="4" s="1"/>
  <c r="U15" i="4"/>
  <c r="P16" i="4" s="1"/>
  <c r="DB15" i="4"/>
  <c r="CW16" i="4" s="1"/>
  <c r="DB16" i="4"/>
  <c r="CW17" i="4" s="1"/>
  <c r="CF18" i="4"/>
  <c r="CA19" i="4" s="1"/>
  <c r="CQ19" i="4"/>
  <c r="CL20" i="4" s="1"/>
  <c r="DB20" i="4"/>
  <c r="CW21" i="4" s="1"/>
  <c r="BU21" i="4"/>
  <c r="BP22" i="4" s="1"/>
  <c r="CF22" i="4"/>
  <c r="CA23" i="4" s="1"/>
  <c r="CQ23" i="4"/>
  <c r="CL24" i="4" s="1"/>
  <c r="AA25" i="4"/>
  <c r="CB26" i="4"/>
  <c r="CF25" i="4"/>
  <c r="CA26" i="4" s="1"/>
  <c r="BH26" i="4"/>
  <c r="Q28" i="4"/>
  <c r="U27" i="4"/>
  <c r="P28" i="4" s="1"/>
  <c r="CO27" i="4"/>
  <c r="AY28" i="4"/>
  <c r="AT29" i="4" s="1"/>
  <c r="Q31" i="4"/>
  <c r="DB30" i="4"/>
  <c r="CW31" i="4" s="1"/>
  <c r="BU33" i="4"/>
  <c r="BP34" i="4" s="1"/>
  <c r="BQ33" i="4"/>
  <c r="BF35" i="4"/>
  <c r="BF36" i="4"/>
  <c r="BQ38" i="4"/>
  <c r="AW43" i="4"/>
  <c r="BF44" i="4"/>
  <c r="BU47" i="4"/>
  <c r="BP48" i="4" s="1"/>
  <c r="CM6" i="4"/>
  <c r="S4" i="4"/>
  <c r="BQ4" i="4"/>
  <c r="AW5" i="4"/>
  <c r="BU5" i="4"/>
  <c r="BP6" i="4" s="1"/>
  <c r="CX5" i="4"/>
  <c r="DB6" i="4"/>
  <c r="CW7" i="4" s="1"/>
  <c r="S8" i="4"/>
  <c r="AN8" i="4"/>
  <c r="AI9" i="4" s="1"/>
  <c r="AW9" i="4"/>
  <c r="BU9" i="4"/>
  <c r="BP10" i="4" s="1"/>
  <c r="CD10" i="4"/>
  <c r="DB10" i="4"/>
  <c r="CW11" i="4" s="1"/>
  <c r="S12" i="4"/>
  <c r="AN12" i="4"/>
  <c r="AI13" i="4" s="1"/>
  <c r="AU14" i="4"/>
  <c r="CF14" i="4"/>
  <c r="CA15" i="4" s="1"/>
  <c r="BJ16" i="4"/>
  <c r="BE17" i="4" s="1"/>
  <c r="CB17" i="4"/>
  <c r="AJ18" i="4"/>
  <c r="AW19" i="4"/>
  <c r="CX19" i="4"/>
  <c r="BJ20" i="4"/>
  <c r="BE21" i="4" s="1"/>
  <c r="CB21" i="4"/>
  <c r="AJ22" i="4"/>
  <c r="AW23" i="4"/>
  <c r="CX23" i="4"/>
  <c r="BJ24" i="4"/>
  <c r="BE25" i="4" s="1"/>
  <c r="Y26" i="4"/>
  <c r="CQ25" i="4"/>
  <c r="CL26" i="4" s="1"/>
  <c r="BF27" i="4"/>
  <c r="AC27" i="4"/>
  <c r="X28" i="4" s="1"/>
  <c r="CM28" i="4"/>
  <c r="U30" i="4"/>
  <c r="P31" i="4" s="1"/>
  <c r="CX31" i="4"/>
  <c r="CM32" i="4"/>
  <c r="BQ34" i="4"/>
  <c r="CX39" i="4"/>
  <c r="Q41" i="4"/>
  <c r="AC42" i="4"/>
  <c r="X43" i="4" s="1"/>
  <c r="Q50" i="4"/>
  <c r="CQ21" i="4"/>
  <c r="CL22" i="4" s="1"/>
  <c r="BH45" i="4"/>
  <c r="BH41" i="4"/>
  <c r="BH37" i="4"/>
  <c r="BH33" i="4"/>
  <c r="BJ38" i="4"/>
  <c r="BE39" i="4" s="1"/>
  <c r="BJ34" i="4"/>
  <c r="BE35" i="4" s="1"/>
  <c r="BJ30" i="4"/>
  <c r="BE31" i="4" s="1"/>
  <c r="BH46" i="4"/>
  <c r="BH42" i="4"/>
  <c r="BH38" i="4"/>
  <c r="BH34" i="4"/>
  <c r="BH30" i="4"/>
  <c r="BH47" i="4"/>
  <c r="BH43" i="4"/>
  <c r="BH39" i="4"/>
  <c r="BF47" i="4"/>
  <c r="BF43" i="4"/>
  <c r="BF39" i="4"/>
  <c r="BH27" i="4"/>
  <c r="BH23" i="4"/>
  <c r="BH19" i="4"/>
  <c r="BH15" i="4"/>
  <c r="BH24" i="4"/>
  <c r="BH20" i="4"/>
  <c r="BH16" i="4"/>
  <c r="BH28" i="4"/>
  <c r="BF24" i="4"/>
  <c r="BF20" i="4"/>
  <c r="BH32" i="4"/>
  <c r="BH29" i="4"/>
  <c r="BF28" i="4"/>
  <c r="BH25" i="4"/>
  <c r="BH21" i="4"/>
  <c r="BH17" i="4"/>
  <c r="BH35" i="4"/>
  <c r="BH44" i="4"/>
  <c r="BH40" i="4"/>
  <c r="BS4" i="4"/>
  <c r="CZ5" i="4"/>
  <c r="AL7" i="4"/>
  <c r="BS8" i="4"/>
  <c r="CZ9" i="4"/>
  <c r="AL11" i="4"/>
  <c r="BS12" i="4"/>
  <c r="AY13" i="4"/>
  <c r="AT14" i="4" s="1"/>
  <c r="CD13" i="4"/>
  <c r="BS15" i="4"/>
  <c r="U16" i="4"/>
  <c r="P17" i="4" s="1"/>
  <c r="BQ17" i="4"/>
  <c r="AA17" i="4"/>
  <c r="CD17" i="4"/>
  <c r="AL18" i="4"/>
  <c r="AY19" i="4"/>
  <c r="AT20" i="4" s="1"/>
  <c r="DB19" i="4"/>
  <c r="CW20" i="4" s="1"/>
  <c r="BQ21" i="4"/>
  <c r="AA21" i="4"/>
  <c r="CD21" i="4"/>
  <c r="AL22" i="4"/>
  <c r="AY23" i="4"/>
  <c r="AT24" i="4" s="1"/>
  <c r="DB23" i="4"/>
  <c r="CW24" i="4" s="1"/>
  <c r="BQ25" i="4"/>
  <c r="AC25" i="4"/>
  <c r="X26" i="4" s="1"/>
  <c r="CX26" i="4"/>
  <c r="BJ26" i="4"/>
  <c r="BE27" i="4" s="1"/>
  <c r="AJ28" i="4"/>
  <c r="CQ27" i="4"/>
  <c r="CL28" i="4" s="1"/>
  <c r="BQ29" i="4"/>
  <c r="AW29" i="4"/>
  <c r="Y31" i="4"/>
  <c r="CZ31" i="4"/>
  <c r="CO32" i="4"/>
  <c r="BS34" i="4"/>
  <c r="BQ37" i="4"/>
  <c r="CM39" i="4"/>
  <c r="U4" i="4"/>
  <c r="P5" i="4" s="1"/>
  <c r="AA5" i="4"/>
  <c r="AY5" i="4"/>
  <c r="AT6" i="4" s="1"/>
  <c r="BH6" i="4"/>
  <c r="CO7" i="4"/>
  <c r="U8" i="4"/>
  <c r="P9" i="4" s="1"/>
  <c r="AA9" i="4"/>
  <c r="AY9" i="4"/>
  <c r="AT10" i="4" s="1"/>
  <c r="BH10" i="4"/>
  <c r="CF10" i="4"/>
  <c r="CA11" i="4" s="1"/>
  <c r="CO11" i="4"/>
  <c r="U12" i="4"/>
  <c r="P13" i="4" s="1"/>
  <c r="AA13" i="4"/>
  <c r="CB14" i="4"/>
  <c r="S14" i="4"/>
  <c r="CM14" i="4"/>
  <c r="AC15" i="4"/>
  <c r="X16" i="4" s="1"/>
  <c r="BQ16" i="4"/>
  <c r="BU16" i="4"/>
  <c r="BP17" i="4" s="1"/>
  <c r="Y18" i="4"/>
  <c r="CB18" i="4"/>
  <c r="CF17" i="4"/>
  <c r="CA18" i="4" s="1"/>
  <c r="AJ19" i="4"/>
  <c r="CM19" i="4"/>
  <c r="CQ18" i="4"/>
  <c r="CL19" i="4" s="1"/>
  <c r="BJ19" i="4"/>
  <c r="BE20" i="4" s="1"/>
  <c r="BU20" i="4"/>
  <c r="BP21" i="4" s="1"/>
  <c r="Y22" i="4"/>
  <c r="CB22" i="4"/>
  <c r="CF21" i="4"/>
  <c r="CA22" i="4" s="1"/>
  <c r="AJ23" i="4"/>
  <c r="CM23" i="4"/>
  <c r="CQ22" i="4"/>
  <c r="CL23" i="4" s="1"/>
  <c r="BJ23" i="4"/>
  <c r="BE24" i="4" s="1"/>
  <c r="BU24" i="4"/>
  <c r="BP25" i="4" s="1"/>
  <c r="AN25" i="4"/>
  <c r="AI26" i="4" s="1"/>
  <c r="DB25" i="4"/>
  <c r="CW26" i="4" s="1"/>
  <c r="BU26" i="4"/>
  <c r="BP27" i="4" s="1"/>
  <c r="CD28" i="4"/>
  <c r="AN30" i="4"/>
  <c r="AI31" i="4" s="1"/>
  <c r="AA31" i="4"/>
  <c r="CX32" i="4"/>
  <c r="DB31" i="4"/>
  <c r="CW32" i="4" s="1"/>
  <c r="BQ35" i="4"/>
  <c r="BU37" i="4"/>
  <c r="BP38" i="4" s="1"/>
  <c r="AL46" i="4"/>
  <c r="AL42" i="4"/>
  <c r="AL38" i="4"/>
  <c r="AL34" i="4"/>
  <c r="AL30" i="4"/>
  <c r="AL43" i="4"/>
  <c r="AL39" i="4"/>
  <c r="AL35" i="4"/>
  <c r="AL31" i="4"/>
  <c r="AJ43" i="4"/>
  <c r="AJ39" i="4"/>
  <c r="AL44" i="4"/>
  <c r="AL40" i="4"/>
  <c r="AL36" i="4"/>
  <c r="AL32" i="4"/>
  <c r="AL27" i="4"/>
  <c r="AL23" i="4"/>
  <c r="AL19" i="4"/>
  <c r="AL15" i="4"/>
  <c r="AN16" i="4"/>
  <c r="AI17" i="4" s="1"/>
  <c r="AJ44" i="4"/>
  <c r="AJ40" i="4"/>
  <c r="AJ36" i="4"/>
  <c r="AL29" i="4"/>
  <c r="AL28" i="4"/>
  <c r="AL24" i="4"/>
  <c r="AL20" i="4"/>
  <c r="AL16" i="4"/>
  <c r="AN45" i="4"/>
  <c r="AI46" i="4" s="1"/>
  <c r="AL45" i="4"/>
  <c r="AL41" i="4"/>
  <c r="AL37" i="4"/>
  <c r="AN34" i="4"/>
  <c r="AI35" i="4" s="1"/>
  <c r="AJ31" i="4"/>
  <c r="AL25" i="4"/>
  <c r="AL21" i="4"/>
  <c r="AL17" i="4"/>
  <c r="AJ45" i="4"/>
  <c r="AJ41" i="4"/>
  <c r="AJ37" i="4"/>
  <c r="AN26" i="4"/>
  <c r="AI27" i="4" s="1"/>
  <c r="AJ25" i="4"/>
  <c r="AN46" i="4"/>
  <c r="AN42" i="4"/>
  <c r="AI43" i="4" s="1"/>
  <c r="AN38" i="4"/>
  <c r="AI39" i="4" s="1"/>
  <c r="AW4" i="4"/>
  <c r="CD5" i="4"/>
  <c r="S7" i="4"/>
  <c r="AW8" i="4"/>
  <c r="CD9" i="4"/>
  <c r="S11" i="4"/>
  <c r="AW12" i="4"/>
  <c r="Y14" i="4"/>
  <c r="CF13" i="4"/>
  <c r="CA14" i="4" s="1"/>
  <c r="BH14" i="4"/>
  <c r="CO14" i="4"/>
  <c r="BU15" i="4"/>
  <c r="BP16" i="4" s="1"/>
  <c r="Y16" i="4"/>
  <c r="AC17" i="4"/>
  <c r="X18" i="4" s="1"/>
  <c r="AN18" i="4"/>
  <c r="AI19" i="4" s="1"/>
  <c r="DB18" i="4"/>
  <c r="CW19" i="4" s="1"/>
  <c r="U20" i="4"/>
  <c r="P21" i="4" s="1"/>
  <c r="AC21" i="4"/>
  <c r="X22" i="4" s="1"/>
  <c r="AN22" i="4"/>
  <c r="AI23" i="4" s="1"/>
  <c r="DB22" i="4"/>
  <c r="CW23" i="4" s="1"/>
  <c r="U24" i="4"/>
  <c r="P25" i="4" s="1"/>
  <c r="Q29" i="4"/>
  <c r="AU30" i="4"/>
  <c r="AU31" i="4"/>
  <c r="Y32" i="4"/>
  <c r="AC31" i="4"/>
  <c r="X32" i="4" s="1"/>
  <c r="AU40" i="4"/>
  <c r="BU41" i="4"/>
  <c r="BP42" i="4" s="1"/>
  <c r="CM43" i="4"/>
  <c r="AU44" i="4"/>
  <c r="BF46" i="4"/>
  <c r="AC46" i="4"/>
  <c r="X47" i="4" s="1"/>
  <c r="AC49" i="4"/>
  <c r="X50" i="4" s="1"/>
  <c r="Q55" i="4"/>
  <c r="BS103" i="4"/>
  <c r="BS104" i="4"/>
  <c r="BS105" i="4"/>
  <c r="BQ105" i="4"/>
  <c r="BS93" i="4"/>
  <c r="BS81" i="4"/>
  <c r="BU99" i="4"/>
  <c r="BP100" i="4" s="1"/>
  <c r="BU95" i="4"/>
  <c r="BP96" i="4" s="1"/>
  <c r="BS94" i="4"/>
  <c r="BU84" i="4"/>
  <c r="BP85" i="4" s="1"/>
  <c r="BS82" i="4"/>
  <c r="BS83" i="4"/>
  <c r="BU102" i="4"/>
  <c r="BP103" i="4" s="1"/>
  <c r="BS99" i="4"/>
  <c r="BU97" i="4"/>
  <c r="BP98" i="4" s="1"/>
  <c r="BS95" i="4"/>
  <c r="BS84" i="4"/>
  <c r="BS85" i="4"/>
  <c r="BS102" i="4"/>
  <c r="BS97" i="4"/>
  <c r="BS86" i="4"/>
  <c r="BQ85" i="4"/>
  <c r="BS98" i="4"/>
  <c r="BS87" i="4"/>
  <c r="BQ86" i="4"/>
  <c r="BQ98" i="4"/>
  <c r="BU96" i="4"/>
  <c r="BP97" i="4" s="1"/>
  <c r="BU90" i="4"/>
  <c r="BP91" i="4" s="1"/>
  <c r="BS88" i="4"/>
  <c r="BQ87" i="4"/>
  <c r="BU104" i="4"/>
  <c r="BP105" i="4" s="1"/>
  <c r="BS101" i="4"/>
  <c r="BS89" i="4"/>
  <c r="BQ88" i="4"/>
  <c r="BS96" i="4"/>
  <c r="BS90" i="4"/>
  <c r="BS100" i="4"/>
  <c r="BQ96" i="4"/>
  <c r="BS91" i="4"/>
  <c r="BQ90" i="4"/>
  <c r="BU64" i="4"/>
  <c r="BP65" i="4" s="1"/>
  <c r="BU78" i="4"/>
  <c r="BP79" i="4" s="1"/>
  <c r="BS74" i="4"/>
  <c r="BU65" i="4"/>
  <c r="BP66" i="4" s="1"/>
  <c r="BS63" i="4"/>
  <c r="BS64" i="4"/>
  <c r="BQ89" i="4"/>
  <c r="BS78" i="4"/>
  <c r="BS73" i="4"/>
  <c r="BU67" i="4"/>
  <c r="BP68" i="4" s="1"/>
  <c r="BS65" i="4"/>
  <c r="BQ78" i="4"/>
  <c r="BU77" i="4"/>
  <c r="BP78" i="4" s="1"/>
  <c r="BU68" i="4"/>
  <c r="BP69" i="4" s="1"/>
  <c r="BS66" i="4"/>
  <c r="BS92" i="4"/>
  <c r="BU82" i="4"/>
  <c r="BP83" i="4" s="1"/>
  <c r="BS75" i="4"/>
  <c r="BS67" i="4"/>
  <c r="BS77" i="4"/>
  <c r="BQ75" i="4"/>
  <c r="BS68" i="4"/>
  <c r="BQ67" i="4"/>
  <c r="BQ100" i="4"/>
  <c r="BU80" i="4"/>
  <c r="BP81" i="4" s="1"/>
  <c r="BQ77" i="4"/>
  <c r="BU71" i="4"/>
  <c r="BP72" i="4" s="1"/>
  <c r="BS69" i="4"/>
  <c r="BQ68" i="4"/>
  <c r="BU94" i="4"/>
  <c r="BP95" i="4" s="1"/>
  <c r="BQ91" i="4"/>
  <c r="BS70" i="4"/>
  <c r="BQ69" i="4"/>
  <c r="BS80" i="4"/>
  <c r="BS71" i="4"/>
  <c r="BS76" i="4"/>
  <c r="BS72" i="4"/>
  <c r="BQ71" i="4"/>
  <c r="BU59" i="4"/>
  <c r="BP60" i="4" s="1"/>
  <c r="BS62" i="4"/>
  <c r="BS59" i="4"/>
  <c r="BS79" i="4"/>
  <c r="BQ59" i="4"/>
  <c r="BS60" i="4"/>
  <c r="BQ72" i="4"/>
  <c r="BQ60" i="4"/>
  <c r="BS61" i="4"/>
  <c r="BQ61" i="4"/>
  <c r="CX86" i="4"/>
  <c r="DB85" i="4"/>
  <c r="CW86" i="4" s="1"/>
  <c r="CX36" i="4"/>
  <c r="BF37" i="4"/>
  <c r="BJ36" i="4"/>
  <c r="BE37" i="4" s="1"/>
  <c r="Q38" i="4"/>
  <c r="CQ38" i="4"/>
  <c r="CL39" i="4" s="1"/>
  <c r="AY39" i="4"/>
  <c r="AT40" i="4" s="1"/>
  <c r="CX40" i="4"/>
  <c r="BF41" i="4"/>
  <c r="BJ40" i="4"/>
  <c r="BE41" i="4" s="1"/>
  <c r="Q42" i="4"/>
  <c r="CQ42" i="4"/>
  <c r="CL43" i="4" s="1"/>
  <c r="AY43" i="4"/>
  <c r="AT44" i="4" s="1"/>
  <c r="CX44" i="4"/>
  <c r="BF45" i="4"/>
  <c r="BJ44" i="4"/>
  <c r="BE45" i="4" s="1"/>
  <c r="Q46" i="4"/>
  <c r="BJ45" i="4"/>
  <c r="BE46" i="4" s="1"/>
  <c r="CQ49" i="4"/>
  <c r="Q60" i="4"/>
  <c r="Q61" i="4"/>
  <c r="U60" i="4"/>
  <c r="P61" i="4" s="1"/>
  <c r="Q72" i="4"/>
  <c r="BQ32" i="4"/>
  <c r="CQ32" i="4"/>
  <c r="CL33" i="4" s="1"/>
  <c r="AC34" i="4"/>
  <c r="X35" i="4" s="1"/>
  <c r="BU34" i="4"/>
  <c r="BP35" i="4" s="1"/>
  <c r="BJ35" i="4"/>
  <c r="BE36" i="4" s="1"/>
  <c r="DB35" i="4"/>
  <c r="CW36" i="4" s="1"/>
  <c r="BU36" i="4"/>
  <c r="BP37" i="4" s="1"/>
  <c r="DB39" i="4"/>
  <c r="CW40" i="4" s="1"/>
  <c r="BU40" i="4"/>
  <c r="BP41" i="4" s="1"/>
  <c r="AC41" i="4"/>
  <c r="X42" i="4" s="1"/>
  <c r="DB43" i="4"/>
  <c r="CW44" i="4" s="1"/>
  <c r="BU44" i="4"/>
  <c r="BP45" i="4" s="1"/>
  <c r="AC45" i="4"/>
  <c r="X46" i="4" s="1"/>
  <c r="CM47" i="4"/>
  <c r="CB48" i="4"/>
  <c r="BU48" i="4"/>
  <c r="BP49" i="4" s="1"/>
  <c r="DB49" i="4"/>
  <c r="CW50" i="4" s="1"/>
  <c r="DB50" i="4"/>
  <c r="AC71" i="4"/>
  <c r="X72" i="4" s="1"/>
  <c r="Y29" i="4"/>
  <c r="CX33" i="4"/>
  <c r="AJ35" i="4"/>
  <c r="BQ36" i="4"/>
  <c r="BJ39" i="4"/>
  <c r="BE40" i="4" s="1"/>
  <c r="BJ43" i="4"/>
  <c r="BE44" i="4" s="1"/>
  <c r="BU45" i="4"/>
  <c r="BP46" i="4" s="1"/>
  <c r="CQ46" i="4"/>
  <c r="CL47" i="4" s="1"/>
  <c r="CQ47" i="4"/>
  <c r="CL48" i="4" s="1"/>
  <c r="U55" i="4"/>
  <c r="P56" i="4" s="1"/>
  <c r="DB62" i="4"/>
  <c r="CW63" i="4" s="1"/>
  <c r="CX62" i="4"/>
  <c r="CX63" i="4"/>
  <c r="Y82" i="4"/>
  <c r="CM17" i="4"/>
  <c r="BJ25" i="4"/>
  <c r="BE26" i="4" s="1"/>
  <c r="CQ26" i="4"/>
  <c r="CL27" i="4" s="1"/>
  <c r="AC28" i="4"/>
  <c r="X29" i="4" s="1"/>
  <c r="BF30" i="4"/>
  <c r="BF33" i="4"/>
  <c r="CM34" i="4"/>
  <c r="Y36" i="4"/>
  <c r="Y37" i="4"/>
  <c r="CB37" i="4"/>
  <c r="DB38" i="4"/>
  <c r="CW39" i="4" s="1"/>
  <c r="Y41" i="4"/>
  <c r="CB41" i="4"/>
  <c r="DB42" i="4"/>
  <c r="CW43" i="4" s="1"/>
  <c r="Y45" i="4"/>
  <c r="CB45" i="4"/>
  <c r="CF48" i="4"/>
  <c r="Q51" i="4"/>
  <c r="U50" i="4"/>
  <c r="P51" i="4" s="1"/>
  <c r="Q64" i="4"/>
  <c r="CX28" i="4"/>
  <c r="BF29" i="4"/>
  <c r="CQ28" i="4"/>
  <c r="CL29" i="4" s="1"/>
  <c r="BJ29" i="4"/>
  <c r="BE30" i="4" s="1"/>
  <c r="CM30" i="4"/>
  <c r="AC30" i="4"/>
  <c r="X31" i="4" s="1"/>
  <c r="AN31" i="4"/>
  <c r="AI32" i="4" s="1"/>
  <c r="BJ32" i="4"/>
  <c r="BE33" i="4" s="1"/>
  <c r="CQ33" i="4"/>
  <c r="CL34" i="4" s="1"/>
  <c r="AC35" i="4"/>
  <c r="X36" i="4" s="1"/>
  <c r="AC36" i="4"/>
  <c r="X37" i="4" s="1"/>
  <c r="CF36" i="4"/>
  <c r="CA37" i="4" s="1"/>
  <c r="AJ38" i="4"/>
  <c r="CM38" i="4"/>
  <c r="CQ37" i="4"/>
  <c r="CL38" i="4" s="1"/>
  <c r="AU39" i="4"/>
  <c r="AC40" i="4"/>
  <c r="X41" i="4" s="1"/>
  <c r="AJ42" i="4"/>
  <c r="CM42" i="4"/>
  <c r="CQ41" i="4"/>
  <c r="CL42" i="4" s="1"/>
  <c r="AU43" i="4"/>
  <c r="AC44" i="4"/>
  <c r="X45" i="4" s="1"/>
  <c r="AJ46" i="4"/>
  <c r="DB46" i="4"/>
  <c r="CW47" i="4" s="1"/>
  <c r="BU49" i="4"/>
  <c r="Y55" i="4"/>
  <c r="Y56" i="4"/>
  <c r="AC55" i="4"/>
  <c r="X56" i="4" s="1"/>
  <c r="AY60" i="4"/>
  <c r="AT61" i="4" s="1"/>
  <c r="Y64" i="4"/>
  <c r="CB65" i="4"/>
  <c r="CF64" i="4"/>
  <c r="CA65" i="4" s="1"/>
  <c r="BJ69" i="4"/>
  <c r="BE70" i="4" s="1"/>
  <c r="DB27" i="4"/>
  <c r="CW28" i="4" s="1"/>
  <c r="BJ28" i="4"/>
  <c r="BE29" i="4" s="1"/>
  <c r="AJ29" i="4"/>
  <c r="BQ31" i="4"/>
  <c r="Y33" i="4"/>
  <c r="BF34" i="4"/>
  <c r="CM35" i="4"/>
  <c r="AN37" i="4"/>
  <c r="AI38" i="4" s="1"/>
  <c r="DB37" i="4"/>
  <c r="CW38" i="4" s="1"/>
  <c r="AN41" i="4"/>
  <c r="AI42" i="4" s="1"/>
  <c r="DB41" i="4"/>
  <c r="CW42" i="4" s="1"/>
  <c r="BJ42" i="4"/>
  <c r="BE43" i="4" s="1"/>
  <c r="CX48" i="4"/>
  <c r="CQ48" i="4"/>
  <c r="CL49" i="4" s="1"/>
  <c r="AC50" i="4"/>
  <c r="X51" i="4" s="1"/>
  <c r="Y52" i="4"/>
  <c r="AC51" i="4"/>
  <c r="X52" i="4" s="1"/>
  <c r="BU30" i="4"/>
  <c r="BP31" i="4" s="1"/>
  <c r="CB32" i="4"/>
  <c r="AC32" i="4"/>
  <c r="X33" i="4" s="1"/>
  <c r="BU32" i="4"/>
  <c r="BP33" i="4" s="1"/>
  <c r="BJ33" i="4"/>
  <c r="BE34" i="4" s="1"/>
  <c r="DB33" i="4"/>
  <c r="CW34" i="4" s="1"/>
  <c r="CQ34" i="4"/>
  <c r="CL35" i="4" s="1"/>
  <c r="AN35" i="4"/>
  <c r="AI36" i="4" s="1"/>
  <c r="CQ36" i="4"/>
  <c r="CL37" i="4" s="1"/>
  <c r="CQ40" i="4"/>
  <c r="CL41" i="4" s="1"/>
  <c r="CQ44" i="4"/>
  <c r="CL45" i="4" s="1"/>
  <c r="CM46" i="4"/>
  <c r="CQ45" i="4"/>
  <c r="CL46" i="4" s="1"/>
  <c r="Y53" i="4"/>
  <c r="BQ76" i="4"/>
  <c r="AJ30" i="4"/>
  <c r="AU32" i="4"/>
  <c r="Q34" i="4"/>
  <c r="AU35" i="4"/>
  <c r="CB36" i="4"/>
  <c r="AN36" i="4"/>
  <c r="AI37" i="4" s="1"/>
  <c r="BF38" i="4"/>
  <c r="Q39" i="4"/>
  <c r="AN40" i="4"/>
  <c r="AI41" i="4" s="1"/>
  <c r="BF42" i="4"/>
  <c r="Q43" i="4"/>
  <c r="AN44" i="4"/>
  <c r="AI45" i="4" s="1"/>
  <c r="DB45" i="4"/>
  <c r="CW46" i="4" s="1"/>
  <c r="BJ46" i="4"/>
  <c r="BE47" i="4" s="1"/>
  <c r="BU62" i="4"/>
  <c r="BP63" i="4" s="1"/>
  <c r="U68" i="4"/>
  <c r="P69" i="4" s="1"/>
  <c r="BU28" i="4"/>
  <c r="BP29" i="4" s="1"/>
  <c r="AN29" i="4"/>
  <c r="AI30" i="4" s="1"/>
  <c r="DB29" i="4"/>
  <c r="CW30" i="4" s="1"/>
  <c r="AY31" i="4"/>
  <c r="AT32" i="4" s="1"/>
  <c r="CB33" i="4"/>
  <c r="U33" i="4"/>
  <c r="P34" i="4" s="1"/>
  <c r="Q35" i="4"/>
  <c r="AY34" i="4"/>
  <c r="AT35" i="4" s="1"/>
  <c r="AU36" i="4"/>
  <c r="BJ37" i="4"/>
  <c r="BE38" i="4" s="1"/>
  <c r="U38" i="4"/>
  <c r="P39" i="4" s="1"/>
  <c r="BQ39" i="4"/>
  <c r="Y40" i="4"/>
  <c r="AC39" i="4"/>
  <c r="X40" i="4" s="1"/>
  <c r="CB40" i="4"/>
  <c r="BJ41" i="4"/>
  <c r="BE42" i="4" s="1"/>
  <c r="U42" i="4"/>
  <c r="P43" i="4" s="1"/>
  <c r="BQ43" i="4"/>
  <c r="Y44" i="4"/>
  <c r="AC43" i="4"/>
  <c r="X44" i="4" s="1"/>
  <c r="CB44" i="4"/>
  <c r="Y48" i="4"/>
  <c r="AC47" i="4"/>
  <c r="X48" i="4" s="1"/>
  <c r="BJ47" i="4"/>
  <c r="Y49" i="4"/>
  <c r="BU60" i="4"/>
  <c r="BP61" i="4" s="1"/>
  <c r="Y69" i="4"/>
  <c r="CF32" i="4"/>
  <c r="CA33" i="4" s="1"/>
  <c r="U34" i="4"/>
  <c r="P35" i="4" s="1"/>
  <c r="AY35" i="4"/>
  <c r="AT36" i="4" s="1"/>
  <c r="BU38" i="4"/>
  <c r="BP39" i="4" s="1"/>
  <c r="AN39" i="4"/>
  <c r="AI40" i="4" s="1"/>
  <c r="CQ39" i="4"/>
  <c r="CL40" i="4" s="1"/>
  <c r="BU42" i="4"/>
  <c r="BP43" i="4" s="1"/>
  <c r="AN43" i="4"/>
  <c r="AI44" i="4" s="1"/>
  <c r="CQ43" i="4"/>
  <c r="CL44" i="4" s="1"/>
  <c r="Q47" i="4"/>
  <c r="U46" i="4"/>
  <c r="P47" i="4" s="1"/>
  <c r="Q54" i="4"/>
  <c r="Y73" i="4"/>
  <c r="BU69" i="4"/>
  <c r="BP70" i="4" s="1"/>
  <c r="AJ72" i="4"/>
  <c r="AN71" i="4"/>
  <c r="AI72" i="4" s="1"/>
  <c r="AY73" i="4"/>
  <c r="AT74" i="4" s="1"/>
  <c r="AU74" i="4"/>
  <c r="AC61" i="4"/>
  <c r="X62" i="4" s="1"/>
  <c r="BQ62" i="4"/>
  <c r="AU82" i="4"/>
  <c r="AY81" i="4"/>
  <c r="AT82" i="4" s="1"/>
  <c r="Y58" i="4"/>
  <c r="U59" i="4"/>
  <c r="P60" i="4" s="1"/>
  <c r="BU61" i="4"/>
  <c r="BP62" i="4" s="1"/>
  <c r="CF62" i="4"/>
  <c r="CA63" i="4" s="1"/>
  <c r="AY64" i="4"/>
  <c r="AT65" i="4" s="1"/>
  <c r="AU66" i="4"/>
  <c r="CX67" i="4"/>
  <c r="DB66" i="4"/>
  <c r="CW67" i="4" s="1"/>
  <c r="DB68" i="4"/>
  <c r="CW69" i="4" s="1"/>
  <c r="AU73" i="4"/>
  <c r="AU81" i="4"/>
  <c r="U37" i="4"/>
  <c r="P38" i="4" s="1"/>
  <c r="AY38" i="4"/>
  <c r="AT39" i="4" s="1"/>
  <c r="CF39" i="4"/>
  <c r="CA40" i="4" s="1"/>
  <c r="U41" i="4"/>
  <c r="P42" i="4" s="1"/>
  <c r="AY42" i="4"/>
  <c r="AT43" i="4" s="1"/>
  <c r="CF43" i="4"/>
  <c r="CA44" i="4" s="1"/>
  <c r="U45" i="4"/>
  <c r="P46" i="4" s="1"/>
  <c r="CF47" i="4"/>
  <c r="CA48" i="4" s="1"/>
  <c r="U49" i="4"/>
  <c r="P50" i="4" s="1"/>
  <c r="U53" i="4"/>
  <c r="P54" i="4" s="1"/>
  <c r="AW98" i="4"/>
  <c r="AW95" i="4"/>
  <c r="AW83" i="4"/>
  <c r="AU98" i="4"/>
  <c r="AW97" i="4"/>
  <c r="AY86" i="4"/>
  <c r="AT87" i="4" s="1"/>
  <c r="AW84" i="4"/>
  <c r="AU97" i="4"/>
  <c r="AW85" i="4"/>
  <c r="AY75" i="4"/>
  <c r="AT76" i="4" s="1"/>
  <c r="AW73" i="4"/>
  <c r="AY88" i="4"/>
  <c r="AT89" i="4" s="1"/>
  <c r="AW86" i="4"/>
  <c r="AW74" i="4"/>
  <c r="AW87" i="4"/>
  <c r="AW75" i="4"/>
  <c r="AW96" i="4"/>
  <c r="AW88" i="4"/>
  <c r="AU87" i="4"/>
  <c r="AW89" i="4"/>
  <c r="AU88" i="4"/>
  <c r="AY92" i="4"/>
  <c r="AT93" i="4" s="1"/>
  <c r="AW90" i="4"/>
  <c r="AU89" i="4"/>
  <c r="AW91" i="4"/>
  <c r="AU90" i="4"/>
  <c r="AW92" i="4"/>
  <c r="AU91" i="4"/>
  <c r="AW93" i="4"/>
  <c r="AU92" i="4"/>
  <c r="AW94" i="4"/>
  <c r="AW81" i="4"/>
  <c r="AW77" i="4"/>
  <c r="AU75" i="4"/>
  <c r="AY66" i="4"/>
  <c r="AT67" i="4" s="1"/>
  <c r="AW64" i="4"/>
  <c r="AY83" i="4"/>
  <c r="AT84" i="4" s="1"/>
  <c r="AW80" i="4"/>
  <c r="AU77" i="4"/>
  <c r="AY67" i="4"/>
  <c r="AT68" i="4" s="1"/>
  <c r="AW65" i="4"/>
  <c r="AW66" i="4"/>
  <c r="AY84" i="4"/>
  <c r="AT85" i="4" s="1"/>
  <c r="AW67" i="4"/>
  <c r="AU93" i="4"/>
  <c r="AW79" i="4"/>
  <c r="AW76" i="4"/>
  <c r="AY70" i="4"/>
  <c r="AT71" i="4" s="1"/>
  <c r="AW68" i="4"/>
  <c r="AU76" i="4"/>
  <c r="AW69" i="4"/>
  <c r="AW70" i="4"/>
  <c r="AU69" i="4"/>
  <c r="AW71" i="4"/>
  <c r="AU70" i="4"/>
  <c r="AY97" i="4"/>
  <c r="AT98" i="4" s="1"/>
  <c r="AW78" i="4"/>
  <c r="AY74" i="4"/>
  <c r="AT75" i="4" s="1"/>
  <c r="AW72" i="4"/>
  <c r="AU71" i="4"/>
  <c r="CD96" i="4"/>
  <c r="CD97" i="4"/>
  <c r="CD98" i="4"/>
  <c r="CD99" i="4"/>
  <c r="CB98" i="4"/>
  <c r="CD100" i="4"/>
  <c r="CB99" i="4"/>
  <c r="CD101" i="4"/>
  <c r="CB100" i="4"/>
  <c r="CD102" i="4"/>
  <c r="CB101" i="4"/>
  <c r="CD103" i="4"/>
  <c r="CF97" i="4"/>
  <c r="CA98" i="4" s="1"/>
  <c r="CD86" i="4"/>
  <c r="CD74" i="4"/>
  <c r="CB102" i="4"/>
  <c r="CF89" i="4"/>
  <c r="CA90" i="4" s="1"/>
  <c r="CD87" i="4"/>
  <c r="CF77" i="4"/>
  <c r="CA78" i="4" s="1"/>
  <c r="CD75" i="4"/>
  <c r="CD88" i="4"/>
  <c r="CD76" i="4"/>
  <c r="CF91" i="4"/>
  <c r="CA92" i="4" s="1"/>
  <c r="CD89" i="4"/>
  <c r="CD77" i="4"/>
  <c r="CD90" i="4"/>
  <c r="CD78" i="4"/>
  <c r="CD91" i="4"/>
  <c r="CB90" i="4"/>
  <c r="CD79" i="4"/>
  <c r="CB78" i="4"/>
  <c r="CD92" i="4"/>
  <c r="CB91" i="4"/>
  <c r="CD80" i="4"/>
  <c r="CD93" i="4"/>
  <c r="CB92" i="4"/>
  <c r="CD94" i="4"/>
  <c r="CB93" i="4"/>
  <c r="CD82" i="4"/>
  <c r="CB94" i="4"/>
  <c r="CB103" i="4"/>
  <c r="CD73" i="4"/>
  <c r="CF69" i="4"/>
  <c r="CA70" i="4" s="1"/>
  <c r="CD67" i="4"/>
  <c r="CD68" i="4"/>
  <c r="CF75" i="4"/>
  <c r="CA76" i="4" s="1"/>
  <c r="CD69" i="4"/>
  <c r="CF87" i="4"/>
  <c r="CA88" i="4" s="1"/>
  <c r="CB82" i="4"/>
  <c r="CD81" i="4"/>
  <c r="CD70" i="4"/>
  <c r="CF60" i="4"/>
  <c r="CA61" i="4" s="1"/>
  <c r="CD95" i="4"/>
  <c r="CD85" i="4"/>
  <c r="CF83" i="4"/>
  <c r="CA84" i="4" s="1"/>
  <c r="CB81" i="4"/>
  <c r="CD71" i="4"/>
  <c r="CF61" i="4"/>
  <c r="CA62" i="4" s="1"/>
  <c r="CD59" i="4"/>
  <c r="CB80" i="4"/>
  <c r="CD72" i="4"/>
  <c r="CD60" i="4"/>
  <c r="CD83" i="4"/>
  <c r="CB72" i="4"/>
  <c r="CB83" i="4"/>
  <c r="CB79" i="4"/>
  <c r="CD84" i="4"/>
  <c r="CB84" i="4"/>
  <c r="AC57" i="4"/>
  <c r="X58" i="4" s="1"/>
  <c r="CM60" i="4"/>
  <c r="AY65" i="4"/>
  <c r="AT66" i="4" s="1"/>
  <c r="CB68" i="4"/>
  <c r="BU70" i="4"/>
  <c r="BP71" i="4" s="1"/>
  <c r="CF73" i="4"/>
  <c r="CA74" i="4" s="1"/>
  <c r="AY80" i="4"/>
  <c r="AT81" i="4" s="1"/>
  <c r="CQ59" i="4"/>
  <c r="CL60" i="4" s="1"/>
  <c r="CB61" i="4"/>
  <c r="Q63" i="4"/>
  <c r="AY62" i="4"/>
  <c r="AT63" i="4" s="1"/>
  <c r="BQ64" i="4"/>
  <c r="DB63" i="4"/>
  <c r="CW64" i="4" s="1"/>
  <c r="CZ64" i="4"/>
  <c r="CZ65" i="4"/>
  <c r="CF67" i="4"/>
  <c r="CA68" i="4" s="1"/>
  <c r="AY68" i="4"/>
  <c r="AT69" i="4" s="1"/>
  <c r="U69" i="4"/>
  <c r="P70" i="4" s="1"/>
  <c r="CF70" i="4"/>
  <c r="CA71" i="4" s="1"/>
  <c r="AU80" i="4"/>
  <c r="BU86" i="4"/>
  <c r="BP87" i="4" s="1"/>
  <c r="CX60" i="4"/>
  <c r="CD61" i="4"/>
  <c r="U62" i="4"/>
  <c r="P63" i="4" s="1"/>
  <c r="AC63" i="4"/>
  <c r="X64" i="4" s="1"/>
  <c r="BU63" i="4"/>
  <c r="BP64" i="4" s="1"/>
  <c r="Q65" i="4"/>
  <c r="CX66" i="4"/>
  <c r="Y68" i="4"/>
  <c r="AC69" i="4"/>
  <c r="X70" i="4" s="1"/>
  <c r="CF71" i="4"/>
  <c r="CA72" i="4" s="1"/>
  <c r="BQ73" i="4"/>
  <c r="CX74" i="4"/>
  <c r="CX88" i="4"/>
  <c r="AC89" i="4"/>
  <c r="X90" i="4" s="1"/>
  <c r="AC53" i="4"/>
  <c r="X54" i="4" s="1"/>
  <c r="AN60" i="4"/>
  <c r="AI61" i="4" s="1"/>
  <c r="AW61" i="4"/>
  <c r="BJ65" i="4"/>
  <c r="BE66" i="4" s="1"/>
  <c r="BF65" i="4"/>
  <c r="BF69" i="4"/>
  <c r="BJ68" i="4"/>
  <c r="BE69" i="4" s="1"/>
  <c r="CX70" i="4"/>
  <c r="AU78" i="4"/>
  <c r="Y57" i="4"/>
  <c r="Y62" i="4"/>
  <c r="CB63" i="4"/>
  <c r="BQ65" i="4"/>
  <c r="U65" i="4"/>
  <c r="P66" i="4" s="1"/>
  <c r="BQ66" i="4"/>
  <c r="BU66" i="4"/>
  <c r="BP67" i="4" s="1"/>
  <c r="CM73" i="4"/>
  <c r="CQ72" i="4"/>
  <c r="CL73" i="4" s="1"/>
  <c r="Q76" i="4"/>
  <c r="AY77" i="4"/>
  <c r="AT78" i="4" s="1"/>
  <c r="AC56" i="4"/>
  <c r="X57" i="4" s="1"/>
  <c r="AJ59" i="4"/>
  <c r="AJ60" i="4"/>
  <c r="DB59" i="4"/>
  <c r="CW60" i="4" s="1"/>
  <c r="AU60" i="4"/>
  <c r="Q62" i="4"/>
  <c r="AY61" i="4"/>
  <c r="AT62" i="4" s="1"/>
  <c r="CD63" i="4"/>
  <c r="Y65" i="4"/>
  <c r="Y67" i="4"/>
  <c r="CD66" i="4"/>
  <c r="AN67" i="4"/>
  <c r="AI68" i="4" s="1"/>
  <c r="AJ67" i="4"/>
  <c r="CX68" i="4"/>
  <c r="CB69" i="4"/>
  <c r="DB70" i="4"/>
  <c r="CW71" i="4" s="1"/>
  <c r="CZ107" i="4"/>
  <c r="CZ96" i="4"/>
  <c r="CZ97" i="4"/>
  <c r="CZ98" i="4"/>
  <c r="CZ99" i="4"/>
  <c r="CX98" i="4"/>
  <c r="CZ100" i="4"/>
  <c r="CX99" i="4"/>
  <c r="CZ101" i="4"/>
  <c r="CX100" i="4"/>
  <c r="CZ102" i="4"/>
  <c r="CX101" i="4"/>
  <c r="CZ103" i="4"/>
  <c r="CX102" i="4"/>
  <c r="CX103" i="4"/>
  <c r="CZ95" i="4"/>
  <c r="CZ86" i="4"/>
  <c r="CZ74" i="4"/>
  <c r="DB89" i="4"/>
  <c r="CW90" i="4" s="1"/>
  <c r="CZ87" i="4"/>
  <c r="DB77" i="4"/>
  <c r="CW78" i="4" s="1"/>
  <c r="CZ75" i="4"/>
  <c r="CZ105" i="4"/>
  <c r="CZ88" i="4"/>
  <c r="CZ76" i="4"/>
  <c r="DB97" i="4"/>
  <c r="CW98" i="4" s="1"/>
  <c r="DB91" i="4"/>
  <c r="CW92" i="4" s="1"/>
  <c r="CZ89" i="4"/>
  <c r="CZ77" i="4"/>
  <c r="CZ90" i="4"/>
  <c r="CZ78" i="4"/>
  <c r="CZ91" i="4"/>
  <c r="CX90" i="4"/>
  <c r="CZ79" i="4"/>
  <c r="CX78" i="4"/>
  <c r="CZ104" i="4"/>
  <c r="CZ92" i="4"/>
  <c r="CX91" i="4"/>
  <c r="CZ80" i="4"/>
  <c r="CX104" i="4"/>
  <c r="CZ93" i="4"/>
  <c r="CX92" i="4"/>
  <c r="CZ106" i="4"/>
  <c r="CZ94" i="4"/>
  <c r="CX93" i="4"/>
  <c r="CZ82" i="4"/>
  <c r="CX94" i="4"/>
  <c r="CZ85" i="4"/>
  <c r="CZ83" i="4"/>
  <c r="CX79" i="4"/>
  <c r="DB69" i="4"/>
  <c r="CW70" i="4" s="1"/>
  <c r="CZ67" i="4"/>
  <c r="DB74" i="4"/>
  <c r="CW75" i="4" s="1"/>
  <c r="DB73" i="4"/>
  <c r="CW74" i="4" s="1"/>
  <c r="CZ68" i="4"/>
  <c r="DB71" i="4"/>
  <c r="CW72" i="4" s="1"/>
  <c r="CZ69" i="4"/>
  <c r="CZ73" i="4"/>
  <c r="DB72" i="4"/>
  <c r="CW73" i="4" s="1"/>
  <c r="CZ70" i="4"/>
  <c r="DB60" i="4"/>
  <c r="CW61" i="4" s="1"/>
  <c r="CZ71" i="4"/>
  <c r="DB61" i="4"/>
  <c r="CW62" i="4" s="1"/>
  <c r="CZ59" i="4"/>
  <c r="CZ84" i="4"/>
  <c r="CZ72" i="4"/>
  <c r="CZ60" i="4"/>
  <c r="CX84" i="4"/>
  <c r="DB75" i="4"/>
  <c r="CW76" i="4" s="1"/>
  <c r="CX72" i="4"/>
  <c r="CZ81" i="4"/>
  <c r="DB65" i="4"/>
  <c r="CW66" i="4" s="1"/>
  <c r="CX81" i="4"/>
  <c r="DB87" i="4"/>
  <c r="CW88" i="4" s="1"/>
  <c r="DB83" i="4"/>
  <c r="CW84" i="4" s="1"/>
  <c r="CX82" i="4"/>
  <c r="CX80" i="4"/>
  <c r="AW60" i="4"/>
  <c r="CB60" i="4"/>
  <c r="BQ63" i="4"/>
  <c r="CZ62" i="4"/>
  <c r="AW63" i="4"/>
  <c r="Y66" i="4"/>
  <c r="CD65" i="4"/>
  <c r="CB67" i="4"/>
  <c r="CF66" i="4"/>
  <c r="CA67" i="4" s="1"/>
  <c r="AU68" i="4"/>
  <c r="DB67" i="4"/>
  <c r="CW68" i="4" s="1"/>
  <c r="CF68" i="4"/>
  <c r="CA69" i="4" s="1"/>
  <c r="AY69" i="4"/>
  <c r="AT70" i="4" s="1"/>
  <c r="AC70" i="4"/>
  <c r="X71" i="4" s="1"/>
  <c r="U73" i="4"/>
  <c r="P74" i="4" s="1"/>
  <c r="CF78" i="4"/>
  <c r="CA79" i="4" s="1"/>
  <c r="CB75" i="4"/>
  <c r="BH75" i="4"/>
  <c r="AJ76" i="4"/>
  <c r="BF78" i="4"/>
  <c r="CO78" i="4"/>
  <c r="BQ80" i="4"/>
  <c r="Q81" i="4"/>
  <c r="BJ80" i="4"/>
  <c r="BE81" i="4" s="1"/>
  <c r="AU83" i="4"/>
  <c r="BJ83" i="4"/>
  <c r="BE84" i="4" s="1"/>
  <c r="AY85" i="4"/>
  <c r="AT86" i="4" s="1"/>
  <c r="CB87" i="4"/>
  <c r="BU88" i="4"/>
  <c r="BP89" i="4" s="1"/>
  <c r="AL89" i="4"/>
  <c r="CM90" i="4"/>
  <c r="CF90" i="4"/>
  <c r="CA91" i="4" s="1"/>
  <c r="AY91" i="4"/>
  <c r="AT92" i="4" s="1"/>
  <c r="AC92" i="4"/>
  <c r="X93" i="4" s="1"/>
  <c r="BJ94" i="4"/>
  <c r="BE95" i="4" s="1"/>
  <c r="AN97" i="4"/>
  <c r="AI98" i="4" s="1"/>
  <c r="AL68" i="4"/>
  <c r="CM68" i="4"/>
  <c r="Q69" i="4"/>
  <c r="CO69" i="4"/>
  <c r="AN70" i="4"/>
  <c r="AI71" i="4" s="1"/>
  <c r="BQ70" i="4"/>
  <c r="CQ71" i="4"/>
  <c r="CL72" i="4" s="1"/>
  <c r="U72" i="4"/>
  <c r="P73" i="4" s="1"/>
  <c r="AU72" i="4"/>
  <c r="BF73" i="4"/>
  <c r="CF74" i="4"/>
  <c r="CA75" i="4" s="1"/>
  <c r="BF76" i="4"/>
  <c r="CQ75" i="4"/>
  <c r="CL76" i="4" s="1"/>
  <c r="AL76" i="4"/>
  <c r="BU76" i="4"/>
  <c r="BP77" i="4" s="1"/>
  <c r="BJ77" i="4"/>
  <c r="BE78" i="4" s="1"/>
  <c r="CM79" i="4"/>
  <c r="AC79" i="4"/>
  <c r="X80" i="4" s="1"/>
  <c r="BU79" i="4"/>
  <c r="BP80" i="4" s="1"/>
  <c r="U80" i="4"/>
  <c r="P81" i="4" s="1"/>
  <c r="DB80" i="4"/>
  <c r="CW81" i="4" s="1"/>
  <c r="AY82" i="4"/>
  <c r="AT83" i="4" s="1"/>
  <c r="DB82" i="4"/>
  <c r="CW83" i="4" s="1"/>
  <c r="BU83" i="4"/>
  <c r="BP84" i="4" s="1"/>
  <c r="U84" i="4"/>
  <c r="P85" i="4" s="1"/>
  <c r="U86" i="4"/>
  <c r="P87" i="4" s="1"/>
  <c r="CF86" i="4"/>
  <c r="CA87" i="4" s="1"/>
  <c r="AY87" i="4"/>
  <c r="AT88" i="4" s="1"/>
  <c r="CF88" i="4"/>
  <c r="CA89" i="4" s="1"/>
  <c r="AJ90" i="4"/>
  <c r="CO90" i="4"/>
  <c r="AN92" i="4"/>
  <c r="AI93" i="4" s="1"/>
  <c r="DB93" i="4"/>
  <c r="CW94" i="4" s="1"/>
  <c r="BQ95" i="4"/>
  <c r="Y96" i="4"/>
  <c r="AL67" i="4"/>
  <c r="AN69" i="4"/>
  <c r="AI70" i="4" s="1"/>
  <c r="CQ70" i="4"/>
  <c r="CL71" i="4" s="1"/>
  <c r="BU72" i="4"/>
  <c r="BP73" i="4" s="1"/>
  <c r="Y74" i="4"/>
  <c r="BH73" i="4"/>
  <c r="BJ75" i="4"/>
  <c r="BE76" i="4" s="1"/>
  <c r="AJ77" i="4"/>
  <c r="CF76" i="4"/>
  <c r="CA77" i="4" s="1"/>
  <c r="CQ78" i="4"/>
  <c r="CL79" i="4" s="1"/>
  <c r="AJ80" i="4"/>
  <c r="BQ81" i="4"/>
  <c r="Q82" i="4"/>
  <c r="BJ81" i="4"/>
  <c r="BE82" i="4" s="1"/>
  <c r="BF82" i="4"/>
  <c r="CB85" i="4"/>
  <c r="CF84" i="4"/>
  <c r="CA85" i="4" s="1"/>
  <c r="BF85" i="4"/>
  <c r="Y87" i="4"/>
  <c r="BH87" i="4"/>
  <c r="AN89" i="4"/>
  <c r="AI90" i="4" s="1"/>
  <c r="CM91" i="4"/>
  <c r="CO73" i="4"/>
  <c r="BF74" i="4"/>
  <c r="CM74" i="4"/>
  <c r="AC75" i="4"/>
  <c r="X76" i="4" s="1"/>
  <c r="CX76" i="4"/>
  <c r="AN76" i="4"/>
  <c r="AI77" i="4" s="1"/>
  <c r="AY78" i="4"/>
  <c r="AT79" i="4" s="1"/>
  <c r="AN79" i="4"/>
  <c r="AI80" i="4" s="1"/>
  <c r="BQ82" i="4"/>
  <c r="DB81" i="4"/>
  <c r="CW82" i="4" s="1"/>
  <c r="BJ82" i="4"/>
  <c r="BE83" i="4" s="1"/>
  <c r="Y85" i="4"/>
  <c r="CQ84" i="4"/>
  <c r="CL85" i="4" s="1"/>
  <c r="BH85" i="4"/>
  <c r="CQ86" i="4"/>
  <c r="CL87" i="4" s="1"/>
  <c r="BF88" i="4"/>
  <c r="U88" i="4"/>
  <c r="P89" i="4" s="1"/>
  <c r="CM88" i="4"/>
  <c r="AY89" i="4"/>
  <c r="AT90" i="4" s="1"/>
  <c r="DB90" i="4"/>
  <c r="CW91" i="4" s="1"/>
  <c r="BQ92" i="4"/>
  <c r="AY95" i="4"/>
  <c r="AT96" i="4" s="1"/>
  <c r="AU96" i="4"/>
  <c r="DB103" i="4"/>
  <c r="CW104" i="4" s="1"/>
  <c r="DB107" i="4"/>
  <c r="AL65" i="4"/>
  <c r="AY72" i="4"/>
  <c r="AT73" i="4" s="1"/>
  <c r="Y75" i="4"/>
  <c r="CO74" i="4"/>
  <c r="CM76" i="4"/>
  <c r="AC77" i="4"/>
  <c r="X78" i="4" s="1"/>
  <c r="BJ78" i="4"/>
  <c r="BE79" i="4" s="1"/>
  <c r="CF79" i="4"/>
  <c r="CA80" i="4" s="1"/>
  <c r="BU81" i="4"/>
  <c r="BP82" i="4" s="1"/>
  <c r="U82" i="4"/>
  <c r="P83" i="4" s="1"/>
  <c r="BQ83" i="4"/>
  <c r="AC84" i="4"/>
  <c r="X85" i="4" s="1"/>
  <c r="CX87" i="4"/>
  <c r="BJ87" i="4"/>
  <c r="BE88" i="4" s="1"/>
  <c r="CO88" i="4"/>
  <c r="U90" i="4"/>
  <c r="BJ92" i="4"/>
  <c r="BE93" i="4" s="1"/>
  <c r="AC93" i="4"/>
  <c r="X94" i="4" s="1"/>
  <c r="BF96" i="4"/>
  <c r="AJ96" i="4"/>
  <c r="BU100" i="4"/>
  <c r="BP101" i="4" s="1"/>
  <c r="BH98" i="4"/>
  <c r="BH88" i="4"/>
  <c r="BH76" i="4"/>
  <c r="BJ91" i="4"/>
  <c r="BE92" i="4" s="1"/>
  <c r="BH89" i="4"/>
  <c r="BJ79" i="4"/>
  <c r="BE80" i="4" s="1"/>
  <c r="BH77" i="4"/>
  <c r="BH96" i="4"/>
  <c r="BH90" i="4"/>
  <c r="BH78" i="4"/>
  <c r="BJ93" i="4"/>
  <c r="BE94" i="4" s="1"/>
  <c r="BH91" i="4"/>
  <c r="BH79" i="4"/>
  <c r="BH92" i="4"/>
  <c r="BH80" i="4"/>
  <c r="BH93" i="4"/>
  <c r="BF92" i="4"/>
  <c r="BH81" i="4"/>
  <c r="BF80" i="4"/>
  <c r="BH94" i="4"/>
  <c r="BF93" i="4"/>
  <c r="BH82" i="4"/>
  <c r="BF81" i="4"/>
  <c r="BF94" i="4"/>
  <c r="BJ85" i="4"/>
  <c r="BE86" i="4" s="1"/>
  <c r="BH95" i="4"/>
  <c r="BH84" i="4"/>
  <c r="BF83" i="4"/>
  <c r="BF95" i="4"/>
  <c r="BH97" i="4"/>
  <c r="CB59" i="4"/>
  <c r="CX59" i="4"/>
  <c r="BH62" i="4"/>
  <c r="AL64" i="4"/>
  <c r="CO65" i="4"/>
  <c r="Y70" i="4"/>
  <c r="CB71" i="4"/>
  <c r="CX71" i="4"/>
  <c r="BF75" i="4"/>
  <c r="CO76" i="4"/>
  <c r="AL77" i="4"/>
  <c r="Q79" i="4"/>
  <c r="AU79" i="4"/>
  <c r="CM80" i="4"/>
  <c r="AC80" i="4"/>
  <c r="X81" i="4" s="1"/>
  <c r="Y81" i="4"/>
  <c r="Y84" i="4"/>
  <c r="AC83" i="4"/>
  <c r="X84" i="4" s="1"/>
  <c r="AN84" i="4"/>
  <c r="AI85" i="4" s="1"/>
  <c r="BU85" i="4"/>
  <c r="BP86" i="4" s="1"/>
  <c r="AJ86" i="4"/>
  <c r="DB86" i="4"/>
  <c r="CW87" i="4" s="1"/>
  <c r="BU87" i="4"/>
  <c r="BP88" i="4" s="1"/>
  <c r="BJ89" i="4"/>
  <c r="BE90" i="4" s="1"/>
  <c r="CM92" i="4"/>
  <c r="CQ91" i="4"/>
  <c r="CL92" i="4" s="1"/>
  <c r="AJ97" i="4"/>
  <c r="CX105" i="4"/>
  <c r="BF60" i="4"/>
  <c r="BH61" i="4"/>
  <c r="AL63" i="4"/>
  <c r="BJ63" i="4"/>
  <c r="BE64" i="4" s="1"/>
  <c r="CO64" i="4"/>
  <c r="AN65" i="4"/>
  <c r="AI66" i="4" s="1"/>
  <c r="CQ66" i="4"/>
  <c r="CL67" i="4" s="1"/>
  <c r="CB73" i="4"/>
  <c r="CX73" i="4"/>
  <c r="AL73" i="4"/>
  <c r="BJ74" i="4"/>
  <c r="BE75" i="4" s="1"/>
  <c r="CQ74" i="4"/>
  <c r="CL75" i="4" s="1"/>
  <c r="AL75" i="4"/>
  <c r="BU75" i="4"/>
  <c r="BP76" i="4" s="1"/>
  <c r="AJ78" i="4"/>
  <c r="DB78" i="4"/>
  <c r="CW79" i="4" s="1"/>
  <c r="CQ79" i="4"/>
  <c r="CL80" i="4" s="1"/>
  <c r="AN80" i="4"/>
  <c r="AI81" i="4" s="1"/>
  <c r="CF80" i="4"/>
  <c r="CA81" i="4" s="1"/>
  <c r="CX85" i="4"/>
  <c r="DB84" i="4"/>
  <c r="CW85" i="4" s="1"/>
  <c r="AN86" i="4"/>
  <c r="AI87" i="4" s="1"/>
  <c r="CB88" i="4"/>
  <c r="DB88" i="4"/>
  <c r="CW89" i="4" s="1"/>
  <c r="AJ91" i="4"/>
  <c r="BQ93" i="4"/>
  <c r="BF154" i="4"/>
  <c r="BJ153" i="4"/>
  <c r="BE154" i="4" s="1"/>
  <c r="AL90" i="4"/>
  <c r="AL78" i="4"/>
  <c r="AN93" i="4"/>
  <c r="AI94" i="4" s="1"/>
  <c r="AL91" i="4"/>
  <c r="AN81" i="4"/>
  <c r="AI82" i="4" s="1"/>
  <c r="AL79" i="4"/>
  <c r="AL92" i="4"/>
  <c r="AL80" i="4"/>
  <c r="AN98" i="4"/>
  <c r="AN95" i="4"/>
  <c r="AI96" i="4" s="1"/>
  <c r="AL93" i="4"/>
  <c r="AL81" i="4"/>
  <c r="AL94" i="4"/>
  <c r="AL82" i="4"/>
  <c r="AL98" i="4"/>
  <c r="AL95" i="4"/>
  <c r="AJ94" i="4"/>
  <c r="AL83" i="4"/>
  <c r="AJ82" i="4"/>
  <c r="AJ98" i="4"/>
  <c r="AL97" i="4"/>
  <c r="AJ95" i="4"/>
  <c r="AL84" i="4"/>
  <c r="AJ83" i="4"/>
  <c r="AN87" i="4"/>
  <c r="AI88" i="4" s="1"/>
  <c r="AL85" i="4"/>
  <c r="AJ84" i="4"/>
  <c r="AL86" i="4"/>
  <c r="AJ85" i="4"/>
  <c r="AL96" i="4"/>
  <c r="AL62" i="4"/>
  <c r="BJ62" i="4"/>
  <c r="BE63" i="4" s="1"/>
  <c r="CO63" i="4"/>
  <c r="AN64" i="4"/>
  <c r="AI65" i="4" s="1"/>
  <c r="CQ65" i="4"/>
  <c r="CL66" i="4" s="1"/>
  <c r="BH72" i="4"/>
  <c r="CF72" i="4"/>
  <c r="CA73" i="4" s="1"/>
  <c r="CB76" i="4"/>
  <c r="AY76" i="4"/>
  <c r="AT77" i="4" s="1"/>
  <c r="AN77" i="4"/>
  <c r="AI78" i="4" s="1"/>
  <c r="CM81" i="4"/>
  <c r="AC81" i="4"/>
  <c r="X82" i="4" s="1"/>
  <c r="AN83" i="4"/>
  <c r="AI84" i="4" s="1"/>
  <c r="CQ83" i="4"/>
  <c r="CL84" i="4" s="1"/>
  <c r="U85" i="4"/>
  <c r="P86" i="4" s="1"/>
  <c r="CB86" i="4"/>
  <c r="U87" i="4"/>
  <c r="P88" i="4" s="1"/>
  <c r="AJ89" i="4"/>
  <c r="AN88" i="4"/>
  <c r="AI89" i="4" s="1"/>
  <c r="AN90" i="4"/>
  <c r="AI91" i="4" s="1"/>
  <c r="CF92" i="4"/>
  <c r="CA93" i="4" s="1"/>
  <c r="AU94" i="4"/>
  <c r="AY98" i="4"/>
  <c r="CF99" i="4"/>
  <c r="CA100" i="4" s="1"/>
  <c r="CO91" i="4"/>
  <c r="CO79" i="4"/>
  <c r="CQ94" i="4"/>
  <c r="CL95" i="4" s="1"/>
  <c r="CO92" i="4"/>
  <c r="CQ82" i="4"/>
  <c r="CL83" i="4" s="1"/>
  <c r="CO80" i="4"/>
  <c r="CO93" i="4"/>
  <c r="CO81" i="4"/>
  <c r="CO94" i="4"/>
  <c r="CO82" i="4"/>
  <c r="CO83" i="4"/>
  <c r="CO84" i="4"/>
  <c r="CM83" i="4"/>
  <c r="CO95" i="4"/>
  <c r="CO85" i="4"/>
  <c r="CM84" i="4"/>
  <c r="CM95" i="4"/>
  <c r="CQ88" i="4"/>
  <c r="CL89" i="4" s="1"/>
  <c r="CO86" i="4"/>
  <c r="CM85" i="4"/>
  <c r="CO87" i="4"/>
  <c r="CM86" i="4"/>
  <c r="BH59" i="4"/>
  <c r="AL61" i="4"/>
  <c r="CO62" i="4"/>
  <c r="BH71" i="4"/>
  <c r="AN73" i="4"/>
  <c r="AI74" i="4" s="1"/>
  <c r="BU73" i="4"/>
  <c r="BP74" i="4" s="1"/>
  <c r="AL74" i="4"/>
  <c r="BQ74" i="4"/>
  <c r="CX75" i="4"/>
  <c r="BF77" i="4"/>
  <c r="Q80" i="4"/>
  <c r="AY79" i="4"/>
  <c r="AT80" i="4" s="1"/>
  <c r="CQ80" i="4"/>
  <c r="CL81" i="4" s="1"/>
  <c r="CF81" i="4"/>
  <c r="CA82" i="4" s="1"/>
  <c r="CF82" i="4"/>
  <c r="CA83" i="4" s="1"/>
  <c r="AU84" i="4"/>
  <c r="Y86" i="4"/>
  <c r="CF85" i="4"/>
  <c r="CA86" i="4" s="1"/>
  <c r="AC87" i="4"/>
  <c r="X88" i="4" s="1"/>
  <c r="BU89" i="4"/>
  <c r="BP90" i="4" s="1"/>
  <c r="AY90" i="4"/>
  <c r="AT91" i="4" s="1"/>
  <c r="CQ95" i="4"/>
  <c r="CL96" i="4" s="1"/>
  <c r="BJ98" i="4"/>
  <c r="AL60" i="4"/>
  <c r="AN62" i="4"/>
  <c r="AI63" i="4" s="1"/>
  <c r="CQ63" i="4"/>
  <c r="CL64" i="4" s="1"/>
  <c r="BH70" i="4"/>
  <c r="AL72" i="4"/>
  <c r="BJ76" i="4"/>
  <c r="BE77" i="4" s="1"/>
  <c r="DB76" i="4"/>
  <c r="CW77" i="4" s="1"/>
  <c r="CO77" i="4"/>
  <c r="AC78" i="4"/>
  <c r="X79" i="4" s="1"/>
  <c r="CQ81" i="4"/>
  <c r="CL82" i="4" s="1"/>
  <c r="CX83" i="4"/>
  <c r="BF84" i="4"/>
  <c r="CQ85" i="4"/>
  <c r="CL86" i="4" s="1"/>
  <c r="BH86" i="4"/>
  <c r="CM87" i="4"/>
  <c r="BF89" i="4"/>
  <c r="BJ90" i="4"/>
  <c r="BE91" i="4" s="1"/>
  <c r="AC91" i="4"/>
  <c r="X92" i="4" s="1"/>
  <c r="CQ92" i="4"/>
  <c r="CL93" i="4" s="1"/>
  <c r="BQ94" i="4"/>
  <c r="BU93" i="4"/>
  <c r="BP94" i="4" s="1"/>
  <c r="AN94" i="4"/>
  <c r="AI95" i="4" s="1"/>
  <c r="CX96" i="4"/>
  <c r="DB95" i="4"/>
  <c r="CW96" i="4" s="1"/>
  <c r="BQ97" i="4"/>
  <c r="BQ99" i="4"/>
  <c r="BH69" i="4"/>
  <c r="AL71" i="4"/>
  <c r="BJ71" i="4"/>
  <c r="BE72" i="4" s="1"/>
  <c r="CO72" i="4"/>
  <c r="AN74" i="4"/>
  <c r="AI75" i="4" s="1"/>
  <c r="BU74" i="4"/>
  <c r="BP75" i="4" s="1"/>
  <c r="CM78" i="4"/>
  <c r="AJ79" i="4"/>
  <c r="BQ79" i="4"/>
  <c r="AN82" i="4"/>
  <c r="AI83" i="4" s="1"/>
  <c r="BJ84" i="4"/>
  <c r="BE85" i="4" s="1"/>
  <c r="BF87" i="4"/>
  <c r="BJ86" i="4"/>
  <c r="BE87" i="4" s="1"/>
  <c r="AJ87" i="4"/>
  <c r="CQ87" i="4"/>
  <c r="CL88" i="4" s="1"/>
  <c r="BJ88" i="4"/>
  <c r="BE89" i="4" s="1"/>
  <c r="CM89" i="4"/>
  <c r="DB92" i="4"/>
  <c r="CW93" i="4" s="1"/>
  <c r="CF93" i="4"/>
  <c r="CA94" i="4" s="1"/>
  <c r="CB97" i="4"/>
  <c r="CB96" i="4"/>
  <c r="CQ90" i="4"/>
  <c r="CL91" i="4" s="1"/>
  <c r="BU92" i="4"/>
  <c r="BP93" i="4" s="1"/>
  <c r="AY94" i="4"/>
  <c r="AT95" i="4" s="1"/>
  <c r="CF95" i="4"/>
  <c r="CA96" i="4" s="1"/>
  <c r="AC97" i="4"/>
  <c r="X98" i="4" s="1"/>
  <c r="BF98" i="4"/>
  <c r="BQ101" i="4"/>
  <c r="CF103" i="4"/>
  <c r="CQ89" i="4"/>
  <c r="CL90" i="4" s="1"/>
  <c r="BU91" i="4"/>
  <c r="BP92" i="4" s="1"/>
  <c r="AY93" i="4"/>
  <c r="AT94" i="4" s="1"/>
  <c r="AC95" i="4"/>
  <c r="X96" i="4" s="1"/>
  <c r="AN96" i="4"/>
  <c r="AI97" i="4" s="1"/>
  <c r="BJ97" i="4"/>
  <c r="BE98" i="4" s="1"/>
  <c r="CB95" i="4"/>
  <c r="CX95" i="4"/>
  <c r="CX97" i="4"/>
  <c r="AC98" i="4"/>
  <c r="DB98" i="4"/>
  <c r="CW99" i="4" s="1"/>
  <c r="CF100" i="4"/>
  <c r="CA101" i="4" s="1"/>
  <c r="BQ102" i="4"/>
  <c r="DB101" i="4"/>
  <c r="CW102" i="4" s="1"/>
  <c r="CX107" i="4"/>
  <c r="CF94" i="4"/>
  <c r="CA95" i="4" s="1"/>
  <c r="DB94" i="4"/>
  <c r="CW95" i="4" s="1"/>
  <c r="BJ95" i="4"/>
  <c r="BE96" i="4" s="1"/>
  <c r="DB96" i="4"/>
  <c r="CW97" i="4" s="1"/>
  <c r="BU101" i="4"/>
  <c r="BP102" i="4" s="1"/>
  <c r="DB106" i="4"/>
  <c r="CW107" i="4" s="1"/>
  <c r="BF123" i="4"/>
  <c r="BF124" i="4"/>
  <c r="BJ123" i="4"/>
  <c r="BE124" i="4" s="1"/>
  <c r="AY129" i="4"/>
  <c r="AT130" i="4" s="1"/>
  <c r="AY141" i="4"/>
  <c r="AT142" i="4" s="1"/>
  <c r="DB104" i="4"/>
  <c r="CW105" i="4" s="1"/>
  <c r="AN130" i="4"/>
  <c r="AI131" i="4" s="1"/>
  <c r="AN142" i="4"/>
  <c r="AI143" i="4" s="1"/>
  <c r="BF153" i="4"/>
  <c r="Y76" i="4"/>
  <c r="CB77" i="4"/>
  <c r="CX77" i="4"/>
  <c r="BF79" i="4"/>
  <c r="AJ81" i="4"/>
  <c r="CM82" i="4"/>
  <c r="Q83" i="4"/>
  <c r="BQ84" i="4"/>
  <c r="AU86" i="4"/>
  <c r="Y88" i="4"/>
  <c r="CB89" i="4"/>
  <c r="CX89" i="4"/>
  <c r="BF91" i="4"/>
  <c r="AJ93" i="4"/>
  <c r="CM94" i="4"/>
  <c r="AY96" i="4"/>
  <c r="AT97" i="4" s="1"/>
  <c r="CF96" i="4"/>
  <c r="CA97" i="4" s="1"/>
  <c r="BU98" i="4"/>
  <c r="BP99" i="4" s="1"/>
  <c r="CF101" i="4"/>
  <c r="CA102" i="4" s="1"/>
  <c r="BQ103" i="4"/>
  <c r="AU124" i="4"/>
  <c r="AU125" i="4"/>
  <c r="AY124" i="4"/>
  <c r="AT125" i="4" s="1"/>
  <c r="BF136" i="4"/>
  <c r="BJ135" i="4"/>
  <c r="BE136" i="4" s="1"/>
  <c r="BF148" i="4"/>
  <c r="BJ147" i="4"/>
  <c r="BE148" i="4" s="1"/>
  <c r="AU85" i="4"/>
  <c r="BF90" i="4"/>
  <c r="AJ92" i="4"/>
  <c r="CM93" i="4"/>
  <c r="CF98" i="4"/>
  <c r="CA99" i="4" s="1"/>
  <c r="DB102" i="4"/>
  <c r="CW103" i="4" s="1"/>
  <c r="BU105" i="4"/>
  <c r="AJ125" i="4"/>
  <c r="AJ126" i="4"/>
  <c r="AN125" i="4"/>
  <c r="AI126" i="4" s="1"/>
  <c r="DB99" i="4"/>
  <c r="CW100" i="4" s="1"/>
  <c r="AU136" i="4"/>
  <c r="AU137" i="4"/>
  <c r="AY136" i="4"/>
  <c r="AT137" i="4" s="1"/>
  <c r="AU149" i="4"/>
  <c r="AY148" i="4"/>
  <c r="AT149" i="4" s="1"/>
  <c r="BF97" i="4"/>
  <c r="BQ104" i="4"/>
  <c r="CX106" i="4"/>
  <c r="DB105" i="4"/>
  <c r="CW106" i="4" s="1"/>
  <c r="BF116" i="4"/>
  <c r="BF128" i="4"/>
  <c r="AJ137" i="4"/>
  <c r="AJ138" i="4"/>
  <c r="AN137" i="4"/>
  <c r="AI138" i="4" s="1"/>
  <c r="BF140" i="4"/>
  <c r="AJ150" i="4"/>
  <c r="AN149" i="4"/>
  <c r="AI150" i="4" s="1"/>
  <c r="AY151" i="4"/>
  <c r="AT152" i="4" s="1"/>
  <c r="AY155" i="4"/>
  <c r="AT156" i="4" s="1"/>
  <c r="BJ96" i="4"/>
  <c r="BE97" i="4" s="1"/>
  <c r="CF102" i="4"/>
  <c r="CA103" i="4" s="1"/>
  <c r="BU103" i="4"/>
  <c r="BP104" i="4" s="1"/>
  <c r="AU121" i="4"/>
  <c r="AW126" i="4"/>
  <c r="BF132" i="4"/>
  <c r="AU133" i="4"/>
  <c r="AJ134" i="4"/>
  <c r="BH137" i="4"/>
  <c r="AW138" i="4"/>
  <c r="AL139" i="4"/>
  <c r="BF144" i="4"/>
  <c r="AU145" i="4"/>
  <c r="AJ146" i="4"/>
  <c r="BH149" i="4"/>
  <c r="AW150" i="4"/>
  <c r="BF152" i="4"/>
  <c r="AW154" i="4"/>
  <c r="AW158" i="4"/>
  <c r="AU116" i="4"/>
  <c r="BJ118" i="4"/>
  <c r="BE119" i="4" s="1"/>
  <c r="AY119" i="4"/>
  <c r="AT120" i="4" s="1"/>
  <c r="AN120" i="4"/>
  <c r="AI121" i="4" s="1"/>
  <c r="AW121" i="4"/>
  <c r="BF127" i="4"/>
  <c r="AU128" i="4"/>
  <c r="AJ129" i="4"/>
  <c r="BJ130" i="4"/>
  <c r="BE131" i="4" s="1"/>
  <c r="AY131" i="4"/>
  <c r="AT132" i="4" s="1"/>
  <c r="AN132" i="4"/>
  <c r="AI133" i="4" s="1"/>
  <c r="BH132" i="4"/>
  <c r="AW133" i="4"/>
  <c r="AL134" i="4"/>
  <c r="BF139" i="4"/>
  <c r="AU140" i="4"/>
  <c r="AJ141" i="4"/>
  <c r="BJ142" i="4"/>
  <c r="BE143" i="4" s="1"/>
  <c r="AY143" i="4"/>
  <c r="AT144" i="4" s="1"/>
  <c r="AN144" i="4"/>
  <c r="AI145" i="4" s="1"/>
  <c r="BH144" i="4"/>
  <c r="AW145" i="4"/>
  <c r="AL146" i="4"/>
  <c r="AJ151" i="4"/>
  <c r="AN152" i="4"/>
  <c r="AI153" i="4" s="1"/>
  <c r="BH152" i="4"/>
  <c r="AJ155" i="4"/>
  <c r="AN156" i="4"/>
  <c r="AI157" i="4" s="1"/>
  <c r="AY114" i="4"/>
  <c r="AT115" i="4" s="1"/>
  <c r="AN115" i="4"/>
  <c r="AI116" i="4" s="1"/>
  <c r="AW116" i="4"/>
  <c r="AU123" i="4"/>
  <c r="AJ124" i="4"/>
  <c r="BJ125" i="4"/>
  <c r="BE126" i="4" s="1"/>
  <c r="AY126" i="4"/>
  <c r="AT127" i="4" s="1"/>
  <c r="AN127" i="4"/>
  <c r="AI128" i="4" s="1"/>
  <c r="BH127" i="4"/>
  <c r="AW128" i="4"/>
  <c r="AL129" i="4"/>
  <c r="BF134" i="4"/>
  <c r="AU135" i="4"/>
  <c r="AJ136" i="4"/>
  <c r="BJ137" i="4"/>
  <c r="BE138" i="4" s="1"/>
  <c r="AY138" i="4"/>
  <c r="AT139" i="4" s="1"/>
  <c r="AN139" i="4"/>
  <c r="AI140" i="4" s="1"/>
  <c r="BH139" i="4"/>
  <c r="AW140" i="4"/>
  <c r="AL141" i="4"/>
  <c r="BF146" i="4"/>
  <c r="AU147" i="4"/>
  <c r="AJ148" i="4"/>
  <c r="BJ149" i="4"/>
  <c r="BE150" i="4" s="1"/>
  <c r="AY150" i="4"/>
  <c r="AT151" i="4" s="1"/>
  <c r="AL151" i="4"/>
  <c r="AU153" i="4"/>
  <c r="AY154" i="4"/>
  <c r="AT155" i="4" s="1"/>
  <c r="AL155" i="4"/>
  <c r="AU157" i="4"/>
  <c r="AY158" i="4"/>
  <c r="AT159" i="4" s="1"/>
  <c r="BJ120" i="4"/>
  <c r="BE121" i="4" s="1"/>
  <c r="AY121" i="4"/>
  <c r="AT122" i="4" s="1"/>
  <c r="AN122" i="4"/>
  <c r="AI123" i="4" s="1"/>
  <c r="BH122" i="4"/>
  <c r="AW123" i="4"/>
  <c r="AL124" i="4"/>
  <c r="BJ132" i="4"/>
  <c r="BE133" i="4" s="1"/>
  <c r="AY133" i="4"/>
  <c r="AT134" i="4" s="1"/>
  <c r="AN134" i="4"/>
  <c r="AI135" i="4" s="1"/>
  <c r="BH134" i="4"/>
  <c r="AW135" i="4"/>
  <c r="AL136" i="4"/>
  <c r="BJ144" i="4"/>
  <c r="BE145" i="4" s="1"/>
  <c r="AY145" i="4"/>
  <c r="AT146" i="4" s="1"/>
  <c r="AN146" i="4"/>
  <c r="AI147" i="4" s="1"/>
  <c r="BH146" i="4"/>
  <c r="AW147" i="4"/>
  <c r="AL148" i="4"/>
  <c r="BF151" i="4"/>
  <c r="BJ152" i="4"/>
  <c r="BE153" i="4" s="1"/>
  <c r="AW153" i="4"/>
  <c r="BF155" i="4"/>
  <c r="AW157" i="4"/>
  <c r="BJ115" i="4"/>
  <c r="BE116" i="4" s="1"/>
  <c r="AY116" i="4"/>
  <c r="AT117" i="4" s="1"/>
  <c r="AN117" i="4"/>
  <c r="AI118" i="4" s="1"/>
  <c r="BH117" i="4"/>
  <c r="AW118" i="4"/>
  <c r="AL119" i="4"/>
  <c r="BJ127" i="4"/>
  <c r="BE128" i="4" s="1"/>
  <c r="AY128" i="4"/>
  <c r="AT129" i="4" s="1"/>
  <c r="AN129" i="4"/>
  <c r="AI130" i="4" s="1"/>
  <c r="BH129" i="4"/>
  <c r="AW130" i="4"/>
  <c r="AL131" i="4"/>
  <c r="BJ139" i="4"/>
  <c r="BE140" i="4" s="1"/>
  <c r="AY140" i="4"/>
  <c r="AT141" i="4" s="1"/>
  <c r="AN141" i="4"/>
  <c r="AI142" i="4" s="1"/>
  <c r="BH141" i="4"/>
  <c r="AW142" i="4"/>
  <c r="AL143" i="4"/>
  <c r="BH151" i="4"/>
  <c r="AJ154" i="4"/>
  <c r="BH155" i="4"/>
  <c r="AJ158" i="4"/>
  <c r="AY123" i="4"/>
  <c r="AT124" i="4" s="1"/>
  <c r="AN124" i="4"/>
  <c r="AI125" i="4" s="1"/>
  <c r="BH124" i="4"/>
  <c r="AW125" i="4"/>
  <c r="AL126" i="4"/>
  <c r="BJ134" i="4"/>
  <c r="BE135" i="4" s="1"/>
  <c r="AN136" i="4"/>
  <c r="AI137" i="4" s="1"/>
  <c r="BH136" i="4"/>
  <c r="AW137" i="4"/>
  <c r="AL138" i="4"/>
  <c r="BJ146" i="4"/>
  <c r="BE147" i="4" s="1"/>
  <c r="AY147" i="4"/>
  <c r="AT148" i="4" s="1"/>
  <c r="AN148" i="4"/>
  <c r="AI149" i="4" s="1"/>
  <c r="BH148" i="4"/>
  <c r="AW149" i="4"/>
  <c r="AL150" i="4"/>
  <c r="AL154" i="4"/>
  <c r="AL158" i="4"/>
  <c r="BF114" i="4"/>
  <c r="BH119" i="4"/>
  <c r="AW120" i="4"/>
  <c r="AL121" i="4"/>
  <c r="BH131" i="4"/>
  <c r="AW132" i="4"/>
  <c r="AL133" i="4"/>
  <c r="BH143" i="4"/>
  <c r="AW144" i="4"/>
  <c r="AL145" i="4"/>
  <c r="AW152" i="4"/>
  <c r="AW156" i="4"/>
  <c r="AW160" i="4"/>
  <c r="BH114" i="4"/>
  <c r="AW115" i="4"/>
  <c r="AL116" i="4"/>
  <c r="BH126" i="4"/>
  <c r="AW127" i="4"/>
  <c r="AL128" i="4"/>
  <c r="AY137" i="4"/>
  <c r="AT138" i="4" s="1"/>
  <c r="AN138" i="4"/>
  <c r="AI139" i="4" s="1"/>
  <c r="BH138" i="4"/>
  <c r="AW139" i="4"/>
  <c r="AL140" i="4"/>
  <c r="AY149" i="4"/>
  <c r="AT150" i="4" s="1"/>
  <c r="AN150" i="4"/>
  <c r="AI151" i="4" s="1"/>
  <c r="BH150" i="4"/>
  <c r="AN154" i="4"/>
  <c r="AI155" i="4" s="1"/>
  <c r="BH154" i="4"/>
  <c r="BJ119" i="4"/>
  <c r="BE120" i="4" s="1"/>
  <c r="AY120" i="4"/>
  <c r="AT121" i="4" s="1"/>
  <c r="AN121" i="4"/>
  <c r="AI122" i="4" s="1"/>
  <c r="BH121" i="4"/>
  <c r="AW122" i="4"/>
  <c r="AL123" i="4"/>
  <c r="AY132" i="4"/>
  <c r="AT133" i="4" s="1"/>
  <c r="AN133" i="4"/>
  <c r="AI134" i="4" s="1"/>
  <c r="BH133" i="4"/>
  <c r="AW134" i="4"/>
  <c r="AL135" i="4"/>
  <c r="AY144" i="4"/>
  <c r="AT145" i="4" s="1"/>
  <c r="AN145" i="4"/>
  <c r="AI146" i="4" s="1"/>
  <c r="BH145" i="4"/>
  <c r="AW146" i="4"/>
  <c r="AL147" i="4"/>
  <c r="AL153" i="4"/>
  <c r="AL157" i="4"/>
  <c r="AY115" i="4"/>
  <c r="AT116" i="4" s="1"/>
  <c r="AW117" i="4"/>
  <c r="BJ126" i="4"/>
  <c r="BE127" i="4" s="1"/>
  <c r="AY127" i="4"/>
  <c r="AT128" i="4" s="1"/>
  <c r="AN128" i="4"/>
  <c r="AI129" i="4" s="1"/>
  <c r="BH128" i="4"/>
  <c r="AW129" i="4"/>
  <c r="AL130" i="4"/>
  <c r="BJ138" i="4"/>
  <c r="BE139" i="4" s="1"/>
  <c r="AY139" i="4"/>
  <c r="AT140" i="4" s="1"/>
  <c r="AN140" i="4"/>
  <c r="AI141" i="4" s="1"/>
  <c r="BH140" i="4"/>
  <c r="AW141" i="4"/>
  <c r="BJ150" i="4"/>
  <c r="BE151" i="4" s="1"/>
  <c r="AW151" i="4"/>
  <c r="AW155" i="4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89" i="1"/>
  <c r="CP90" i="1"/>
  <c r="CP91" i="1"/>
  <c r="CP92" i="1"/>
  <c r="CP93" i="1"/>
  <c r="CP94" i="1"/>
  <c r="CP95" i="1"/>
  <c r="CP96" i="1"/>
  <c r="CP59" i="1"/>
  <c r="CP97" i="1"/>
  <c r="AC150" i="1"/>
  <c r="AB150" i="1"/>
  <c r="AA150" i="1"/>
  <c r="AC149" i="1"/>
  <c r="AB149" i="1"/>
  <c r="AA149" i="1"/>
  <c r="AC148" i="1"/>
  <c r="AB148" i="1"/>
  <c r="AA148" i="1"/>
  <c r="AA143" i="1"/>
  <c r="AB143" i="1"/>
  <c r="AC143" i="1"/>
  <c r="AA144" i="1"/>
  <c r="AB144" i="1"/>
  <c r="AC144" i="1"/>
  <c r="AA145" i="1"/>
  <c r="AB145" i="1"/>
  <c r="AC145" i="1"/>
  <c r="AA146" i="1"/>
  <c r="AB146" i="1"/>
  <c r="AC146" i="1"/>
  <c r="AA147" i="1"/>
  <c r="AB147" i="1"/>
  <c r="AC147" i="1"/>
  <c r="AC142" i="1"/>
  <c r="AB142" i="1"/>
  <c r="AA142" i="1"/>
  <c r="AC141" i="1"/>
  <c r="AB141" i="1"/>
  <c r="AA141" i="1"/>
  <c r="AC140" i="1"/>
  <c r="AB140" i="1"/>
  <c r="AA140" i="1"/>
  <c r="AC139" i="1"/>
  <c r="AB139" i="1"/>
  <c r="AA139" i="1"/>
  <c r="AC138" i="1"/>
  <c r="AB138" i="1"/>
  <c r="AA138" i="1"/>
  <c r="AC137" i="1"/>
  <c r="AB137" i="1"/>
  <c r="AA137" i="1"/>
  <c r="AC136" i="1"/>
  <c r="AB136" i="1"/>
  <c r="AA136" i="1"/>
  <c r="AC135" i="1"/>
  <c r="AB135" i="1"/>
  <c r="AA135" i="1"/>
  <c r="AC134" i="1"/>
  <c r="AB134" i="1"/>
  <c r="AA134" i="1"/>
  <c r="AC133" i="1"/>
  <c r="AB133" i="1"/>
  <c r="AA133" i="1"/>
  <c r="AC132" i="1"/>
  <c r="AB132" i="1"/>
  <c r="AA132" i="1"/>
  <c r="AC131" i="1"/>
  <c r="AB131" i="1"/>
  <c r="AA131" i="1"/>
  <c r="AC130" i="1"/>
  <c r="AB130" i="1"/>
  <c r="AA130" i="1"/>
  <c r="AC129" i="1"/>
  <c r="AB129" i="1"/>
  <c r="AA129" i="1"/>
  <c r="AC128" i="1"/>
  <c r="AB128" i="1"/>
  <c r="AA128" i="1"/>
  <c r="AC127" i="1"/>
  <c r="AB127" i="1"/>
  <c r="AA127" i="1"/>
  <c r="AC126" i="1"/>
  <c r="AB126" i="1"/>
  <c r="AA126" i="1"/>
  <c r="AC125" i="1"/>
  <c r="AB125" i="1"/>
  <c r="AA125" i="1"/>
  <c r="AC124" i="1"/>
  <c r="AB124" i="1"/>
  <c r="AA124" i="1"/>
  <c r="AC123" i="1"/>
  <c r="AB123" i="1"/>
  <c r="AA123" i="1"/>
  <c r="AC122" i="1"/>
  <c r="AB122" i="1"/>
  <c r="AA122" i="1"/>
  <c r="AC121" i="1"/>
  <c r="AB121" i="1"/>
  <c r="AA121" i="1"/>
  <c r="AC120" i="1"/>
  <c r="AB120" i="1"/>
  <c r="AA120" i="1"/>
  <c r="AC119" i="1"/>
  <c r="AB119" i="1"/>
  <c r="AA119" i="1"/>
  <c r="AC118" i="1"/>
  <c r="AB118" i="1"/>
  <c r="AA118" i="1"/>
  <c r="AC117" i="1"/>
  <c r="AB117" i="1"/>
  <c r="AA117" i="1"/>
  <c r="AC116" i="1"/>
  <c r="AB116" i="1"/>
  <c r="AA116" i="1"/>
  <c r="AC115" i="1"/>
  <c r="AB115" i="1"/>
  <c r="AA115" i="1"/>
  <c r="AC114" i="1"/>
  <c r="AB114" i="1"/>
  <c r="AA114" i="1"/>
  <c r="AC113" i="1"/>
  <c r="AB113" i="1"/>
  <c r="AA113" i="1"/>
  <c r="AC112" i="1"/>
  <c r="AB112" i="1"/>
  <c r="AA112" i="1"/>
  <c r="AC111" i="1"/>
  <c r="AB111" i="1"/>
  <c r="AA111" i="1"/>
  <c r="U150" i="1"/>
  <c r="T150" i="1"/>
  <c r="S150" i="1"/>
  <c r="U149" i="1"/>
  <c r="T149" i="1"/>
  <c r="S149" i="1"/>
  <c r="U148" i="1"/>
  <c r="T148" i="1"/>
  <c r="S148" i="1"/>
  <c r="U147" i="1"/>
  <c r="T147" i="1"/>
  <c r="S147" i="1"/>
  <c r="U146" i="1"/>
  <c r="T146" i="1"/>
  <c r="S146" i="1"/>
  <c r="U145" i="1"/>
  <c r="T145" i="1"/>
  <c r="S145" i="1"/>
  <c r="U144" i="1"/>
  <c r="T144" i="1"/>
  <c r="S144" i="1"/>
  <c r="U143" i="1"/>
  <c r="T143" i="1"/>
  <c r="S143" i="1"/>
  <c r="U142" i="1"/>
  <c r="T142" i="1"/>
  <c r="S142" i="1"/>
  <c r="U141" i="1"/>
  <c r="T141" i="1"/>
  <c r="S141" i="1"/>
  <c r="U140" i="1"/>
  <c r="T140" i="1"/>
  <c r="S140" i="1"/>
  <c r="U139" i="1"/>
  <c r="T139" i="1"/>
  <c r="S139" i="1"/>
  <c r="U138" i="1"/>
  <c r="T138" i="1"/>
  <c r="S138" i="1"/>
  <c r="U137" i="1"/>
  <c r="T137" i="1"/>
  <c r="S137" i="1"/>
  <c r="U136" i="1"/>
  <c r="T136" i="1"/>
  <c r="S136" i="1"/>
  <c r="U135" i="1"/>
  <c r="T135" i="1"/>
  <c r="S135" i="1"/>
  <c r="U134" i="1"/>
  <c r="T134" i="1"/>
  <c r="S134" i="1"/>
  <c r="U133" i="1"/>
  <c r="T133" i="1"/>
  <c r="S133" i="1"/>
  <c r="U132" i="1"/>
  <c r="T132" i="1"/>
  <c r="S132" i="1"/>
  <c r="U131" i="1"/>
  <c r="T131" i="1"/>
  <c r="S131" i="1"/>
  <c r="U130" i="1"/>
  <c r="T130" i="1"/>
  <c r="S130" i="1"/>
  <c r="U129" i="1"/>
  <c r="T129" i="1"/>
  <c r="S129" i="1"/>
  <c r="U128" i="1"/>
  <c r="T128" i="1"/>
  <c r="S128" i="1"/>
  <c r="U127" i="1"/>
  <c r="T127" i="1"/>
  <c r="S127" i="1"/>
  <c r="U126" i="1"/>
  <c r="T126" i="1"/>
  <c r="S126" i="1"/>
  <c r="U125" i="1"/>
  <c r="T125" i="1"/>
  <c r="S125" i="1"/>
  <c r="U124" i="1"/>
  <c r="T124" i="1"/>
  <c r="S124" i="1"/>
  <c r="U123" i="1"/>
  <c r="T123" i="1"/>
  <c r="S123" i="1"/>
  <c r="U122" i="1"/>
  <c r="T122" i="1"/>
  <c r="S122" i="1"/>
  <c r="U121" i="1"/>
  <c r="T121" i="1"/>
  <c r="S121" i="1"/>
  <c r="U120" i="1"/>
  <c r="T120" i="1"/>
  <c r="S120" i="1"/>
  <c r="U119" i="1"/>
  <c r="T119" i="1"/>
  <c r="S119" i="1"/>
  <c r="U118" i="1"/>
  <c r="T118" i="1"/>
  <c r="S118" i="1"/>
  <c r="U117" i="1"/>
  <c r="T117" i="1"/>
  <c r="S117" i="1"/>
  <c r="U116" i="1"/>
  <c r="T116" i="1"/>
  <c r="S116" i="1"/>
  <c r="U115" i="1"/>
  <c r="T115" i="1"/>
  <c r="S115" i="1"/>
  <c r="U114" i="1"/>
  <c r="T114" i="1"/>
  <c r="S114" i="1"/>
  <c r="U113" i="1"/>
  <c r="T113" i="1"/>
  <c r="S113" i="1"/>
  <c r="U112" i="1"/>
  <c r="T112" i="1"/>
  <c r="S112" i="1"/>
  <c r="U111" i="1"/>
  <c r="T111" i="1"/>
  <c r="S111" i="1"/>
  <c r="AX114" i="1"/>
  <c r="AX115" i="1"/>
  <c r="AX116" i="1"/>
  <c r="AX117" i="1"/>
  <c r="AX118" i="1"/>
  <c r="AY118" i="1" s="1"/>
  <c r="AT119" i="1" s="1"/>
  <c r="AX119" i="1"/>
  <c r="AX120" i="1"/>
  <c r="AX121" i="1"/>
  <c r="AX122" i="1"/>
  <c r="AX123" i="1"/>
  <c r="AX124" i="1"/>
  <c r="AX125" i="1"/>
  <c r="AX126" i="1"/>
  <c r="AX127" i="1"/>
  <c r="AX128" i="1"/>
  <c r="AY128" i="1" s="1"/>
  <c r="AT129" i="1" s="1"/>
  <c r="AX129" i="1"/>
  <c r="AX130" i="1"/>
  <c r="AX131" i="1"/>
  <c r="AY131" i="1" s="1"/>
  <c r="AT132" i="1" s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Y154" i="1" s="1"/>
  <c r="AT155" i="1" s="1"/>
  <c r="AX155" i="1"/>
  <c r="AX156" i="1"/>
  <c r="AX157" i="1"/>
  <c r="AX158" i="1"/>
  <c r="AX159" i="1"/>
  <c r="AX160" i="1"/>
  <c r="AW161" i="1"/>
  <c r="AX161" i="1"/>
  <c r="AY161" i="1"/>
  <c r="AW162" i="1"/>
  <c r="AX162" i="1"/>
  <c r="AY162" i="1"/>
  <c r="AY111" i="1"/>
  <c r="AW114" i="1" s="1"/>
  <c r="AL162" i="1"/>
  <c r="AM162" i="1"/>
  <c r="AN162" i="1"/>
  <c r="AM59" i="1"/>
  <c r="AM60" i="1"/>
  <c r="AM61" i="1"/>
  <c r="AM62" i="1"/>
  <c r="AN62" i="1" s="1"/>
  <c r="AI63" i="1" s="1"/>
  <c r="AM63" i="1"/>
  <c r="AM64" i="1"/>
  <c r="AM65" i="1"/>
  <c r="AM66" i="1"/>
  <c r="AM67" i="1"/>
  <c r="AM68" i="1"/>
  <c r="AM69" i="1"/>
  <c r="AM70" i="1"/>
  <c r="AM71" i="1"/>
  <c r="AM72" i="1"/>
  <c r="AM73" i="1"/>
  <c r="AL99" i="1"/>
  <c r="AM99" i="1"/>
  <c r="AN99" i="1"/>
  <c r="AL100" i="1"/>
  <c r="AM100" i="1"/>
  <c r="AN100" i="1"/>
  <c r="AL101" i="1"/>
  <c r="AM101" i="1"/>
  <c r="AN101" i="1"/>
  <c r="AL102" i="1"/>
  <c r="AM102" i="1"/>
  <c r="AN102" i="1"/>
  <c r="AL103" i="1"/>
  <c r="AM103" i="1"/>
  <c r="AN103" i="1"/>
  <c r="AL104" i="1"/>
  <c r="AM104" i="1"/>
  <c r="AN104" i="1"/>
  <c r="AL105" i="1"/>
  <c r="AM105" i="1"/>
  <c r="AN105" i="1"/>
  <c r="AL106" i="1"/>
  <c r="AM106" i="1"/>
  <c r="AN106" i="1"/>
  <c r="AL107" i="1"/>
  <c r="AM107" i="1"/>
  <c r="AN107" i="1"/>
  <c r="AC110" i="1"/>
  <c r="AB110" i="1"/>
  <c r="AA110" i="1"/>
  <c r="U110" i="1"/>
  <c r="T110" i="1"/>
  <c r="S110" i="1"/>
  <c r="AC109" i="1"/>
  <c r="AB109" i="1"/>
  <c r="AA109" i="1"/>
  <c r="U109" i="1"/>
  <c r="T109" i="1"/>
  <c r="S109" i="1"/>
  <c r="AC108" i="1"/>
  <c r="AB108" i="1"/>
  <c r="AA108" i="1"/>
  <c r="U108" i="1"/>
  <c r="T108" i="1"/>
  <c r="S108" i="1"/>
  <c r="AC107" i="1"/>
  <c r="AB107" i="1"/>
  <c r="AA107" i="1"/>
  <c r="U107" i="1"/>
  <c r="T107" i="1"/>
  <c r="S107" i="1"/>
  <c r="AC106" i="1"/>
  <c r="AB106" i="1"/>
  <c r="AA106" i="1"/>
  <c r="U106" i="1"/>
  <c r="T106" i="1"/>
  <c r="S106" i="1"/>
  <c r="AC105" i="1"/>
  <c r="AB105" i="1"/>
  <c r="AA105" i="1"/>
  <c r="T105" i="1"/>
  <c r="AC104" i="1"/>
  <c r="AB104" i="1"/>
  <c r="AA104" i="1"/>
  <c r="T104" i="1"/>
  <c r="AC103" i="1"/>
  <c r="AB103" i="1"/>
  <c r="AA103" i="1"/>
  <c r="T103" i="1"/>
  <c r="AC102" i="1"/>
  <c r="AB102" i="1"/>
  <c r="AA102" i="1"/>
  <c r="T102" i="1"/>
  <c r="AC101" i="1"/>
  <c r="AB101" i="1"/>
  <c r="AA101" i="1"/>
  <c r="T101" i="1"/>
  <c r="AC100" i="1"/>
  <c r="AB100" i="1"/>
  <c r="AA100" i="1"/>
  <c r="T100" i="1"/>
  <c r="T99" i="1"/>
  <c r="T98" i="1"/>
  <c r="T97" i="1"/>
  <c r="T96" i="1"/>
  <c r="T95" i="1"/>
  <c r="T94" i="1"/>
  <c r="T93" i="1"/>
  <c r="T92" i="1"/>
  <c r="T91" i="1"/>
  <c r="AB73" i="1"/>
  <c r="T73" i="1"/>
  <c r="AB72" i="1"/>
  <c r="T72" i="1"/>
  <c r="AB71" i="1"/>
  <c r="T71" i="1"/>
  <c r="AB70" i="1"/>
  <c r="T70" i="1"/>
  <c r="AB69" i="1"/>
  <c r="T69" i="1"/>
  <c r="AB68" i="1"/>
  <c r="T68" i="1"/>
  <c r="AB67" i="1"/>
  <c r="T67" i="1"/>
  <c r="AB66" i="1"/>
  <c r="T66" i="1"/>
  <c r="AB65" i="1"/>
  <c r="T65" i="1"/>
  <c r="AB64" i="1"/>
  <c r="T64" i="1"/>
  <c r="AB63" i="1"/>
  <c r="T63" i="1"/>
  <c r="AB62" i="1"/>
  <c r="T62" i="1"/>
  <c r="AB61" i="1"/>
  <c r="T61" i="1"/>
  <c r="AB60" i="1"/>
  <c r="T60" i="1"/>
  <c r="AB59" i="1"/>
  <c r="T59" i="1"/>
  <c r="AB58" i="1"/>
  <c r="T58" i="1"/>
  <c r="AB57" i="1"/>
  <c r="T57" i="1"/>
  <c r="AB56" i="1"/>
  <c r="T56" i="1"/>
  <c r="AB55" i="1"/>
  <c r="T55" i="1"/>
  <c r="AB54" i="1"/>
  <c r="T54" i="1"/>
  <c r="AB53" i="1"/>
  <c r="T53" i="1"/>
  <c r="AB52" i="1"/>
  <c r="T52" i="1"/>
  <c r="AB51" i="1"/>
  <c r="T51" i="1"/>
  <c r="AB50" i="1"/>
  <c r="T50" i="1"/>
  <c r="AB49" i="1"/>
  <c r="T49" i="1"/>
  <c r="AB48" i="1"/>
  <c r="T48" i="1"/>
  <c r="AB47" i="1"/>
  <c r="T47" i="1"/>
  <c r="AB46" i="1"/>
  <c r="T46" i="1"/>
  <c r="AB45" i="1"/>
  <c r="T45" i="1"/>
  <c r="AB44" i="1"/>
  <c r="T44" i="1"/>
  <c r="AB43" i="1"/>
  <c r="T43" i="1"/>
  <c r="AB42" i="1"/>
  <c r="T42" i="1"/>
  <c r="AB41" i="1"/>
  <c r="T41" i="1"/>
  <c r="AB40" i="1"/>
  <c r="T40" i="1"/>
  <c r="AB39" i="1"/>
  <c r="T39" i="1"/>
  <c r="AB38" i="1"/>
  <c r="T38" i="1"/>
  <c r="AB37" i="1"/>
  <c r="T37" i="1"/>
  <c r="AB36" i="1"/>
  <c r="T36" i="1"/>
  <c r="AB35" i="1"/>
  <c r="T35" i="1"/>
  <c r="AB34" i="1"/>
  <c r="T34" i="1"/>
  <c r="AB33" i="1"/>
  <c r="T33" i="1"/>
  <c r="AB32" i="1"/>
  <c r="T32" i="1"/>
  <c r="AB31" i="1"/>
  <c r="T31" i="1"/>
  <c r="AB30" i="1"/>
  <c r="T30" i="1"/>
  <c r="AB29" i="1"/>
  <c r="T29" i="1"/>
  <c r="AB28" i="1"/>
  <c r="T28" i="1"/>
  <c r="AB27" i="1"/>
  <c r="T27" i="1"/>
  <c r="AB26" i="1"/>
  <c r="T26" i="1"/>
  <c r="AB25" i="1"/>
  <c r="T25" i="1"/>
  <c r="AB24" i="1"/>
  <c r="T24" i="1"/>
  <c r="AB23" i="1"/>
  <c r="T23" i="1"/>
  <c r="AB22" i="1"/>
  <c r="T22" i="1"/>
  <c r="AB21" i="1"/>
  <c r="T21" i="1"/>
  <c r="AB20" i="1"/>
  <c r="T20" i="1"/>
  <c r="AB19" i="1"/>
  <c r="T19" i="1"/>
  <c r="AB18" i="1"/>
  <c r="T18" i="1"/>
  <c r="AB17" i="1"/>
  <c r="T17" i="1"/>
  <c r="AB16" i="1"/>
  <c r="T16" i="1"/>
  <c r="AB15" i="1"/>
  <c r="T15" i="1"/>
  <c r="AB14" i="1"/>
  <c r="T14" i="1"/>
  <c r="AB13" i="1"/>
  <c r="T13" i="1"/>
  <c r="AB12" i="1"/>
  <c r="T12" i="1"/>
  <c r="AB11" i="1"/>
  <c r="T11" i="1"/>
  <c r="AB10" i="1"/>
  <c r="T10" i="1"/>
  <c r="AB9" i="1"/>
  <c r="T9" i="1"/>
  <c r="AB8" i="1"/>
  <c r="T8" i="1"/>
  <c r="AB7" i="1"/>
  <c r="T7" i="1"/>
  <c r="AB6" i="1"/>
  <c r="T6" i="1"/>
  <c r="AB5" i="1"/>
  <c r="T5" i="1"/>
  <c r="AB4" i="1"/>
  <c r="T4" i="1"/>
  <c r="BJ111" i="1"/>
  <c r="AN111" i="1"/>
  <c r="BJ162" i="1"/>
  <c r="BI162" i="1"/>
  <c r="BH162" i="1"/>
  <c r="AN161" i="1"/>
  <c r="AM161" i="1"/>
  <c r="AL161" i="1"/>
  <c r="BJ161" i="1"/>
  <c r="BI161" i="1"/>
  <c r="BH161" i="1"/>
  <c r="AN160" i="1"/>
  <c r="AM160" i="1"/>
  <c r="AL160" i="1"/>
  <c r="BJ160" i="1"/>
  <c r="BI160" i="1"/>
  <c r="BH160" i="1"/>
  <c r="AN159" i="1"/>
  <c r="AM159" i="1"/>
  <c r="AL159" i="1"/>
  <c r="BJ159" i="1"/>
  <c r="BI159" i="1"/>
  <c r="BH159" i="1"/>
  <c r="BJ158" i="1"/>
  <c r="BI158" i="1"/>
  <c r="BH158" i="1"/>
  <c r="AM158" i="1"/>
  <c r="BJ157" i="1"/>
  <c r="BI157" i="1"/>
  <c r="BH157" i="1"/>
  <c r="AM157" i="1"/>
  <c r="BJ156" i="1"/>
  <c r="BI156" i="1"/>
  <c r="BH156" i="1"/>
  <c r="AM156" i="1"/>
  <c r="BI155" i="1"/>
  <c r="AM155" i="1"/>
  <c r="BI154" i="1"/>
  <c r="AM154" i="1"/>
  <c r="BI153" i="1"/>
  <c r="BJ153" i="1" s="1"/>
  <c r="BE154" i="1" s="1"/>
  <c r="AM153" i="1"/>
  <c r="AN153" i="1" s="1"/>
  <c r="AI154" i="1" s="1"/>
  <c r="BI152" i="1"/>
  <c r="BJ152" i="1" s="1"/>
  <c r="BE153" i="1" s="1"/>
  <c r="AM152" i="1"/>
  <c r="BI151" i="1"/>
  <c r="AM151" i="1"/>
  <c r="BI150" i="1"/>
  <c r="AM150" i="1"/>
  <c r="BI149" i="1"/>
  <c r="AM149" i="1"/>
  <c r="BI148" i="1"/>
  <c r="AM148" i="1"/>
  <c r="BI147" i="1"/>
  <c r="BJ147" i="1" s="1"/>
  <c r="BE148" i="1" s="1"/>
  <c r="AM147" i="1"/>
  <c r="BI146" i="1"/>
  <c r="BJ146" i="1" s="1"/>
  <c r="BE147" i="1" s="1"/>
  <c r="AM146" i="1"/>
  <c r="BI145" i="1"/>
  <c r="BJ145" i="1" s="1"/>
  <c r="BE146" i="1" s="1"/>
  <c r="AM145" i="1"/>
  <c r="AN145" i="1" s="1"/>
  <c r="AI146" i="1" s="1"/>
  <c r="BI144" i="1"/>
  <c r="AM144" i="1"/>
  <c r="BI143" i="1"/>
  <c r="AM143" i="1"/>
  <c r="BI142" i="1"/>
  <c r="AM142" i="1"/>
  <c r="BI141" i="1"/>
  <c r="BJ141" i="1" s="1"/>
  <c r="BE142" i="1" s="1"/>
  <c r="AM141" i="1"/>
  <c r="BI140" i="1"/>
  <c r="AM140" i="1"/>
  <c r="AN140" i="1" s="1"/>
  <c r="AI141" i="1" s="1"/>
  <c r="BI139" i="1"/>
  <c r="AM139" i="1"/>
  <c r="AN139" i="1" s="1"/>
  <c r="AI140" i="1" s="1"/>
  <c r="BI138" i="1"/>
  <c r="AM138" i="1"/>
  <c r="BI137" i="1"/>
  <c r="AM137" i="1"/>
  <c r="BI136" i="1"/>
  <c r="AM136" i="1"/>
  <c r="BI135" i="1"/>
  <c r="BJ135" i="1" s="1"/>
  <c r="BE136" i="1" s="1"/>
  <c r="AM135" i="1"/>
  <c r="BI134" i="1"/>
  <c r="AM134" i="1"/>
  <c r="BI133" i="1"/>
  <c r="AM133" i="1"/>
  <c r="BI132" i="1"/>
  <c r="AM132" i="1"/>
  <c r="BI131" i="1"/>
  <c r="AM131" i="1"/>
  <c r="AN131" i="1" s="1"/>
  <c r="AI132" i="1" s="1"/>
  <c r="BI130" i="1"/>
  <c r="BJ130" i="1" s="1"/>
  <c r="BE131" i="1" s="1"/>
  <c r="AM130" i="1"/>
  <c r="BI129" i="1"/>
  <c r="BJ129" i="1" s="1"/>
  <c r="BE130" i="1" s="1"/>
  <c r="AM129" i="1"/>
  <c r="BI128" i="1"/>
  <c r="AM128" i="1"/>
  <c r="BI127" i="1"/>
  <c r="AM127" i="1"/>
  <c r="BI126" i="1"/>
  <c r="AM126" i="1"/>
  <c r="BI125" i="1"/>
  <c r="AM125" i="1"/>
  <c r="BI124" i="1"/>
  <c r="AM124" i="1"/>
  <c r="BI123" i="1"/>
  <c r="BJ123" i="1" s="1"/>
  <c r="BE124" i="1" s="1"/>
  <c r="AM123" i="1"/>
  <c r="BI122" i="1"/>
  <c r="AM122" i="1"/>
  <c r="BI121" i="1"/>
  <c r="BJ121" i="1" s="1"/>
  <c r="BE122" i="1" s="1"/>
  <c r="AM121" i="1"/>
  <c r="BI120" i="1"/>
  <c r="AM120" i="1"/>
  <c r="BI119" i="1"/>
  <c r="BJ119" i="1" s="1"/>
  <c r="BE120" i="1" s="1"/>
  <c r="AM119" i="1"/>
  <c r="BI118" i="1"/>
  <c r="BJ118" i="1" s="1"/>
  <c r="BE119" i="1" s="1"/>
  <c r="AM118" i="1"/>
  <c r="BI117" i="1"/>
  <c r="AM117" i="1"/>
  <c r="BI116" i="1"/>
  <c r="BJ116" i="1" s="1"/>
  <c r="BE117" i="1" s="1"/>
  <c r="AM116" i="1"/>
  <c r="AN116" i="1" s="1"/>
  <c r="AI117" i="1" s="1"/>
  <c r="BI115" i="1"/>
  <c r="AM115" i="1"/>
  <c r="AN115" i="1" s="1"/>
  <c r="AI116" i="1" s="1"/>
  <c r="BI114" i="1"/>
  <c r="AM114" i="1"/>
  <c r="CP107" i="1"/>
  <c r="CF107" i="1"/>
  <c r="CE107" i="1"/>
  <c r="CD107" i="1"/>
  <c r="BU107" i="1"/>
  <c r="BT107" i="1"/>
  <c r="BS107" i="1"/>
  <c r="BJ107" i="1"/>
  <c r="BI107" i="1"/>
  <c r="BH107" i="1"/>
  <c r="AY107" i="1"/>
  <c r="AX107" i="1"/>
  <c r="AW107" i="1"/>
  <c r="CP106" i="1"/>
  <c r="CF106" i="1"/>
  <c r="CE106" i="1"/>
  <c r="CD106" i="1"/>
  <c r="BU106" i="1"/>
  <c r="BT106" i="1"/>
  <c r="BS106" i="1"/>
  <c r="BJ106" i="1"/>
  <c r="BI106" i="1"/>
  <c r="BH106" i="1"/>
  <c r="AY106" i="1"/>
  <c r="AX106" i="1"/>
  <c r="AW106" i="1"/>
  <c r="CP105" i="1"/>
  <c r="CF105" i="1"/>
  <c r="CE105" i="1"/>
  <c r="CD105" i="1"/>
  <c r="BJ105" i="1"/>
  <c r="BI105" i="1"/>
  <c r="BH105" i="1"/>
  <c r="AY105" i="1"/>
  <c r="AX105" i="1"/>
  <c r="AW105" i="1"/>
  <c r="CP104" i="1"/>
  <c r="CF104" i="1"/>
  <c r="CE104" i="1"/>
  <c r="CD104" i="1"/>
  <c r="BJ104" i="1"/>
  <c r="BI104" i="1"/>
  <c r="BH104" i="1"/>
  <c r="AY104" i="1"/>
  <c r="AX104" i="1"/>
  <c r="AW104" i="1"/>
  <c r="CP103" i="1"/>
  <c r="BJ103" i="1"/>
  <c r="BI103" i="1"/>
  <c r="BH103" i="1"/>
  <c r="AY103" i="1"/>
  <c r="AX103" i="1"/>
  <c r="AW103" i="1"/>
  <c r="CP102" i="1"/>
  <c r="BJ102" i="1"/>
  <c r="BI102" i="1"/>
  <c r="BH102" i="1"/>
  <c r="AY102" i="1"/>
  <c r="AX102" i="1"/>
  <c r="AW102" i="1"/>
  <c r="CP101" i="1"/>
  <c r="BJ101" i="1"/>
  <c r="BI101" i="1"/>
  <c r="BH101" i="1"/>
  <c r="AY101" i="1"/>
  <c r="AX101" i="1"/>
  <c r="AW101" i="1"/>
  <c r="CP100" i="1"/>
  <c r="BJ100" i="1"/>
  <c r="BI100" i="1"/>
  <c r="BH100" i="1"/>
  <c r="AY100" i="1"/>
  <c r="AX100" i="1"/>
  <c r="AW100" i="1"/>
  <c r="BJ99" i="1"/>
  <c r="BI99" i="1"/>
  <c r="BH99" i="1"/>
  <c r="AY99" i="1"/>
  <c r="AX99" i="1"/>
  <c r="AW99" i="1"/>
  <c r="DA73" i="1"/>
  <c r="CE73" i="1"/>
  <c r="BT73" i="1"/>
  <c r="BI73" i="1"/>
  <c r="AX73" i="1"/>
  <c r="DA72" i="1"/>
  <c r="CE72" i="1"/>
  <c r="BT72" i="1"/>
  <c r="BI72" i="1"/>
  <c r="AX72" i="1"/>
  <c r="DA71" i="1"/>
  <c r="CE71" i="1"/>
  <c r="BT71" i="1"/>
  <c r="BI71" i="1"/>
  <c r="AX71" i="1"/>
  <c r="DA70" i="1"/>
  <c r="CE70" i="1"/>
  <c r="BT70" i="1"/>
  <c r="BI70" i="1"/>
  <c r="AX70" i="1"/>
  <c r="DA69" i="1"/>
  <c r="CE69" i="1"/>
  <c r="BT69" i="1"/>
  <c r="BI69" i="1"/>
  <c r="AX69" i="1"/>
  <c r="DA68" i="1"/>
  <c r="CE68" i="1"/>
  <c r="BT68" i="1"/>
  <c r="BI68" i="1"/>
  <c r="AX68" i="1"/>
  <c r="DA67" i="1"/>
  <c r="CE67" i="1"/>
  <c r="BT67" i="1"/>
  <c r="BI67" i="1"/>
  <c r="AX67" i="1"/>
  <c r="DA66" i="1"/>
  <c r="CE66" i="1"/>
  <c r="BT66" i="1"/>
  <c r="BI66" i="1"/>
  <c r="AX66" i="1"/>
  <c r="DA65" i="1"/>
  <c r="CE65" i="1"/>
  <c r="BT65" i="1"/>
  <c r="BI65" i="1"/>
  <c r="AX65" i="1"/>
  <c r="DA64" i="1"/>
  <c r="CP64" i="1"/>
  <c r="CE64" i="1"/>
  <c r="BT64" i="1"/>
  <c r="BI64" i="1"/>
  <c r="AX64" i="1"/>
  <c r="DA63" i="1"/>
  <c r="CP63" i="1"/>
  <c r="CE63" i="1"/>
  <c r="BT63" i="1"/>
  <c r="BI63" i="1"/>
  <c r="AX63" i="1"/>
  <c r="DA62" i="1"/>
  <c r="CP62" i="1"/>
  <c r="CE62" i="1"/>
  <c r="BT62" i="1"/>
  <c r="BI62" i="1"/>
  <c r="AX62" i="1"/>
  <c r="DA61" i="1"/>
  <c r="CP61" i="1"/>
  <c r="CE61" i="1"/>
  <c r="BT61" i="1"/>
  <c r="BI61" i="1"/>
  <c r="AX61" i="1"/>
  <c r="DA60" i="1"/>
  <c r="CP60" i="1"/>
  <c r="CE60" i="1"/>
  <c r="BT60" i="1"/>
  <c r="BI60" i="1"/>
  <c r="AX60" i="1"/>
  <c r="DA59" i="1"/>
  <c r="CE59" i="1"/>
  <c r="BT59" i="1"/>
  <c r="BI59" i="1"/>
  <c r="AX59" i="1"/>
  <c r="DB1" i="1"/>
  <c r="CZ15" i="1" s="1"/>
  <c r="CQ1" i="1"/>
  <c r="CO48" i="1" s="1"/>
  <c r="CF1" i="1"/>
  <c r="CD44" i="1" s="1"/>
  <c r="BU1" i="1"/>
  <c r="BS7" i="1" s="1"/>
  <c r="BJ1" i="1"/>
  <c r="BH32" i="1" s="1"/>
  <c r="AY1" i="1"/>
  <c r="AN1" i="1"/>
  <c r="DB52" i="1"/>
  <c r="DA52" i="1"/>
  <c r="CZ52" i="1"/>
  <c r="CQ52" i="1"/>
  <c r="CP52" i="1"/>
  <c r="CO52" i="1"/>
  <c r="CF52" i="1"/>
  <c r="CE52" i="1"/>
  <c r="CD52" i="1"/>
  <c r="BU52" i="1"/>
  <c r="BT52" i="1"/>
  <c r="BS52" i="1"/>
  <c r="BJ52" i="1"/>
  <c r="BI52" i="1"/>
  <c r="BH52" i="1"/>
  <c r="AY52" i="1"/>
  <c r="AX52" i="1"/>
  <c r="AW52" i="1"/>
  <c r="AN52" i="1"/>
  <c r="AM52" i="1"/>
  <c r="AL52" i="1"/>
  <c r="DB51" i="1"/>
  <c r="DA51" i="1"/>
  <c r="CZ51" i="1"/>
  <c r="CQ51" i="1"/>
  <c r="CP51" i="1"/>
  <c r="CO51" i="1"/>
  <c r="CF51" i="1"/>
  <c r="CE51" i="1"/>
  <c r="CD51" i="1"/>
  <c r="BU51" i="1"/>
  <c r="BT51" i="1"/>
  <c r="BS51" i="1"/>
  <c r="BJ51" i="1"/>
  <c r="BI51" i="1"/>
  <c r="BH51" i="1"/>
  <c r="AY51" i="1"/>
  <c r="AX51" i="1"/>
  <c r="AW51" i="1"/>
  <c r="AN51" i="1"/>
  <c r="AM51" i="1"/>
  <c r="AL51" i="1"/>
  <c r="DA50" i="1"/>
  <c r="CQ50" i="1"/>
  <c r="CP50" i="1"/>
  <c r="CO50" i="1"/>
  <c r="CF50" i="1"/>
  <c r="CE50" i="1"/>
  <c r="CD50" i="1"/>
  <c r="BU50" i="1"/>
  <c r="BT50" i="1"/>
  <c r="BS50" i="1"/>
  <c r="BJ50" i="1"/>
  <c r="BI50" i="1"/>
  <c r="BH50" i="1"/>
  <c r="AY50" i="1"/>
  <c r="AX50" i="1"/>
  <c r="AW50" i="1"/>
  <c r="AN50" i="1"/>
  <c r="AM50" i="1"/>
  <c r="AL50" i="1"/>
  <c r="DA49" i="1"/>
  <c r="CP49" i="1"/>
  <c r="CQ49" i="1" s="1"/>
  <c r="CF49" i="1"/>
  <c r="CE49" i="1"/>
  <c r="CD49" i="1"/>
  <c r="BT49" i="1"/>
  <c r="BJ49" i="1"/>
  <c r="BI49" i="1"/>
  <c r="BH49" i="1"/>
  <c r="AY49" i="1"/>
  <c r="AX49" i="1"/>
  <c r="AW49" i="1"/>
  <c r="AN49" i="1"/>
  <c r="AM49" i="1"/>
  <c r="AL49" i="1"/>
  <c r="DA48" i="1"/>
  <c r="CP48" i="1"/>
  <c r="CQ48" i="1" s="1"/>
  <c r="CL49" i="1" s="1"/>
  <c r="CE48" i="1"/>
  <c r="CF48" i="1" s="1"/>
  <c r="BT48" i="1"/>
  <c r="BJ48" i="1"/>
  <c r="BI48" i="1"/>
  <c r="BH48" i="1"/>
  <c r="AY48" i="1"/>
  <c r="AX48" i="1"/>
  <c r="AW48" i="1"/>
  <c r="AN48" i="1"/>
  <c r="AM48" i="1"/>
  <c r="AL48" i="1"/>
  <c r="DA47" i="1"/>
  <c r="CP47" i="1"/>
  <c r="CE47" i="1"/>
  <c r="BT47" i="1"/>
  <c r="BU47" i="1" s="1"/>
  <c r="BP48" i="1" s="1"/>
  <c r="BI47" i="1"/>
  <c r="BJ47" i="1" s="1"/>
  <c r="AY47" i="1"/>
  <c r="AX47" i="1"/>
  <c r="AW47" i="1"/>
  <c r="AN47" i="1"/>
  <c r="AM47" i="1"/>
  <c r="AL47" i="1"/>
  <c r="DA46" i="1"/>
  <c r="CP46" i="1"/>
  <c r="CE46" i="1"/>
  <c r="BT46" i="1"/>
  <c r="BI46" i="1"/>
  <c r="AY46" i="1"/>
  <c r="AX46" i="1"/>
  <c r="AW46" i="1"/>
  <c r="AM46" i="1"/>
  <c r="DA45" i="1"/>
  <c r="CP45" i="1"/>
  <c r="CE45" i="1"/>
  <c r="CF45" i="1" s="1"/>
  <c r="CA46" i="1" s="1"/>
  <c r="BT45" i="1"/>
  <c r="BU45" i="1" s="1"/>
  <c r="BP46" i="1" s="1"/>
  <c r="BI45" i="1"/>
  <c r="AY45" i="1"/>
  <c r="AX45" i="1"/>
  <c r="AW45" i="1"/>
  <c r="AM45" i="1"/>
  <c r="DA44" i="1"/>
  <c r="CP44" i="1"/>
  <c r="CE44" i="1"/>
  <c r="BT44" i="1"/>
  <c r="BU44" i="1" s="1"/>
  <c r="BP45" i="1" s="1"/>
  <c r="BI44" i="1"/>
  <c r="AX44" i="1"/>
  <c r="AM44" i="1"/>
  <c r="DA43" i="1"/>
  <c r="CP43" i="1"/>
  <c r="CE43" i="1"/>
  <c r="CF43" i="1" s="1"/>
  <c r="CA44" i="1" s="1"/>
  <c r="BT43" i="1"/>
  <c r="BI43" i="1"/>
  <c r="AX43" i="1"/>
  <c r="AY43" i="1" s="1"/>
  <c r="AT44" i="1" s="1"/>
  <c r="AM43" i="1"/>
  <c r="DA42" i="1"/>
  <c r="CP42" i="1"/>
  <c r="CE42" i="1"/>
  <c r="BT42" i="1"/>
  <c r="BI42" i="1"/>
  <c r="AX42" i="1"/>
  <c r="AM42" i="1"/>
  <c r="DA41" i="1"/>
  <c r="CP41" i="1"/>
  <c r="CE41" i="1"/>
  <c r="BT41" i="1"/>
  <c r="BI41" i="1"/>
  <c r="AX41" i="1"/>
  <c r="AM41" i="1"/>
  <c r="DA40" i="1"/>
  <c r="CP40" i="1"/>
  <c r="CE40" i="1"/>
  <c r="BT40" i="1"/>
  <c r="BU40" i="1" s="1"/>
  <c r="BP41" i="1" s="1"/>
  <c r="BI40" i="1"/>
  <c r="AX40" i="1"/>
  <c r="AM40" i="1"/>
  <c r="DA39" i="1"/>
  <c r="CP39" i="1"/>
  <c r="CE39" i="1"/>
  <c r="BT39" i="1"/>
  <c r="BU39" i="1" s="1"/>
  <c r="BP40" i="1" s="1"/>
  <c r="BI39" i="1"/>
  <c r="AX39" i="1"/>
  <c r="AM39" i="1"/>
  <c r="DA38" i="1"/>
  <c r="CP38" i="1"/>
  <c r="CE38" i="1"/>
  <c r="BT38" i="1"/>
  <c r="BU38" i="1" s="1"/>
  <c r="BP39" i="1" s="1"/>
  <c r="BI38" i="1"/>
  <c r="AX38" i="1"/>
  <c r="AM38" i="1"/>
  <c r="DA37" i="1"/>
  <c r="CP37" i="1"/>
  <c r="CE37" i="1"/>
  <c r="BT37" i="1"/>
  <c r="BI37" i="1"/>
  <c r="AX37" i="1"/>
  <c r="AM37" i="1"/>
  <c r="DA36" i="1"/>
  <c r="CP36" i="1"/>
  <c r="CE36" i="1"/>
  <c r="BT36" i="1"/>
  <c r="BI36" i="1"/>
  <c r="AX36" i="1"/>
  <c r="AM36" i="1"/>
  <c r="DA35" i="1"/>
  <c r="CP35" i="1"/>
  <c r="CE35" i="1"/>
  <c r="BT35" i="1"/>
  <c r="BI35" i="1"/>
  <c r="AX35" i="1"/>
  <c r="AM35" i="1"/>
  <c r="DA34" i="1"/>
  <c r="CP34" i="1"/>
  <c r="CE34" i="1"/>
  <c r="BT34" i="1"/>
  <c r="BI34" i="1"/>
  <c r="AX34" i="1"/>
  <c r="AM34" i="1"/>
  <c r="DA33" i="1"/>
  <c r="CP33" i="1"/>
  <c r="CE33" i="1"/>
  <c r="BT33" i="1"/>
  <c r="BI33" i="1"/>
  <c r="AX33" i="1"/>
  <c r="AM33" i="1"/>
  <c r="DA32" i="1"/>
  <c r="DB32" i="1" s="1"/>
  <c r="CW33" i="1" s="1"/>
  <c r="CP32" i="1"/>
  <c r="CE32" i="1"/>
  <c r="BT32" i="1"/>
  <c r="BU32" i="1" s="1"/>
  <c r="BP33" i="1" s="1"/>
  <c r="BI32" i="1"/>
  <c r="BJ32" i="1" s="1"/>
  <c r="BE33" i="1" s="1"/>
  <c r="AX32" i="1"/>
  <c r="AM32" i="1"/>
  <c r="DA31" i="1"/>
  <c r="DB31" i="1"/>
  <c r="CW32" i="1" s="1"/>
  <c r="CP31" i="1"/>
  <c r="CE31" i="1"/>
  <c r="BT31" i="1"/>
  <c r="BU31" i="1" s="1"/>
  <c r="BP32" i="1" s="1"/>
  <c r="BI31" i="1"/>
  <c r="AX31" i="1"/>
  <c r="AM31" i="1"/>
  <c r="DA30" i="1"/>
  <c r="CP30" i="1"/>
  <c r="CE30" i="1"/>
  <c r="BT30" i="1"/>
  <c r="BI30" i="1"/>
  <c r="AX30" i="1"/>
  <c r="AY30" i="1" s="1"/>
  <c r="AT31" i="1" s="1"/>
  <c r="AM30" i="1"/>
  <c r="DA29" i="1"/>
  <c r="CP29" i="1"/>
  <c r="CE29" i="1"/>
  <c r="BT29" i="1"/>
  <c r="BI29" i="1"/>
  <c r="BJ29" i="1" s="1"/>
  <c r="BE30" i="1" s="1"/>
  <c r="AX29" i="1"/>
  <c r="AM29" i="1"/>
  <c r="DA28" i="1"/>
  <c r="CP28" i="1"/>
  <c r="CE28" i="1"/>
  <c r="CF28" i="1" s="1"/>
  <c r="CA29" i="1" s="1"/>
  <c r="BT28" i="1"/>
  <c r="BI28" i="1"/>
  <c r="AX28" i="1"/>
  <c r="AM28" i="1"/>
  <c r="DA27" i="1"/>
  <c r="DB27" i="1" s="1"/>
  <c r="CW28" i="1" s="1"/>
  <c r="CP27" i="1"/>
  <c r="CE27" i="1"/>
  <c r="BT27" i="1"/>
  <c r="BI27" i="1"/>
  <c r="AX27" i="1"/>
  <c r="AM27" i="1"/>
  <c r="DA26" i="1"/>
  <c r="CP26" i="1"/>
  <c r="CE26" i="1"/>
  <c r="BT26" i="1"/>
  <c r="BI26" i="1"/>
  <c r="AX26" i="1"/>
  <c r="AM26" i="1"/>
  <c r="DA25" i="1"/>
  <c r="DB25" i="1" s="1"/>
  <c r="CW26" i="1" s="1"/>
  <c r="CP25" i="1"/>
  <c r="CE25" i="1"/>
  <c r="BT25" i="1"/>
  <c r="BI25" i="1"/>
  <c r="AX25" i="1"/>
  <c r="AM25" i="1"/>
  <c r="DA24" i="1"/>
  <c r="CP24" i="1"/>
  <c r="CE24" i="1"/>
  <c r="BT24" i="1"/>
  <c r="BI24" i="1"/>
  <c r="AX24" i="1"/>
  <c r="AM24" i="1"/>
  <c r="DA23" i="1"/>
  <c r="CP23" i="1"/>
  <c r="CE23" i="1"/>
  <c r="BT23" i="1"/>
  <c r="BU23" i="1" s="1"/>
  <c r="BP24" i="1" s="1"/>
  <c r="BI23" i="1"/>
  <c r="BJ23" i="1" s="1"/>
  <c r="BE24" i="1" s="1"/>
  <c r="AX23" i="1"/>
  <c r="AY23" i="1" s="1"/>
  <c r="AT24" i="1" s="1"/>
  <c r="AM23" i="1"/>
  <c r="DA22" i="1"/>
  <c r="CP22" i="1"/>
  <c r="CE22" i="1"/>
  <c r="BT22" i="1"/>
  <c r="BU22" i="1" s="1"/>
  <c r="BP23" i="1" s="1"/>
  <c r="BI22" i="1"/>
  <c r="AX22" i="1"/>
  <c r="AM22" i="1"/>
  <c r="DA21" i="1"/>
  <c r="CP21" i="1"/>
  <c r="CE21" i="1"/>
  <c r="BT21" i="1"/>
  <c r="BI21" i="1"/>
  <c r="AX21" i="1"/>
  <c r="AM21" i="1"/>
  <c r="DA20" i="1"/>
  <c r="DB20" i="1" s="1"/>
  <c r="CW21" i="1" s="1"/>
  <c r="CP20" i="1"/>
  <c r="CE20" i="1"/>
  <c r="BT20" i="1"/>
  <c r="BU20" i="1" s="1"/>
  <c r="BP21" i="1" s="1"/>
  <c r="BI20" i="1"/>
  <c r="AX20" i="1"/>
  <c r="AM20" i="1"/>
  <c r="DA19" i="1"/>
  <c r="CP19" i="1"/>
  <c r="CE19" i="1"/>
  <c r="BT19" i="1"/>
  <c r="BU19" i="1" s="1"/>
  <c r="BP20" i="1" s="1"/>
  <c r="BI19" i="1"/>
  <c r="AX19" i="1"/>
  <c r="AM19" i="1"/>
  <c r="DA18" i="1"/>
  <c r="CP18" i="1"/>
  <c r="CE18" i="1"/>
  <c r="CF18" i="1" s="1"/>
  <c r="CA19" i="1" s="1"/>
  <c r="BT18" i="1"/>
  <c r="BU18" i="1" s="1"/>
  <c r="BP19" i="1" s="1"/>
  <c r="BI18" i="1"/>
  <c r="AX18" i="1"/>
  <c r="AM18" i="1"/>
  <c r="DA17" i="1"/>
  <c r="CP17" i="1"/>
  <c r="CE17" i="1"/>
  <c r="BT17" i="1"/>
  <c r="BI17" i="1"/>
  <c r="AX17" i="1"/>
  <c r="AM17" i="1"/>
  <c r="DA16" i="1"/>
  <c r="CP16" i="1"/>
  <c r="CE16" i="1"/>
  <c r="BT16" i="1"/>
  <c r="BI16" i="1"/>
  <c r="AX16" i="1"/>
  <c r="AY16" i="1" s="1"/>
  <c r="AT17" i="1" s="1"/>
  <c r="AM16" i="1"/>
  <c r="DA15" i="1"/>
  <c r="DB15" i="1" s="1"/>
  <c r="CW16" i="1" s="1"/>
  <c r="CP15" i="1"/>
  <c r="CE15" i="1"/>
  <c r="BT15" i="1"/>
  <c r="BU15" i="1" s="1"/>
  <c r="BP16" i="1" s="1"/>
  <c r="BI15" i="1"/>
  <c r="AX15" i="1"/>
  <c r="AM15" i="1"/>
  <c r="DA14" i="1"/>
  <c r="CP14" i="1"/>
  <c r="CE14" i="1"/>
  <c r="CF14" i="1" s="1"/>
  <c r="CA15" i="1" s="1"/>
  <c r="BT14" i="1"/>
  <c r="BU14" i="1" s="1"/>
  <c r="BP15" i="1" s="1"/>
  <c r="BI14" i="1"/>
  <c r="AX14" i="1"/>
  <c r="AM14" i="1"/>
  <c r="DA13" i="1"/>
  <c r="DB13" i="1" s="1"/>
  <c r="CW14" i="1" s="1"/>
  <c r="CP13" i="1"/>
  <c r="CE13" i="1"/>
  <c r="BT13" i="1"/>
  <c r="BI13" i="1"/>
  <c r="AX13" i="1"/>
  <c r="AY13" i="1" s="1"/>
  <c r="AT14" i="1" s="1"/>
  <c r="AM13" i="1"/>
  <c r="DA12" i="1"/>
  <c r="CP12" i="1"/>
  <c r="CE12" i="1"/>
  <c r="BT12" i="1"/>
  <c r="BI12" i="1"/>
  <c r="AX12" i="1"/>
  <c r="AY12" i="1" s="1"/>
  <c r="AT13" i="1" s="1"/>
  <c r="AM12" i="1"/>
  <c r="DA11" i="1"/>
  <c r="CP11" i="1"/>
  <c r="CE11" i="1"/>
  <c r="BT11" i="1"/>
  <c r="BU11" i="1" s="1"/>
  <c r="BP12" i="1" s="1"/>
  <c r="BI11" i="1"/>
  <c r="AX11" i="1"/>
  <c r="AM11" i="1"/>
  <c r="DA10" i="1"/>
  <c r="CP10" i="1"/>
  <c r="CE10" i="1"/>
  <c r="BT10" i="1"/>
  <c r="BU10" i="1" s="1"/>
  <c r="BP11" i="1" s="1"/>
  <c r="BI10" i="1"/>
  <c r="AX10" i="1"/>
  <c r="AM10" i="1"/>
  <c r="DA9" i="1"/>
  <c r="DB9" i="1" s="1"/>
  <c r="CW10" i="1" s="1"/>
  <c r="CP9" i="1"/>
  <c r="CQ9" i="1" s="1"/>
  <c r="CL10" i="1" s="1"/>
  <c r="CE9" i="1"/>
  <c r="CF9" i="1" s="1"/>
  <c r="CA10" i="1" s="1"/>
  <c r="BT9" i="1"/>
  <c r="BI9" i="1"/>
  <c r="BJ9" i="1" s="1"/>
  <c r="BE10" i="1" s="1"/>
  <c r="AX9" i="1"/>
  <c r="AM9" i="1"/>
  <c r="DA8" i="1"/>
  <c r="CP8" i="1"/>
  <c r="CE8" i="1"/>
  <c r="BT8" i="1"/>
  <c r="BI8" i="1"/>
  <c r="AX8" i="1"/>
  <c r="AY8" i="1" s="1"/>
  <c r="AT9" i="1" s="1"/>
  <c r="AM8" i="1"/>
  <c r="DA7" i="1"/>
  <c r="CP7" i="1"/>
  <c r="CE7" i="1"/>
  <c r="BT7" i="1"/>
  <c r="BU7" i="1" s="1"/>
  <c r="BP8" i="1" s="1"/>
  <c r="BI7" i="1"/>
  <c r="BJ7" i="1" s="1"/>
  <c r="BE8" i="1" s="1"/>
  <c r="AX7" i="1"/>
  <c r="AM7" i="1"/>
  <c r="DA6" i="1"/>
  <c r="CP6" i="1"/>
  <c r="CE6" i="1"/>
  <c r="BT6" i="1"/>
  <c r="BU6" i="1" s="1"/>
  <c r="BP7" i="1" s="1"/>
  <c r="BI6" i="1"/>
  <c r="AX6" i="1"/>
  <c r="AY6" i="1" s="1"/>
  <c r="AT7" i="1" s="1"/>
  <c r="AM6" i="1"/>
  <c r="DA5" i="1"/>
  <c r="CP5" i="1"/>
  <c r="CE5" i="1"/>
  <c r="BT5" i="1"/>
  <c r="BU5" i="1" s="1"/>
  <c r="BP6" i="1" s="1"/>
  <c r="BI5" i="1"/>
  <c r="BJ5" i="1" s="1"/>
  <c r="BE6" i="1" s="1"/>
  <c r="AX5" i="1"/>
  <c r="AM5" i="1"/>
  <c r="DA4" i="1"/>
  <c r="CP4" i="1"/>
  <c r="CE4" i="1"/>
  <c r="BT4" i="1"/>
  <c r="BU4" i="1" s="1"/>
  <c r="BP5" i="1" s="1"/>
  <c r="BI4" i="1"/>
  <c r="AX4" i="1"/>
  <c r="AM4" i="1"/>
  <c r="DB44" i="1"/>
  <c r="CW45" i="1" s="1"/>
  <c r="CD17" i="1"/>
  <c r="CO101" i="1"/>
  <c r="CO106" i="1"/>
  <c r="CO104" i="1"/>
  <c r="CO105" i="1"/>
  <c r="BS42" i="1"/>
  <c r="CO107" i="1"/>
  <c r="CQ107" i="1"/>
  <c r="CO100" i="1"/>
  <c r="CQ100" i="1"/>
  <c r="CO102" i="1"/>
  <c r="CO103" i="1"/>
  <c r="CQ106" i="1"/>
  <c r="CF44" i="1"/>
  <c r="CA45" i="1" s="1"/>
  <c r="CQ101" i="1"/>
  <c r="BS13" i="1"/>
  <c r="BS12" i="1"/>
  <c r="BH26" i="1"/>
  <c r="BS36" i="1"/>
  <c r="BS39" i="1"/>
  <c r="BS31" i="1"/>
  <c r="BS32" i="1"/>
  <c r="BH19" i="1"/>
  <c r="BS27" i="1"/>
  <c r="CQ102" i="1"/>
  <c r="BS22" i="1"/>
  <c r="BS4" i="1"/>
  <c r="BS21" i="1"/>
  <c r="BS44" i="1"/>
  <c r="BS18" i="1"/>
  <c r="BS19" i="1"/>
  <c r="BS17" i="1"/>
  <c r="CO44" i="1"/>
  <c r="CO28" i="1"/>
  <c r="CO14" i="1"/>
  <c r="CQ105" i="1"/>
  <c r="CQ104" i="1"/>
  <c r="CQ103" i="1"/>
  <c r="BS8" i="1"/>
  <c r="BS40" i="1"/>
  <c r="BS38" i="1"/>
  <c r="BS9" i="1"/>
  <c r="BU27" i="1"/>
  <c r="BP28" i="1" s="1"/>
  <c r="BS45" i="1"/>
  <c r="BS28" i="1"/>
  <c r="BS37" i="1"/>
  <c r="CZ12" i="1"/>
  <c r="BS20" i="1"/>
  <c r="BS26" i="1"/>
  <c r="BS48" i="1"/>
  <c r="CD33" i="1"/>
  <c r="CD5" i="1"/>
  <c r="BS30" i="1"/>
  <c r="BS43" i="1"/>
  <c r="CD26" i="1"/>
  <c r="CF22" i="1"/>
  <c r="CA23" i="1" s="1"/>
  <c r="BJ40" i="1"/>
  <c r="BE41" i="1" s="1"/>
  <c r="BH4" i="1"/>
  <c r="BU49" i="1"/>
  <c r="AY114" i="1"/>
  <c r="AT115" i="1" s="1"/>
  <c r="AW35" i="1"/>
  <c r="CD25" i="1"/>
  <c r="CD8" i="1"/>
  <c r="CF27" i="1"/>
  <c r="CA28" i="1" s="1"/>
  <c r="BU34" i="1"/>
  <c r="BP35" i="1" s="1"/>
  <c r="BJ43" i="1"/>
  <c r="BE44" i="1" s="1"/>
  <c r="AW28" i="1"/>
  <c r="AW37" i="1"/>
  <c r="AW10" i="1"/>
  <c r="AW33" i="1"/>
  <c r="AW42" i="1"/>
  <c r="AW25" i="1"/>
  <c r="AW8" i="1"/>
  <c r="BH148" i="1"/>
  <c r="AW21" i="1"/>
  <c r="AW38" i="1"/>
  <c r="AW11" i="1"/>
  <c r="AL121" i="1"/>
  <c r="AL153" i="1"/>
  <c r="AL116" i="1"/>
  <c r="AW5" i="1"/>
  <c r="AY34" i="1"/>
  <c r="AT35" i="1" s="1"/>
  <c r="AY7" i="1"/>
  <c r="AT8" i="1" s="1"/>
  <c r="AW15" i="1"/>
  <c r="BU8" i="1"/>
  <c r="BP9" i="1" s="1"/>
  <c r="AW12" i="1"/>
  <c r="AW6" i="1"/>
  <c r="AW30" i="1"/>
  <c r="BU48" i="1"/>
  <c r="BP49" i="1" s="1"/>
  <c r="AY31" i="1"/>
  <c r="AT32" i="1" s="1"/>
  <c r="BU41" i="1"/>
  <c r="BP42" i="1" s="1"/>
  <c r="BS35" i="1"/>
  <c r="BU12" i="1"/>
  <c r="BP13" i="1" s="1"/>
  <c r="AY14" i="1"/>
  <c r="AT15" i="1" s="1"/>
  <c r="BU24" i="1"/>
  <c r="BP25" i="1" s="1"/>
  <c r="BS6" i="1"/>
  <c r="BS34" i="1"/>
  <c r="BS10" i="1"/>
  <c r="CD14" i="1"/>
  <c r="CD11" i="1"/>
  <c r="BS15" i="1"/>
  <c r="CZ42" i="1"/>
  <c r="AY33" i="1"/>
  <c r="AT34" i="1" s="1"/>
  <c r="BJ38" i="1"/>
  <c r="BE39" i="1" s="1"/>
  <c r="BH39" i="1"/>
  <c r="BS5" i="1"/>
  <c r="BU26" i="1"/>
  <c r="BP27" i="1" s="1"/>
  <c r="BS33" i="1"/>
  <c r="DB41" i="1"/>
  <c r="CW42" i="1" s="1"/>
  <c r="BS11" i="1"/>
  <c r="CD28" i="1"/>
  <c r="BS29" i="1"/>
  <c r="BS16" i="1"/>
  <c r="BS24" i="1"/>
  <c r="BS25" i="1"/>
  <c r="BS49" i="1"/>
  <c r="CD34" i="1"/>
  <c r="CD29" i="1"/>
  <c r="BS47" i="1"/>
  <c r="CD27" i="1"/>
  <c r="CD18" i="1"/>
  <c r="CD10" i="1"/>
  <c r="CF38" i="1"/>
  <c r="CA39" i="1" s="1"/>
  <c r="BS23" i="1"/>
  <c r="BS41" i="1"/>
  <c r="BS46" i="1"/>
  <c r="CD42" i="1"/>
  <c r="CD37" i="1"/>
  <c r="BS14" i="1"/>
  <c r="DB48" i="1"/>
  <c r="CW49" i="1" s="1"/>
  <c r="CZ6" i="1"/>
  <c r="CZ5" i="1"/>
  <c r="CZ46" i="1"/>
  <c r="CZ17" i="1"/>
  <c r="CZ10" i="1"/>
  <c r="AN118" i="1"/>
  <c r="AI119" i="1" s="1"/>
  <c r="AL136" i="1"/>
  <c r="BJ155" i="1"/>
  <c r="BJ114" i="1"/>
  <c r="BE115" i="1" s="1"/>
  <c r="AL128" i="1"/>
  <c r="DB5" i="1"/>
  <c r="CW6" i="1" s="1"/>
  <c r="CZ38" i="1"/>
  <c r="CZ39" i="1"/>
  <c r="CZ43" i="1"/>
  <c r="CZ44" i="1"/>
  <c r="BH145" i="1"/>
  <c r="BH133" i="1"/>
  <c r="AN130" i="1"/>
  <c r="AI131" i="1" s="1"/>
  <c r="CZ29" i="1"/>
  <c r="CZ31" i="1"/>
  <c r="CZ34" i="1"/>
  <c r="CZ40" i="1"/>
  <c r="AL151" i="1"/>
  <c r="AL137" i="1"/>
  <c r="AL147" i="1"/>
  <c r="BH140" i="1"/>
  <c r="AL120" i="1"/>
  <c r="BH143" i="1"/>
  <c r="AL158" i="1"/>
  <c r="AN137" i="1"/>
  <c r="AI138" i="1" s="1"/>
  <c r="BJ120" i="1"/>
  <c r="BE121" i="1" s="1"/>
  <c r="CZ36" i="1"/>
  <c r="CZ27" i="1"/>
  <c r="CZ7" i="1"/>
  <c r="CZ45" i="1"/>
  <c r="AL133" i="1"/>
  <c r="AL154" i="1"/>
  <c r="BH116" i="1"/>
  <c r="BH146" i="1"/>
  <c r="DB49" i="1"/>
  <c r="CW50" i="1" s="1"/>
  <c r="CZ11" i="1"/>
  <c r="DB24" i="1"/>
  <c r="CW25" i="1" s="1"/>
  <c r="AN124" i="1"/>
  <c r="AI125" i="1" s="1"/>
  <c r="DB11" i="1"/>
  <c r="CW12" i="1" s="1"/>
  <c r="CZ47" i="1"/>
  <c r="BJ144" i="1"/>
  <c r="BE145" i="1" s="1"/>
  <c r="CZ26" i="1"/>
  <c r="CZ20" i="1"/>
  <c r="CZ16" i="1"/>
  <c r="CZ37" i="1"/>
  <c r="CZ32" i="1"/>
  <c r="AL144" i="1"/>
  <c r="BH152" i="1"/>
  <c r="BH137" i="1"/>
  <c r="BH125" i="1"/>
  <c r="DB26" i="1"/>
  <c r="CW27" i="1" s="1"/>
  <c r="DB38" i="1"/>
  <c r="CW39" i="1" s="1"/>
  <c r="AL122" i="1"/>
  <c r="DB19" i="1"/>
  <c r="CW20" i="1" s="1"/>
  <c r="AN120" i="1"/>
  <c r="AI121" i="1" s="1"/>
  <c r="AN143" i="1"/>
  <c r="AI144" i="1" s="1"/>
  <c r="DB30" i="1"/>
  <c r="CW31" i="1" s="1"/>
  <c r="CZ13" i="1"/>
  <c r="CZ4" i="1"/>
  <c r="DB18" i="1"/>
  <c r="CW19" i="1" s="1"/>
  <c r="CZ33" i="1"/>
  <c r="CZ28" i="1"/>
  <c r="AL142" i="1"/>
  <c r="BH136" i="1"/>
  <c r="BH153" i="1"/>
  <c r="BH122" i="1"/>
  <c r="DB21" i="1"/>
  <c r="CW22" i="1" s="1"/>
  <c r="DB33" i="1"/>
  <c r="CW34" i="1" s="1"/>
  <c r="AN136" i="1"/>
  <c r="AI137" i="1" s="1"/>
  <c r="DB23" i="1"/>
  <c r="CW24" i="1" s="1"/>
  <c r="CZ18" i="1"/>
  <c r="AL145" i="1"/>
  <c r="AN125" i="1"/>
  <c r="AI126" i="1" s="1"/>
  <c r="DB12" i="1"/>
  <c r="CW13" i="1" s="1"/>
  <c r="DB7" i="1"/>
  <c r="CW8" i="1" s="1"/>
  <c r="CZ19" i="1"/>
  <c r="CZ25" i="1"/>
  <c r="AL149" i="1"/>
  <c r="AL125" i="1"/>
  <c r="AL127" i="1"/>
  <c r="DB40" i="1"/>
  <c r="CW41" i="1" s="1"/>
  <c r="BJ117" i="1"/>
  <c r="BE118" i="1" s="1"/>
  <c r="AN151" i="1"/>
  <c r="AI152" i="1" s="1"/>
  <c r="DB39" i="1"/>
  <c r="CW40" i="1" s="1"/>
  <c r="AN117" i="1"/>
  <c r="AI118" i="1" s="1"/>
  <c r="BJ143" i="1"/>
  <c r="BE144" i="1" s="1"/>
  <c r="CZ23" i="1"/>
  <c r="CZ22" i="1"/>
  <c r="CZ8" i="1"/>
  <c r="CZ41" i="1"/>
  <c r="BH147" i="1"/>
  <c r="AL115" i="1"/>
  <c r="AL114" i="1"/>
  <c r="AL152" i="1"/>
  <c r="BJ138" i="1"/>
  <c r="BE139" i="1" s="1"/>
  <c r="DB37" i="1"/>
  <c r="CW38" i="1" s="1"/>
  <c r="AN154" i="1"/>
  <c r="AI155" i="1" s="1"/>
  <c r="BJ154" i="1"/>
  <c r="BE155" i="1" s="1"/>
  <c r="BJ126" i="1"/>
  <c r="BE127" i="1" s="1"/>
  <c r="DB29" i="1"/>
  <c r="CW30" i="1" s="1"/>
  <c r="CZ24" i="1"/>
  <c r="CZ35" i="1"/>
  <c r="BH132" i="1"/>
  <c r="BH130" i="1"/>
  <c r="AL148" i="1"/>
  <c r="BH118" i="1"/>
  <c r="BH123" i="1"/>
  <c r="CZ21" i="1"/>
  <c r="AN132" i="1"/>
  <c r="AI133" i="1" s="1"/>
  <c r="CZ49" i="1"/>
  <c r="AN129" i="1"/>
  <c r="AI130" i="1" s="1"/>
  <c r="CZ48" i="1"/>
  <c r="AN157" i="1"/>
  <c r="AI158" i="1" s="1"/>
  <c r="AN150" i="1"/>
  <c r="AI151" i="1" s="1"/>
  <c r="BJ150" i="1"/>
  <c r="BE151" i="1" s="1"/>
  <c r="AN135" i="1"/>
  <c r="AI136" i="1" s="1"/>
  <c r="DB17" i="1"/>
  <c r="CW18" i="1" s="1"/>
  <c r="DB35" i="1"/>
  <c r="CW36" i="1" s="1"/>
  <c r="DB36" i="1"/>
  <c r="CW37" i="1" s="1"/>
  <c r="CZ30" i="1"/>
  <c r="CZ14" i="1"/>
  <c r="DB46" i="1"/>
  <c r="CW47" i="1" s="1"/>
  <c r="AL134" i="1"/>
  <c r="AL126" i="1"/>
  <c r="BH129" i="1"/>
  <c r="BJ17" i="1"/>
  <c r="BE18" i="1" s="1"/>
  <c r="BH18" i="1"/>
  <c r="BJ25" i="1"/>
  <c r="BE26" i="1" s="1"/>
  <c r="BJ28" i="1"/>
  <c r="BE29" i="1" s="1"/>
  <c r="BH47" i="1"/>
  <c r="BH35" i="1"/>
  <c r="BH34" i="1"/>
  <c r="BH11" i="1"/>
  <c r="BJ137" i="1"/>
  <c r="BE138" i="1" s="1"/>
  <c r="BJ131" i="1"/>
  <c r="BE132" i="1" s="1"/>
  <c r="BH45" i="1"/>
  <c r="BH16" i="1"/>
  <c r="BH24" i="1"/>
  <c r="BJ27" i="1"/>
  <c r="BE28" i="1" s="1"/>
  <c r="BH37" i="1"/>
  <c r="BH5" i="1"/>
  <c r="BH15" i="1"/>
  <c r="BH23" i="1"/>
  <c r="BH43" i="1"/>
  <c r="BH25" i="1"/>
  <c r="BH17" i="1"/>
  <c r="BH13" i="1"/>
  <c r="BH14" i="1"/>
  <c r="BH22" i="1"/>
  <c r="BH36" i="1"/>
  <c r="BJ33" i="1"/>
  <c r="BE34" i="1" s="1"/>
  <c r="AN123" i="1"/>
  <c r="AI124" i="1" s="1"/>
  <c r="CQ47" i="1"/>
  <c r="CL48" i="1" s="1"/>
  <c r="BH9" i="1"/>
  <c r="BH41" i="1"/>
  <c r="BH8" i="1"/>
  <c r="BH44" i="1"/>
  <c r="BJ22" i="1"/>
  <c r="BE23" i="1" s="1"/>
  <c r="BH46" i="1"/>
  <c r="BJ11" i="1"/>
  <c r="BE12" i="1" s="1"/>
  <c r="BJ35" i="1"/>
  <c r="BE36" i="1" s="1"/>
  <c r="BH7" i="1"/>
  <c r="BJ39" i="1"/>
  <c r="BE40" i="1" s="1"/>
  <c r="BH40" i="1"/>
  <c r="BH42" i="1"/>
  <c r="BJ6" i="1"/>
  <c r="BE7" i="1" s="1"/>
  <c r="BJ18" i="1"/>
  <c r="BE19" i="1" s="1"/>
  <c r="BJ36" i="1"/>
  <c r="BE37" i="1" s="1"/>
  <c r="BJ134" i="1"/>
  <c r="BE135" i="1" s="1"/>
  <c r="BJ41" i="1"/>
  <c r="BE42" i="1" s="1"/>
  <c r="BH38" i="1"/>
  <c r="BJ45" i="1"/>
  <c r="BE46" i="1" s="1"/>
  <c r="BH29" i="1"/>
  <c r="BJ34" i="1"/>
  <c r="BE35" i="1" s="1"/>
  <c r="BH30" i="1"/>
  <c r="BH12" i="1"/>
  <c r="BJ13" i="1"/>
  <c r="BE14" i="1" s="1"/>
  <c r="BJ19" i="1"/>
  <c r="BE20" i="1" s="1"/>
  <c r="BJ31" i="1"/>
  <c r="BE32" i="1" s="1"/>
  <c r="BJ46" i="1"/>
  <c r="BE47" i="1" s="1"/>
  <c r="BJ21" i="1"/>
  <c r="BE22" i="1" s="1"/>
  <c r="BH28" i="1"/>
  <c r="BH20" i="1"/>
  <c r="BH27" i="1"/>
  <c r="BH33" i="1"/>
  <c r="BJ24" i="1"/>
  <c r="BE25" i="1" s="1"/>
  <c r="BU29" i="1"/>
  <c r="BP30" i="1" s="1"/>
  <c r="AY9" i="1"/>
  <c r="AT10" i="1" s="1"/>
  <c r="DB16" i="1"/>
  <c r="CW17" i="1" s="1"/>
  <c r="CF24" i="1"/>
  <c r="CA25" i="1" s="1"/>
  <c r="AY134" i="1"/>
  <c r="AT135" i="1" s="1"/>
  <c r="BU35" i="1"/>
  <c r="BP36" i="1" s="1"/>
  <c r="BH149" i="1"/>
  <c r="BH115" i="1"/>
  <c r="BH138" i="1"/>
  <c r="BH120" i="1"/>
  <c r="BJ125" i="1"/>
  <c r="BE126" i="1" s="1"/>
  <c r="BH151" i="1"/>
  <c r="BH141" i="1"/>
  <c r="BH124" i="1"/>
  <c r="BJ148" i="1"/>
  <c r="BE149" i="1" s="1"/>
  <c r="BH128" i="1"/>
  <c r="BH139" i="1"/>
  <c r="BH155" i="1"/>
  <c r="BH117" i="1"/>
  <c r="BH131" i="1"/>
  <c r="BH142" i="1"/>
  <c r="BH144" i="1"/>
  <c r="BH121" i="1"/>
  <c r="BH134" i="1"/>
  <c r="BH150" i="1"/>
  <c r="BH127" i="1"/>
  <c r="BH119" i="1"/>
  <c r="BJ30" i="1"/>
  <c r="BE31" i="1" s="1"/>
  <c r="AY153" i="1"/>
  <c r="AT154" i="1" s="1"/>
  <c r="DB8" i="1"/>
  <c r="CW9" i="1" s="1"/>
  <c r="BJ12" i="1"/>
  <c r="BE13" i="1" s="1"/>
  <c r="BH126" i="1"/>
  <c r="AN119" i="1"/>
  <c r="AI120" i="1" s="1"/>
  <c r="BU17" i="1"/>
  <c r="BP18" i="1" s="1"/>
  <c r="BH135" i="1"/>
  <c r="AN144" i="1"/>
  <c r="AI145" i="1" s="1"/>
  <c r="AW154" i="1"/>
  <c r="DB43" i="1"/>
  <c r="CW44" i="1" s="1"/>
  <c r="AY157" i="1"/>
  <c r="AT158" i="1" s="1"/>
  <c r="BJ16" i="1"/>
  <c r="BE17" i="1" s="1"/>
  <c r="BJ4" i="1"/>
  <c r="BE5" i="1" s="1"/>
  <c r="BH31" i="1"/>
  <c r="BH21" i="1"/>
  <c r="BJ14" i="1"/>
  <c r="BE15" i="1" s="1"/>
  <c r="AW150" i="1"/>
  <c r="AW130" i="1"/>
  <c r="AY123" i="1"/>
  <c r="AT124" i="1" s="1"/>
  <c r="AY146" i="1"/>
  <c r="AT147" i="1" s="1"/>
  <c r="AW146" i="1"/>
  <c r="AY126" i="1"/>
  <c r="AT127" i="1" s="1"/>
  <c r="AY158" i="1"/>
  <c r="AT159" i="1" s="1"/>
  <c r="AW126" i="1"/>
  <c r="DB50" i="1"/>
  <c r="AW142" i="1"/>
  <c r="AY122" i="1"/>
  <c r="AT123" i="1" s="1"/>
  <c r="AW122" i="1"/>
  <c r="AY138" i="1"/>
  <c r="AT139" i="1" s="1"/>
  <c r="AW158" i="1"/>
  <c r="AW138" i="1"/>
  <c r="AW118" i="1"/>
  <c r="AW134" i="1"/>
  <c r="AN155" i="1"/>
  <c r="AI156" i="1" s="1"/>
  <c r="AW9" i="1"/>
  <c r="AW18" i="1"/>
  <c r="AW16" i="1"/>
  <c r="AW32" i="1"/>
  <c r="AW19" i="1"/>
  <c r="AW36" i="1"/>
  <c r="AN147" i="1"/>
  <c r="AI148" i="1" s="1"/>
  <c r="BJ44" i="1"/>
  <c r="BE45" i="1" s="1"/>
  <c r="BU37" i="1"/>
  <c r="BP38" i="1" s="1"/>
  <c r="AW29" i="1"/>
  <c r="AW7" i="1"/>
  <c r="AW20" i="1"/>
  <c r="AW34" i="1"/>
  <c r="DB34" i="1"/>
  <c r="CW35" i="1" s="1"/>
  <c r="AY160" i="1"/>
  <c r="AN141" i="1"/>
  <c r="AI142" i="1" s="1"/>
  <c r="AY27" i="1"/>
  <c r="AT28" i="1" s="1"/>
  <c r="AY17" i="1"/>
  <c r="AT18" i="1" s="1"/>
  <c r="BU25" i="1"/>
  <c r="BP26" i="1" s="1"/>
  <c r="AW43" i="1"/>
  <c r="AW26" i="1"/>
  <c r="AW14" i="1"/>
  <c r="AY28" i="1"/>
  <c r="AT29" i="1" s="1"/>
  <c r="BJ149" i="1"/>
  <c r="BE150" i="1" s="1"/>
  <c r="AW13" i="1"/>
  <c r="AW40" i="1"/>
  <c r="DB22" i="1"/>
  <c r="CW23" i="1" s="1"/>
  <c r="AW31" i="1"/>
  <c r="AY136" i="1"/>
  <c r="AT137" i="1" s="1"/>
  <c r="BJ132" i="1"/>
  <c r="BE133" i="1" s="1"/>
  <c r="AY37" i="1"/>
  <c r="AT38" i="1" s="1"/>
  <c r="AW41" i="1"/>
  <c r="AW44" i="1"/>
  <c r="AW39" i="1"/>
  <c r="CF12" i="1"/>
  <c r="CA13" i="1" s="1"/>
  <c r="AW17" i="1"/>
  <c r="AY36" i="1"/>
  <c r="AT37" i="1" s="1"/>
  <c r="AW22" i="1"/>
  <c r="AW4" i="1"/>
  <c r="AY32" i="1"/>
  <c r="AT33" i="1" s="1"/>
  <c r="DB10" i="1"/>
  <c r="CW11" i="1" s="1"/>
  <c r="AY124" i="1"/>
  <c r="AT125" i="1" s="1"/>
  <c r="BU46" i="1"/>
  <c r="BP47" i="1" s="1"/>
  <c r="AW27" i="1"/>
  <c r="AL155" i="1"/>
  <c r="AL138" i="1"/>
  <c r="AL123" i="1"/>
  <c r="AL143" i="1"/>
  <c r="AL141" i="1"/>
  <c r="AN156" i="1"/>
  <c r="AI157" i="1" s="1"/>
  <c r="AL119" i="1"/>
  <c r="AN148" i="1"/>
  <c r="AI149" i="1" s="1"/>
  <c r="AL132" i="1"/>
  <c r="AL130" i="1"/>
  <c r="AL146" i="1"/>
  <c r="AL118" i="1"/>
  <c r="AL117" i="1"/>
  <c r="AL140" i="1"/>
  <c r="AN158" i="1"/>
  <c r="AL124" i="1"/>
  <c r="AL156" i="1"/>
  <c r="AL139" i="1"/>
  <c r="AL135" i="1"/>
  <c r="AL157" i="1"/>
  <c r="AL131" i="1"/>
  <c r="AL150" i="1"/>
  <c r="AN126" i="1"/>
  <c r="AI127" i="1" s="1"/>
  <c r="AL129" i="1"/>
  <c r="AN114" i="1"/>
  <c r="AI115" i="1" s="1"/>
  <c r="AN142" i="1"/>
  <c r="AI143" i="1" s="1"/>
  <c r="AY148" i="1"/>
  <c r="AT149" i="1" s="1"/>
  <c r="AY19" i="1"/>
  <c r="AT20" i="1" s="1"/>
  <c r="AY39" i="1"/>
  <c r="AT40" i="1" s="1"/>
  <c r="AY29" i="1"/>
  <c r="AT30" i="1" s="1"/>
  <c r="AW24" i="1"/>
  <c r="AW23" i="1"/>
  <c r="BJ8" i="1"/>
  <c r="BE9" i="1" s="1"/>
  <c r="BH10" i="1"/>
  <c r="AY145" i="1"/>
  <c r="AT146" i="1" s="1"/>
  <c r="AY137" i="1"/>
  <c r="AT138" i="1" s="1"/>
  <c r="AY133" i="1"/>
  <c r="AT134" i="1" s="1"/>
  <c r="AW125" i="1"/>
  <c r="AY121" i="1"/>
  <c r="AT122" i="1" s="1"/>
  <c r="AW157" i="1"/>
  <c r="AW153" i="1"/>
  <c r="AW149" i="1"/>
  <c r="AW145" i="1"/>
  <c r="AW141" i="1"/>
  <c r="AW137" i="1"/>
  <c r="AW133" i="1"/>
  <c r="AW129" i="1"/>
  <c r="AW121" i="1"/>
  <c r="AW117" i="1"/>
  <c r="AY156" i="1"/>
  <c r="AT157" i="1" s="1"/>
  <c r="AW140" i="1"/>
  <c r="AW128" i="1"/>
  <c r="AW120" i="1"/>
  <c r="CD36" i="1"/>
  <c r="AY152" i="1"/>
  <c r="AT153" i="1" s="1"/>
  <c r="AY144" i="1"/>
  <c r="AT145" i="1" s="1"/>
  <c r="AY132" i="1"/>
  <c r="AT133" i="1" s="1"/>
  <c r="AW116" i="1"/>
  <c r="AW160" i="1"/>
  <c r="AW156" i="1"/>
  <c r="AY151" i="1"/>
  <c r="AT152" i="1" s="1"/>
  <c r="AW148" i="1"/>
  <c r="AW144" i="1"/>
  <c r="AY140" i="1"/>
  <c r="AT141" i="1" s="1"/>
  <c r="AW136" i="1"/>
  <c r="AW132" i="1"/>
  <c r="AW124" i="1"/>
  <c r="AY120" i="1"/>
  <c r="AT121" i="1" s="1"/>
  <c r="AY159" i="1"/>
  <c r="AT160" i="1" s="1"/>
  <c r="AW152" i="1"/>
  <c r="AY147" i="1"/>
  <c r="AT148" i="1" s="1"/>
  <c r="AY135" i="1"/>
  <c r="AT136" i="1" s="1"/>
  <c r="CZ50" i="1"/>
  <c r="BH154" i="1"/>
  <c r="AW159" i="1"/>
  <c r="AW155" i="1"/>
  <c r="AW151" i="1"/>
  <c r="AW147" i="1"/>
  <c r="AW143" i="1"/>
  <c r="AW139" i="1"/>
  <c r="AW135" i="1"/>
  <c r="AW131" i="1"/>
  <c r="AW127" i="1"/>
  <c r="AW123" i="1"/>
  <c r="AW119" i="1"/>
  <c r="AW115" i="1"/>
  <c r="BH6" i="1"/>
  <c r="CZ9" i="1"/>
  <c r="BH114" i="1"/>
  <c r="AY150" i="1"/>
  <c r="AT151" i="1" s="1"/>
  <c r="AB79" i="1"/>
  <c r="CE76" i="1"/>
  <c r="T80" i="1"/>
  <c r="T90" i="1"/>
  <c r="AX82" i="1"/>
  <c r="T86" i="1"/>
  <c r="T89" i="1"/>
  <c r="AB80" i="1"/>
  <c r="T76" i="1"/>
  <c r="T88" i="1"/>
  <c r="AB88" i="1"/>
  <c r="T84" i="1"/>
  <c r="T78" i="1"/>
  <c r="AM93" i="1"/>
  <c r="DA93" i="1"/>
  <c r="T81" i="1"/>
  <c r="T83" i="1"/>
  <c r="T75" i="1"/>
  <c r="AB82" i="1"/>
  <c r="AB75" i="1"/>
  <c r="AX78" i="1"/>
  <c r="AB86" i="1"/>
  <c r="AM76" i="1"/>
  <c r="BI98" i="1"/>
  <c r="DA79" i="1"/>
  <c r="AM78" i="1"/>
  <c r="AM90" i="1"/>
  <c r="AN90" i="1" s="1"/>
  <c r="AI91" i="1" s="1"/>
  <c r="AM94" i="1"/>
  <c r="T82" i="1"/>
  <c r="AB77" i="1"/>
  <c r="BT90" i="1"/>
  <c r="DA78" i="1"/>
  <c r="BI93" i="1"/>
  <c r="T87" i="1"/>
  <c r="T79" i="1"/>
  <c r="T85" i="1"/>
  <c r="AB76" i="1"/>
  <c r="AB78" i="1"/>
  <c r="AB83" i="1"/>
  <c r="AB81" i="1"/>
  <c r="CE77" i="1"/>
  <c r="CE75" i="1"/>
  <c r="AX86" i="1"/>
  <c r="AB87" i="1"/>
  <c r="AB84" i="1"/>
  <c r="T77" i="1"/>
  <c r="AM86" i="1"/>
  <c r="CE93" i="1"/>
  <c r="CE80" i="1"/>
  <c r="BT76" i="1"/>
  <c r="BI96" i="1"/>
  <c r="CE94" i="1"/>
  <c r="BT93" i="1"/>
  <c r="AX97" i="1"/>
  <c r="AM81" i="1"/>
  <c r="AN81" i="1" s="1"/>
  <c r="AI82" i="1" s="1"/>
  <c r="AM87" i="1"/>
  <c r="DA90" i="1"/>
  <c r="DA84" i="1"/>
  <c r="BT80" i="1"/>
  <c r="DA103" i="1"/>
  <c r="AM80" i="1"/>
  <c r="BI95" i="1"/>
  <c r="DA81" i="1"/>
  <c r="DA95" i="1"/>
  <c r="BT89" i="1"/>
  <c r="AX94" i="1"/>
  <c r="DA87" i="1"/>
  <c r="DA88" i="1"/>
  <c r="BT87" i="1"/>
  <c r="BI94" i="1"/>
  <c r="AM84" i="1"/>
  <c r="CE86" i="1"/>
  <c r="CF86" i="1" s="1"/>
  <c r="CA87" i="1" s="1"/>
  <c r="AX80" i="1"/>
  <c r="DA83" i="1"/>
  <c r="CE97" i="1"/>
  <c r="BI76" i="1"/>
  <c r="AM92" i="1"/>
  <c r="DA91" i="1"/>
  <c r="BT98" i="1"/>
  <c r="BI92" i="1"/>
  <c r="CE84" i="1"/>
  <c r="DA99" i="1"/>
  <c r="AX91" i="1"/>
  <c r="BI79" i="1"/>
  <c r="AM79" i="1"/>
  <c r="DA89" i="1"/>
  <c r="DA77" i="1"/>
  <c r="DA105" i="1"/>
  <c r="DA75" i="1"/>
  <c r="BT97" i="1"/>
  <c r="BI91" i="1"/>
  <c r="BT104" i="1"/>
  <c r="BU104" i="1" s="1"/>
  <c r="BP105" i="1" s="1"/>
  <c r="BI84" i="1"/>
  <c r="DA104" i="1"/>
  <c r="AX92" i="1"/>
  <c r="AM97" i="1"/>
  <c r="CE91" i="1"/>
  <c r="AX89" i="1"/>
  <c r="AX77" i="1"/>
  <c r="BI83" i="1"/>
  <c r="CE96" i="1"/>
  <c r="CE95" i="1"/>
  <c r="DA107" i="1"/>
  <c r="DA94" i="1"/>
  <c r="BI97" i="1"/>
  <c r="DA96" i="1"/>
  <c r="CP98" i="1"/>
  <c r="DA80" i="1"/>
  <c r="AM88" i="1"/>
  <c r="BI90" i="1"/>
  <c r="DA102" i="1"/>
  <c r="CE78" i="1"/>
  <c r="BI78" i="1"/>
  <c r="AX75" i="1"/>
  <c r="AX88" i="1"/>
  <c r="BT81" i="1"/>
  <c r="BI87" i="1"/>
  <c r="BI80" i="1"/>
  <c r="BI82" i="1"/>
  <c r="CE85" i="1"/>
  <c r="CF85" i="1" s="1"/>
  <c r="CA86" i="1" s="1"/>
  <c r="CP99" i="1"/>
  <c r="DA85" i="1"/>
  <c r="DA101" i="1"/>
  <c r="AM98" i="1"/>
  <c r="BI89" i="1"/>
  <c r="BT102" i="1"/>
  <c r="CE92" i="1"/>
  <c r="AX76" i="1"/>
  <c r="CE83" i="1"/>
  <c r="BI81" i="1"/>
  <c r="AX85" i="1"/>
  <c r="BI75" i="1"/>
  <c r="AB85" i="1"/>
  <c r="AM89" i="1"/>
  <c r="AM75" i="1"/>
  <c r="AM85" i="1"/>
  <c r="CE88" i="1"/>
  <c r="DA97" i="1"/>
  <c r="DA86" i="1"/>
  <c r="DA92" i="1"/>
  <c r="DB92" i="1" s="1"/>
  <c r="CW93" i="1" s="1"/>
  <c r="DA82" i="1"/>
  <c r="DA76" i="1"/>
  <c r="DB76" i="1" s="1"/>
  <c r="CW77" i="1" s="1"/>
  <c r="BI88" i="1"/>
  <c r="CE102" i="1"/>
  <c r="CF102" i="1" s="1"/>
  <c r="CA103" i="1" s="1"/>
  <c r="DA100" i="1"/>
  <c r="CE82" i="1"/>
  <c r="BT86" i="1"/>
  <c r="AX79" i="1"/>
  <c r="CE81" i="1"/>
  <c r="BT77" i="1"/>
  <c r="BI77" i="1"/>
  <c r="U1" i="1"/>
  <c r="U89" i="1" s="1"/>
  <c r="P90" i="1" s="1"/>
  <c r="BI85" i="1"/>
  <c r="BI86" i="1"/>
  <c r="AM91" i="1"/>
  <c r="AM77" i="1"/>
  <c r="AM95" i="1"/>
  <c r="AN95" i="1" s="1"/>
  <c r="AI96" i="1" s="1"/>
  <c r="CE89" i="1"/>
  <c r="AX90" i="1"/>
  <c r="BT100" i="1"/>
  <c r="CE100" i="1"/>
  <c r="DB56" i="1"/>
  <c r="CZ93" i="1"/>
  <c r="BT92" i="1"/>
  <c r="DA106" i="1"/>
  <c r="BT78" i="1"/>
  <c r="DA98" i="1"/>
  <c r="AM82" i="1"/>
  <c r="CE90" i="1"/>
  <c r="AM83" i="1"/>
  <c r="BT82" i="1"/>
  <c r="AX96" i="1"/>
  <c r="AX87" i="1"/>
  <c r="CE79" i="1"/>
  <c r="AX81" i="1"/>
  <c r="CE98" i="1"/>
  <c r="AX84" i="1"/>
  <c r="AX83" i="1"/>
  <c r="AX93" i="1"/>
  <c r="AX95" i="1"/>
  <c r="BT96" i="1"/>
  <c r="CZ84" i="1"/>
  <c r="CZ94" i="1"/>
  <c r="CZ68" i="1"/>
  <c r="CZ65" i="1"/>
  <c r="CZ85" i="1"/>
  <c r="DB61" i="1"/>
  <c r="CW62" i="1" s="1"/>
  <c r="CZ100" i="1"/>
  <c r="CZ95" i="1"/>
  <c r="CZ80" i="1"/>
  <c r="CZ67" i="1"/>
  <c r="DB72" i="1"/>
  <c r="CW73" i="1" s="1"/>
  <c r="CZ74" i="1"/>
  <c r="CZ88" i="1"/>
  <c r="CZ70" i="1"/>
  <c r="CZ64" i="1"/>
  <c r="DB86" i="1"/>
  <c r="CW87" i="1" s="1"/>
  <c r="DB107" i="1"/>
  <c r="DB66" i="1"/>
  <c r="CW67" i="1" s="1"/>
  <c r="CZ73" i="1"/>
  <c r="CZ69" i="1"/>
  <c r="CZ63" i="1"/>
  <c r="DB80" i="1"/>
  <c r="CW81" i="1" s="1"/>
  <c r="CZ98" i="1"/>
  <c r="CZ96" i="1"/>
  <c r="CZ66" i="1"/>
  <c r="CZ62" i="1"/>
  <c r="CZ107" i="1"/>
  <c r="CZ81" i="1"/>
  <c r="CZ82" i="1"/>
  <c r="CZ89" i="1"/>
  <c r="CZ72" i="1"/>
  <c r="CZ77" i="1"/>
  <c r="DB70" i="1"/>
  <c r="CW71" i="1" s="1"/>
  <c r="CZ59" i="1"/>
  <c r="DB67" i="1"/>
  <c r="CW68" i="1" s="1"/>
  <c r="CZ101" i="1"/>
  <c r="CZ78" i="1"/>
  <c r="DB59" i="1"/>
  <c r="CW60" i="1" s="1"/>
  <c r="CZ97" i="1"/>
  <c r="CZ103" i="1"/>
  <c r="CZ83" i="1"/>
  <c r="CZ87" i="1"/>
  <c r="CZ92" i="1"/>
  <c r="CZ106" i="1"/>
  <c r="CZ79" i="1"/>
  <c r="CZ76" i="1"/>
  <c r="DB65" i="1"/>
  <c r="CW66" i="1" s="1"/>
  <c r="CZ75" i="1"/>
  <c r="CZ104" i="1"/>
  <c r="CZ60" i="1"/>
  <c r="U64" i="1"/>
  <c r="P65" i="1" s="1"/>
  <c r="U69" i="1"/>
  <c r="P70" i="1" s="1"/>
  <c r="S75" i="1"/>
  <c r="CZ105" i="1"/>
  <c r="DB68" i="1"/>
  <c r="CW69" i="1" s="1"/>
  <c r="CZ99" i="1"/>
  <c r="S63" i="1"/>
  <c r="S64" i="1"/>
  <c r="DB103" i="1"/>
  <c r="CW104" i="1" s="1"/>
  <c r="S58" i="1"/>
  <c r="DB95" i="1"/>
  <c r="CW96" i="1" s="1"/>
  <c r="DB63" i="1"/>
  <c r="CW64" i="1" s="1"/>
  <c r="CZ86" i="1"/>
  <c r="U9" i="1"/>
  <c r="P10" i="1" s="1"/>
  <c r="DB88" i="1"/>
  <c r="CW89" i="1" s="1"/>
  <c r="DB83" i="1"/>
  <c r="CW84" i="1" s="1"/>
  <c r="DB89" i="1"/>
  <c r="CW90" i="1" s="1"/>
  <c r="DB91" i="1"/>
  <c r="CW92" i="1" s="1"/>
  <c r="DB87" i="1"/>
  <c r="CW88" i="1" s="1"/>
  <c r="DB75" i="1"/>
  <c r="CW76" i="1" s="1"/>
  <c r="DB97" i="1"/>
  <c r="CW98" i="1" s="1"/>
  <c r="DB79" i="1"/>
  <c r="CW80" i="1" s="1"/>
  <c r="DB85" i="1"/>
  <c r="CW86" i="1" s="1"/>
  <c r="DB105" i="1"/>
  <c r="CW106" i="1" s="1"/>
  <c r="AC1" i="1"/>
  <c r="CE103" i="1"/>
  <c r="CE101" i="1"/>
  <c r="BT75" i="1"/>
  <c r="BT79" i="1"/>
  <c r="BT91" i="1"/>
  <c r="BT95" i="1"/>
  <c r="BT83" i="1"/>
  <c r="BT88" i="1"/>
  <c r="BT84" i="1"/>
  <c r="BT103" i="1"/>
  <c r="AM96" i="1"/>
  <c r="BT85" i="1"/>
  <c r="AX98" i="1"/>
  <c r="AN56" i="1"/>
  <c r="AL60" i="1"/>
  <c r="BT101" i="1"/>
  <c r="BT99" i="1"/>
  <c r="BU99" i="1" s="1"/>
  <c r="BP100" i="1" s="1"/>
  <c r="AN93" i="1"/>
  <c r="AI94" i="1" s="1"/>
  <c r="AN77" i="1"/>
  <c r="AI78" i="1" s="1"/>
  <c r="AN94" i="1"/>
  <c r="AI95" i="1" s="1"/>
  <c r="AN80" i="1"/>
  <c r="AI81" i="1" s="1"/>
  <c r="AN97" i="1"/>
  <c r="AN86" i="1"/>
  <c r="AI87" i="1" s="1"/>
  <c r="AN85" i="1"/>
  <c r="AI86" i="1" s="1"/>
  <c r="AN83" i="1"/>
  <c r="AI84" i="1" s="1"/>
  <c r="AN82" i="1"/>
  <c r="AI83" i="1" s="1"/>
  <c r="AN91" i="1"/>
  <c r="AI92" i="1" s="1"/>
  <c r="AN89" i="1"/>
  <c r="AI90" i="1" s="1"/>
  <c r="AN92" i="1"/>
  <c r="AI93" i="1" s="1"/>
  <c r="AN87" i="1"/>
  <c r="AI88" i="1" s="1"/>
  <c r="AN88" i="1"/>
  <c r="AI89" i="1" s="1"/>
  <c r="AN75" i="1"/>
  <c r="AI76" i="1" s="1"/>
  <c r="AN79" i="1"/>
  <c r="AI80" i="1" s="1"/>
  <c r="AN98" i="1"/>
  <c r="AN84" i="1"/>
  <c r="AI85" i="1" s="1"/>
  <c r="AN71" i="1"/>
  <c r="AI72" i="1" s="1"/>
  <c r="AL81" i="1"/>
  <c r="AL82" i="1"/>
  <c r="AL72" i="1"/>
  <c r="AN73" i="1"/>
  <c r="AI74" i="1" s="1"/>
  <c r="AN72" i="1"/>
  <c r="AI73" i="1" s="1"/>
  <c r="AN68" i="1"/>
  <c r="AI69" i="1" s="1"/>
  <c r="AL88" i="1"/>
  <c r="AL98" i="1"/>
  <c r="AN69" i="1"/>
  <c r="AI70" i="1" s="1"/>
  <c r="AL68" i="1"/>
  <c r="AL61" i="1"/>
  <c r="AL97" i="1"/>
  <c r="AL62" i="1"/>
  <c r="AL93" i="1"/>
  <c r="AL73" i="1"/>
  <c r="AL87" i="1"/>
  <c r="AL77" i="1"/>
  <c r="AL69" i="1"/>
  <c r="AL79" i="1"/>
  <c r="AL59" i="1"/>
  <c r="AL64" i="1"/>
  <c r="AL63" i="1"/>
  <c r="AL95" i="1"/>
  <c r="AL92" i="1"/>
  <c r="AL91" i="1"/>
  <c r="AL74" i="1"/>
  <c r="AN66" i="1"/>
  <c r="AI67" i="1" s="1"/>
  <c r="AN59" i="1"/>
  <c r="AI60" i="1" s="1"/>
  <c r="AL89" i="1"/>
  <c r="AL75" i="1"/>
  <c r="AL94" i="1"/>
  <c r="AL76" i="1"/>
  <c r="AL71" i="1"/>
  <c r="AN65" i="1"/>
  <c r="AI66" i="1" s="1"/>
  <c r="AL96" i="1"/>
  <c r="AL66" i="1"/>
  <c r="AL83" i="1"/>
  <c r="AL78" i="1"/>
  <c r="AL86" i="1"/>
  <c r="AN61" i="1"/>
  <c r="AI62" i="1" s="1"/>
  <c r="AL67" i="1"/>
  <c r="AL70" i="1"/>
  <c r="AL85" i="1"/>
  <c r="AN63" i="1"/>
  <c r="AI64" i="1" s="1"/>
  <c r="AL65" i="1"/>
  <c r="AL90" i="1"/>
  <c r="AN67" i="1"/>
  <c r="AI68" i="1" s="1"/>
  <c r="AN64" i="1"/>
  <c r="AI65" i="1" s="1"/>
  <c r="AN60" i="1"/>
  <c r="AI61" i="1" s="1"/>
  <c r="AL80" i="1"/>
  <c r="AL84" i="1"/>
  <c r="AX74" i="1"/>
  <c r="AY56" i="1"/>
  <c r="AY96" i="1" s="1"/>
  <c r="AT97" i="1" s="1"/>
  <c r="CE99" i="1"/>
  <c r="BT94" i="1"/>
  <c r="BT105" i="1"/>
  <c r="CE87" i="1"/>
  <c r="BT74" i="1"/>
  <c r="BU56" i="1"/>
  <c r="BU66" i="1" s="1"/>
  <c r="BP67" i="1" s="1"/>
  <c r="BS86" i="1"/>
  <c r="BU97" i="1"/>
  <c r="BP98" i="1" s="1"/>
  <c r="BS70" i="1"/>
  <c r="BU105" i="1"/>
  <c r="BS69" i="1"/>
  <c r="BS97" i="1"/>
  <c r="BS77" i="1"/>
  <c r="CE74" i="1"/>
  <c r="CF56" i="1"/>
  <c r="CD95" i="1" s="1"/>
  <c r="CD65" i="1"/>
  <c r="CF98" i="1"/>
  <c r="CA99" i="1" s="1"/>
  <c r="CF76" i="1"/>
  <c r="CA77" i="1" s="1"/>
  <c r="CF73" i="1"/>
  <c r="CA74" i="1" s="1"/>
  <c r="CD81" i="1"/>
  <c r="CD76" i="1"/>
  <c r="CQ56" i="1"/>
  <c r="CO74" i="1" s="1"/>
  <c r="CO75" i="1"/>
  <c r="CQ77" i="1"/>
  <c r="CL78" i="1" s="1"/>
  <c r="CO87" i="1"/>
  <c r="CQ89" i="1"/>
  <c r="CL90" i="1" s="1"/>
  <c r="CO68" i="1"/>
  <c r="CO80" i="1"/>
  <c r="CQ82" i="1"/>
  <c r="CL83" i="1" s="1"/>
  <c r="CO92" i="1"/>
  <c r="CQ94" i="1"/>
  <c r="CL95" i="1" s="1"/>
  <c r="CO73" i="1"/>
  <c r="CO85" i="1"/>
  <c r="CQ87" i="1"/>
  <c r="CL88" i="1" s="1"/>
  <c r="CO66" i="1"/>
  <c r="CO78" i="1"/>
  <c r="CO90" i="1"/>
  <c r="CO86" i="1"/>
  <c r="CO71" i="1"/>
  <c r="CQ73" i="1"/>
  <c r="CL74" i="1" s="1"/>
  <c r="CO83" i="1"/>
  <c r="CQ85" i="1"/>
  <c r="CL86" i="1" s="1"/>
  <c r="CO95" i="1"/>
  <c r="CQ66" i="1"/>
  <c r="CL67" i="1" s="1"/>
  <c r="CO76" i="1"/>
  <c r="CQ78" i="1"/>
  <c r="CL79" i="1" s="1"/>
  <c r="CO88" i="1"/>
  <c r="CQ90" i="1"/>
  <c r="CL91" i="1" s="1"/>
  <c r="CO69" i="1"/>
  <c r="CO81" i="1"/>
  <c r="CO93" i="1"/>
  <c r="CQ96" i="1"/>
  <c r="CL97" i="1" s="1"/>
  <c r="CQ92" i="1"/>
  <c r="CL93" i="1" s="1"/>
  <c r="CQ70" i="1"/>
  <c r="CL71" i="1" s="1"/>
  <c r="CQ84" i="1"/>
  <c r="CL85" i="1" s="1"/>
  <c r="CQ80" i="1"/>
  <c r="CL81" i="1" s="1"/>
  <c r="CQ86" i="1"/>
  <c r="CL87" i="1" s="1"/>
  <c r="CQ68" i="1"/>
  <c r="CL69" i="1" s="1"/>
  <c r="CO59" i="1"/>
  <c r="CQ59" i="1"/>
  <c r="CL60" i="1" s="1"/>
  <c r="CO97" i="1"/>
  <c r="CQ97" i="1"/>
  <c r="CQ98" i="1"/>
  <c r="CQ99" i="1"/>
  <c r="CQ63" i="1"/>
  <c r="CL64" i="1" s="1"/>
  <c r="CO98" i="1"/>
  <c r="CO60" i="1"/>
  <c r="CQ61" i="1"/>
  <c r="CL62" i="1" s="1"/>
  <c r="CO62" i="1"/>
  <c r="CO64" i="1"/>
  <c r="CO61" i="1"/>
  <c r="CO63" i="1"/>
  <c r="CO99" i="1"/>
  <c r="BI74" i="1"/>
  <c r="BJ56" i="1"/>
  <c r="DA74" i="1"/>
  <c r="T74" i="1"/>
  <c r="AB74" i="1"/>
  <c r="AM74" i="1"/>
  <c r="BH64" i="1"/>
  <c r="BX79" i="1" a="1"/>
  <c r="AF18" i="1" a="1"/>
  <c r="CI97" i="1" a="1"/>
  <c r="AQ13" i="1" a="1"/>
  <c r="CT13" i="1" a="1"/>
  <c r="AQ138" i="1" a="1"/>
  <c r="BB59" i="1" a="1"/>
  <c r="AQ18" i="1" a="1"/>
  <c r="CI103" i="1" a="1"/>
  <c r="AQ40" i="1" a="1"/>
  <c r="BB107" i="1" a="1"/>
  <c r="AF153" i="1" a="1"/>
  <c r="BB89" i="1" a="1"/>
  <c r="CI61" i="1" a="1"/>
  <c r="AQ124" i="1" a="1"/>
  <c r="BB101" i="1" a="1"/>
  <c r="BB40" i="1" a="1"/>
  <c r="AQ28" i="1" a="1"/>
  <c r="AF14" i="1" a="1"/>
  <c r="BB78" i="1" a="1"/>
  <c r="BB6" i="1" a="1"/>
  <c r="AF75" i="1" a="1"/>
  <c r="CI4" i="1" a="1"/>
  <c r="BB79" i="1" a="1"/>
  <c r="BX7" i="1" a="1"/>
  <c r="AQ149" i="1" a="1"/>
  <c r="BX66" i="1" a="1"/>
  <c r="AF40" i="1" a="1"/>
  <c r="BB52" i="1" a="1"/>
  <c r="AQ66" i="1" a="1"/>
  <c r="BM48" i="1" a="1"/>
  <c r="CD1" i="1" a="1"/>
  <c r="AQ36" i="1" a="1"/>
  <c r="AQ154" i="1" a="1"/>
  <c r="BX76" i="1" a="1"/>
  <c r="AQ10" i="1" a="1"/>
  <c r="AQ42" i="1" a="1"/>
  <c r="AQ100" i="1" a="1"/>
  <c r="AF100" i="1" a="1"/>
  <c r="BB34" i="1" a="1"/>
  <c r="BM80" i="1" a="1"/>
  <c r="CI86" i="1" a="1"/>
  <c r="BM100" i="1" a="1"/>
  <c r="BM12" i="1" a="1"/>
  <c r="BB49" i="1" a="1"/>
  <c r="BX69" i="1" a="1"/>
  <c r="BM24" i="1" a="1"/>
  <c r="BM21" i="1" a="1"/>
  <c r="BB103" i="1" a="1"/>
  <c r="BB131" i="1" a="1"/>
  <c r="AQ11" i="1" a="1"/>
  <c r="BB65" i="1" a="1"/>
  <c r="BB18" i="1" a="1"/>
  <c r="BM22" i="1" a="1"/>
  <c r="AF30" i="1" a="1"/>
  <c r="CI107" i="1" a="1"/>
  <c r="CI66" i="1" a="1"/>
  <c r="BB139" i="1" a="1"/>
  <c r="AQ141" i="1" a="1"/>
  <c r="BM102" i="1" a="1"/>
  <c r="BB28" i="1" a="1"/>
  <c r="CT88" i="1" a="1"/>
  <c r="CI74" i="1" a="1"/>
  <c r="BB70" i="1" a="1"/>
  <c r="BB68" i="1" a="1"/>
  <c r="BM43" i="1" a="1"/>
  <c r="AQ72" i="1" a="1"/>
  <c r="AF139" i="1" a="1"/>
  <c r="AQ78" i="1" a="1"/>
  <c r="CI79" i="1" a="1"/>
  <c r="AQ93" i="1" a="1"/>
  <c r="CT81" i="1" a="1"/>
  <c r="AF94" i="1" a="1"/>
  <c r="BB104" i="1" a="1"/>
  <c r="BM86" i="1" a="1"/>
  <c r="CT63" i="1" a="1"/>
  <c r="AF124" i="1" a="1"/>
  <c r="AQ47" i="1" a="1"/>
  <c r="BX59" i="1" a="1"/>
  <c r="AU56" i="1" a="1"/>
  <c r="BB63" i="1" a="1"/>
  <c r="CT28" i="1" a="1"/>
  <c r="BB7" i="1" a="1"/>
  <c r="BB118" i="1" a="1"/>
  <c r="CI19" i="1" a="1"/>
  <c r="BB95" i="1" a="1"/>
  <c r="AU1" i="1" a="1"/>
  <c r="AQ127" i="1" a="1"/>
  <c r="AF127" i="1" a="1"/>
  <c r="BM59" i="1" a="1"/>
  <c r="BB134" i="1" a="1"/>
  <c r="AQ41" i="1" a="1"/>
  <c r="BX9" i="1" a="1"/>
  <c r="BB159" i="1" a="1"/>
  <c r="BB48" i="1" a="1"/>
  <c r="AQ86" i="1" a="1"/>
  <c r="BM95" i="1" a="1"/>
  <c r="BM14" i="1" a="1"/>
  <c r="BB97" i="1" a="1"/>
  <c r="CI36" i="1" a="1"/>
  <c r="AQ12" i="1" a="1"/>
  <c r="AF4" i="1" a="1"/>
  <c r="BB151" i="1" a="1"/>
  <c r="BB149" i="1" a="1"/>
  <c r="CT95" i="1" a="1"/>
  <c r="CI62" i="1" a="1"/>
  <c r="BX10" i="1" a="1"/>
  <c r="CI22" i="1" a="1"/>
  <c r="CT16" i="1" a="1"/>
  <c r="BX41" i="1" a="1"/>
  <c r="CT73" i="1" a="1"/>
  <c r="AF154" i="1" a="1"/>
  <c r="AF70" i="1" a="1"/>
  <c r="BB156" i="1" a="1"/>
  <c r="CI98" i="1" a="1"/>
  <c r="BB13" i="1" a="1"/>
  <c r="CI37" i="1" a="1"/>
  <c r="AF137" i="1" a="1"/>
  <c r="CT72" i="1" a="1"/>
  <c r="AQ160" i="1" a="1"/>
  <c r="AF125" i="1" a="1"/>
  <c r="AQ115" i="1" a="1"/>
  <c r="BB130" i="1" a="1"/>
  <c r="AQ161" i="1" a="1"/>
  <c r="BX34" i="1" a="1"/>
  <c r="AQ132" i="1" a="1"/>
  <c r="BB116" i="1" a="1"/>
  <c r="AF128" i="1" a="1"/>
  <c r="CT24" i="1" a="1"/>
  <c r="BB148" i="1" a="1"/>
  <c r="BM79" i="1" a="1"/>
  <c r="CI43" i="1" a="1"/>
  <c r="CT91" i="1" a="1"/>
  <c r="CT66" i="1" a="1"/>
  <c r="CI71" i="1" a="1"/>
  <c r="CT94" i="1" a="1"/>
  <c r="AQ116" i="1" a="1"/>
  <c r="AQ20" i="1" a="1"/>
  <c r="AF44" i="1" a="1"/>
  <c r="BB72" i="1" a="1"/>
  <c r="AQ96" i="1" a="1"/>
  <c r="BM25" i="1" a="1"/>
  <c r="AQ103" i="1" a="1"/>
  <c r="BB88" i="1" a="1"/>
  <c r="AQ38" i="1" a="1"/>
  <c r="AF120" i="1" a="1"/>
  <c r="BM77" i="1" a="1"/>
  <c r="AF135" i="1" a="1"/>
  <c r="AF29" i="1" a="1"/>
  <c r="CI83" i="1" a="1"/>
  <c r="AF28" i="1" a="1"/>
  <c r="AF150" i="1" a="1"/>
  <c r="BB64" i="1" a="1"/>
  <c r="BM106" i="1" a="1"/>
  <c r="BB142" i="1" a="1"/>
  <c r="AQ44" i="1" a="1"/>
  <c r="BM104" i="1" a="1"/>
  <c r="BM90" i="1" a="1"/>
  <c r="CT50" i="1" a="1"/>
  <c r="BB14" i="1" a="1"/>
  <c r="CI34" i="1" a="1"/>
  <c r="CT22" i="1" a="1"/>
  <c r="AQ33" i="1" a="1"/>
  <c r="AF144" i="1" a="1"/>
  <c r="AF91" i="1" a="1"/>
  <c r="AQ34" i="1" a="1"/>
  <c r="CI35" i="1" a="1"/>
  <c r="CT82" i="1" a="1"/>
  <c r="CT59" i="1" a="1"/>
  <c r="AQ77" i="1" a="1"/>
  <c r="CT51" i="1" a="1"/>
  <c r="BM28" i="1" a="1"/>
  <c r="BX35" i="1" a="1"/>
  <c r="BX52" i="1" a="1"/>
  <c r="AF8" i="1" a="1"/>
  <c r="BX78" i="1" a="1"/>
  <c r="CI85" i="1" a="1"/>
  <c r="CI76" i="1" a="1"/>
  <c r="CM56" i="1" a="1"/>
  <c r="CI30" i="1" a="1"/>
  <c r="AF34" i="1" a="1"/>
  <c r="CT46" i="1" a="1"/>
  <c r="BM68" i="1" a="1"/>
  <c r="BB47" i="1" a="1"/>
  <c r="AF23" i="1" a="1"/>
  <c r="CT102" i="1" a="1"/>
  <c r="AQ151" i="1" a="1"/>
  <c r="AQ63" i="1" a="1"/>
  <c r="BX104" i="1" a="1"/>
  <c r="BX107" i="1" a="1"/>
  <c r="AF116" i="1" a="1"/>
  <c r="AF131" i="1" a="1"/>
  <c r="BM10" i="1" a="1"/>
  <c r="CO1" i="1" a="1"/>
  <c r="BX25" i="1" a="1"/>
  <c r="CI12" i="1" a="1"/>
  <c r="BB33" i="1" a="1"/>
  <c r="CT93" i="1" a="1"/>
  <c r="AQ83" i="1" a="1"/>
  <c r="BM99" i="1" a="1"/>
  <c r="CI100" i="1" a="1"/>
  <c r="AF95" i="1" a="1"/>
  <c r="CT75" i="1" a="1"/>
  <c r="CI73" i="1" a="1"/>
  <c r="CT47" i="1" a="1"/>
  <c r="BB60" i="1" a="1"/>
  <c r="BB17" i="1" a="1"/>
  <c r="AF36" i="1" a="1"/>
  <c r="AF133" i="1" a="1"/>
  <c r="AF103" i="1" a="1"/>
  <c r="BM35" i="1" a="1"/>
  <c r="AF92" i="1" a="1"/>
  <c r="AQ17" i="1" a="1"/>
  <c r="AF93" i="1" a="1"/>
  <c r="AQ117" i="1" a="1"/>
  <c r="CT49" i="1" a="1"/>
  <c r="BS1" i="1" a="1"/>
  <c r="AQ94" i="1" a="1"/>
  <c r="AF10" i="1" a="1"/>
  <c r="AF48" i="1" a="1"/>
  <c r="BB135" i="1" a="1"/>
  <c r="BM96" i="1" a="1"/>
  <c r="BX49" i="1" a="1"/>
  <c r="AU111" i="1" a="1"/>
  <c r="BM23" i="1" a="1"/>
  <c r="AQ147" i="1" a="1"/>
  <c r="BB37" i="1" a="1"/>
  <c r="AF162" i="1" a="1"/>
  <c r="BM34" i="1" a="1"/>
  <c r="BB16" i="1" a="1"/>
  <c r="BB132" i="1" a="1"/>
  <c r="CI31" i="1" a="1"/>
  <c r="AQ48" i="1" a="1"/>
  <c r="BB11" i="1" a="1"/>
  <c r="BM70" i="1" a="1"/>
  <c r="CT67" i="1" a="1"/>
  <c r="AF106" i="1" a="1"/>
  <c r="BX82" i="1" a="1"/>
  <c r="AQ67" i="1" a="1"/>
  <c r="BX16" i="1" a="1"/>
  <c r="AF19" i="1" a="1"/>
  <c r="CT42" i="1" a="1"/>
  <c r="BM20" i="1" a="1"/>
  <c r="AQ156" i="1" a="1"/>
  <c r="BX24" i="1" a="1"/>
  <c r="AF159" i="1" a="1"/>
  <c r="BB22" i="1" a="1"/>
  <c r="AQ155" i="1" a="1"/>
  <c r="AQ32" i="1" a="1"/>
  <c r="BX42" i="1" a="1"/>
  <c r="CI75" i="1" a="1"/>
  <c r="CI47" i="1" a="1"/>
  <c r="AQ129" i="1" a="1"/>
  <c r="CT76" i="1" a="1"/>
  <c r="CX56" i="1" a="1"/>
  <c r="CI46" i="1" a="1"/>
  <c r="CI16" i="1" a="1"/>
  <c r="CI44" i="1" a="1"/>
  <c r="AF142" i="1" a="1"/>
  <c r="CT20" i="1" a="1"/>
  <c r="BX86" i="1" a="1"/>
  <c r="CT86" i="1" a="1"/>
  <c r="BB31" i="1" a="1"/>
  <c r="BM71" i="1" a="1"/>
  <c r="AF11" i="1" a="1"/>
  <c r="AF143" i="1" a="1"/>
  <c r="AF5" i="1" a="1"/>
  <c r="AQ82" i="1" a="1"/>
  <c r="AF13" i="1" a="1"/>
  <c r="BB24" i="1" a="1"/>
  <c r="AQ7" i="1" a="1"/>
  <c r="BM27" i="1" a="1"/>
  <c r="AF118" i="1" a="1"/>
  <c r="BX47" i="1" a="1"/>
  <c r="AF114" i="1" a="1"/>
  <c r="BX36" i="1" a="1"/>
  <c r="AF104" i="1" a="1"/>
  <c r="CI78" i="1" a="1"/>
  <c r="CI21" i="1" a="1"/>
  <c r="BB105" i="1" a="1"/>
  <c r="BB51" i="1" a="1"/>
  <c r="AF67" i="1" a="1"/>
  <c r="CT60" i="1" a="1"/>
  <c r="BB87" i="1" a="1"/>
  <c r="BQ1" i="1" a="1"/>
  <c r="BM98" i="1" a="1"/>
  <c r="AQ121" i="1" a="1"/>
  <c r="CI99" i="1" a="1"/>
  <c r="BX31" i="1" a="1"/>
  <c r="CI5" i="1" a="1"/>
  <c r="BB66" i="1" a="1"/>
  <c r="AF71" i="1" a="1"/>
  <c r="CI105" i="1" a="1"/>
  <c r="BM32" i="1" a="1"/>
  <c r="AF121" i="1" a="1"/>
  <c r="AJ111" i="1" a="1"/>
  <c r="BB114" i="1" a="1"/>
  <c r="BB61" i="1" a="1"/>
  <c r="CT99" i="1" a="1"/>
  <c r="AQ39" i="1" a="1"/>
  <c r="BB76" i="1" a="1"/>
  <c r="AQ52" i="1" a="1"/>
  <c r="AF87" i="1" a="1"/>
  <c r="AF161" i="1" a="1"/>
  <c r="BX80" i="1" a="1"/>
  <c r="AQ97" i="1" a="1"/>
  <c r="AF52" i="1" a="1"/>
  <c r="AF22" i="1" a="1"/>
  <c r="AQ64" i="1" a="1"/>
  <c r="BX38" i="1" a="1"/>
  <c r="CT45" i="1" a="1"/>
  <c r="BB45" i="1" a="1"/>
  <c r="CI96" i="1" a="1"/>
  <c r="CT78" i="1" a="1"/>
  <c r="CT87" i="1" a="1"/>
  <c r="AF138" i="1" a="1"/>
  <c r="BX87" i="1" a="1"/>
  <c r="AQ29" i="1" a="1"/>
  <c r="BM97" i="1" a="1"/>
  <c r="CT48" i="1" a="1"/>
  <c r="AF68" i="1" a="1"/>
  <c r="AF49" i="1" a="1"/>
  <c r="CI88" i="1" a="1"/>
  <c r="BM17" i="1" a="1"/>
  <c r="BB133" i="1" a="1"/>
  <c r="BB155" i="1" a="1"/>
  <c r="BB119" i="1" a="1"/>
  <c r="BB71" i="1" a="1"/>
  <c r="BB44" i="1" a="1"/>
  <c r="AF156" i="1" a="1"/>
  <c r="BX48" i="1" a="1"/>
  <c r="CI23" i="1" a="1"/>
  <c r="AQ80" i="1" a="1"/>
  <c r="AQ31" i="1" a="1"/>
  <c r="BX94" i="1" a="1"/>
  <c r="CT41" i="1" a="1"/>
  <c r="BX70" i="1" a="1"/>
  <c r="CI17" i="1" a="1"/>
  <c r="CT105" i="1" a="1"/>
  <c r="BX84" i="1" a="1"/>
  <c r="AF140" i="1" a="1"/>
  <c r="CT107" i="1" a="1"/>
  <c r="BB129" i="1" a="1"/>
  <c r="CT5" i="1" a="1"/>
  <c r="CI64" i="1" a="1"/>
  <c r="BX90" i="1" a="1"/>
  <c r="AQ150" i="1" a="1"/>
  <c r="AF46" i="1" a="1"/>
  <c r="CT85" i="1" a="1"/>
  <c r="AF38" i="1" a="1"/>
  <c r="AQ90" i="1" a="1"/>
  <c r="AJ56" i="1" a="1"/>
  <c r="AF85" i="1" a="1"/>
  <c r="CI59" i="1" a="1"/>
  <c r="BM93" i="1" a="1"/>
  <c r="BB82" i="1" a="1"/>
  <c r="BX60" i="1" a="1"/>
  <c r="CI7" i="1" a="1"/>
  <c r="AF96" i="1" a="1"/>
  <c r="BM84" i="1" a="1"/>
  <c r="BB39" i="1" a="1"/>
  <c r="AQ8" i="1" a="1"/>
  <c r="BB77" i="1" a="1"/>
  <c r="BH56" i="1" a="1"/>
  <c r="AQ6" i="1" a="1"/>
  <c r="AQ61" i="1" a="1"/>
  <c r="AF69" i="1" a="1"/>
  <c r="BX44" i="1" a="1"/>
  <c r="BB141" i="1" a="1"/>
  <c r="CT98" i="1" a="1"/>
  <c r="AQ114" i="1" a="1"/>
  <c r="CT52" i="1" a="1"/>
  <c r="AQ35" i="1" a="1"/>
  <c r="BB126" i="1" a="1"/>
  <c r="CT64" i="1" a="1"/>
  <c r="BM13" i="1" a="1"/>
  <c r="BB10" i="1" a="1"/>
  <c r="CI24" i="1" a="1"/>
  <c r="CT25" i="1" a="1"/>
  <c r="AQ46" i="1" a="1"/>
  <c r="CX1" i="1" a="1"/>
  <c r="CT4" i="1" a="1"/>
  <c r="AF35" i="1" a="1"/>
  <c r="BX103" i="1" a="1"/>
  <c r="BM85" i="1" a="1"/>
  <c r="BF111" i="1" a="1"/>
  <c r="BX17" i="1" a="1"/>
  <c r="AQ76" i="1" a="1"/>
  <c r="CT80" i="1" a="1"/>
  <c r="BM16" i="1" a="1"/>
  <c r="AF160" i="1" a="1"/>
  <c r="BM47" i="1" a="1"/>
  <c r="CI77" i="1" a="1"/>
  <c r="AQ99" i="1" a="1"/>
  <c r="BX67" i="1" a="1"/>
  <c r="BM18" i="1" a="1"/>
  <c r="BB140" i="1" a="1"/>
  <c r="AF107" i="1" a="1"/>
  <c r="AQ152" i="1" a="1"/>
  <c r="AQ59" i="1" a="1"/>
  <c r="BB127" i="1" a="1"/>
  <c r="BX62" i="1" a="1"/>
  <c r="BM105" i="1" a="1"/>
  <c r="CI50" i="1" a="1"/>
  <c r="BX20" i="1" a="1"/>
  <c r="BB121" i="1" a="1"/>
  <c r="AL111" i="1" a="1"/>
  <c r="AW1" i="1" a="1"/>
  <c r="AF155" i="1" a="1"/>
  <c r="CI33" i="1" a="1"/>
  <c r="BB162" i="1" a="1"/>
  <c r="CI90" i="1" a="1"/>
  <c r="BX19" i="1" a="1"/>
  <c r="CT62" i="1" a="1"/>
  <c r="CI70" i="1" a="1"/>
  <c r="CT6" i="1" a="1"/>
  <c r="AF141" i="1" a="1"/>
  <c r="BX39" i="1" a="1"/>
  <c r="BF1" i="1" a="1"/>
  <c r="AQ75" i="1" a="1"/>
  <c r="BB106" i="1" a="1"/>
  <c r="BB143" i="1" a="1"/>
  <c r="BB62" i="1" a="1"/>
  <c r="BX97" i="1" a="1"/>
  <c r="AF89" i="1" a="1"/>
  <c r="BB91" i="1" a="1"/>
  <c r="BX93" i="1" a="1"/>
  <c r="BB41" i="1" a="1"/>
  <c r="AQ105" i="1" a="1"/>
  <c r="CI68" i="1" a="1"/>
  <c r="AF101" i="1" a="1"/>
  <c r="AF98" i="1" a="1"/>
  <c r="BX88" i="1" a="1"/>
  <c r="CI13" i="1" a="1"/>
  <c r="BM45" i="1" a="1"/>
  <c r="CT69" i="1" a="1"/>
  <c r="BM65" i="1" a="1"/>
  <c r="AF80" i="1" a="1"/>
  <c r="AF146" i="1" a="1"/>
  <c r="AQ135" i="1" a="1"/>
  <c r="CI39" i="1" a="1"/>
  <c r="AQ84" i="1" a="1"/>
  <c r="BB128" i="1" a="1"/>
  <c r="BM89" i="1" a="1"/>
  <c r="AQ136" i="1" a="1"/>
  <c r="CI38" i="1" a="1"/>
  <c r="AF51" i="1" a="1"/>
  <c r="AF81" i="1" a="1"/>
  <c r="AF122" i="1" a="1"/>
  <c r="BX8" i="1" a="1"/>
  <c r="BB74" i="1" a="1"/>
  <c r="BB73" i="1" a="1"/>
  <c r="BX13" i="1" a="1"/>
  <c r="AF119" i="1" a="1"/>
  <c r="CT77" i="1" a="1"/>
  <c r="BM69" i="1" a="1"/>
  <c r="CI65" i="1" a="1"/>
  <c r="AQ92" i="1" a="1"/>
  <c r="AF83" i="1" a="1"/>
  <c r="CT9" i="1" a="1"/>
  <c r="CI18" i="1" a="1"/>
  <c r="AF136" i="1" a="1"/>
  <c r="CT40" i="1" a="1"/>
  <c r="BM40" i="1" a="1"/>
  <c r="CI67" i="1" a="1"/>
  <c r="AF82" i="1" a="1"/>
  <c r="BX40" i="1" a="1"/>
  <c r="AF15" i="1" a="1"/>
  <c r="CT19" i="1" a="1"/>
  <c r="BM81" i="1" a="1"/>
  <c r="BB150" i="1" a="1"/>
  <c r="BM44" i="1" a="1"/>
  <c r="CT61" i="1" a="1"/>
  <c r="BB161" i="1" a="1"/>
  <c r="AQ43" i="1" a="1"/>
  <c r="AQ19" i="1" a="1"/>
  <c r="AF126" i="1" a="1"/>
  <c r="AF88" i="1" a="1"/>
  <c r="CT103" i="1" a="1"/>
  <c r="BX45" i="1" a="1"/>
  <c r="AQ143" i="1" a="1"/>
  <c r="AQ131" i="1" a="1"/>
  <c r="CI87" i="1" a="1"/>
  <c r="BM6" i="1" a="1"/>
  <c r="BM87" i="1" a="1"/>
  <c r="CI89" i="1" a="1"/>
  <c r="BM64" i="1" a="1"/>
  <c r="BX33" i="1" a="1"/>
  <c r="BM60" i="1" a="1"/>
  <c r="BM88" i="1" a="1"/>
  <c r="AF62" i="1" a="1"/>
  <c r="AF157" i="1" a="1"/>
  <c r="BB93" i="1" a="1"/>
  <c r="AQ60" i="1" a="1"/>
  <c r="BB137" i="1" a="1"/>
  <c r="CT84" i="1" a="1"/>
  <c r="AF129" i="1" a="1"/>
  <c r="BM94" i="1" a="1"/>
  <c r="BB19" i="1" a="1"/>
  <c r="CT35" i="1" a="1"/>
  <c r="AF151" i="1" a="1"/>
  <c r="BB46" i="1" a="1"/>
  <c r="CI69" i="1" a="1"/>
  <c r="BB85" i="1" a="1"/>
  <c r="BM73" i="1" a="1"/>
  <c r="AW56" i="1" a="1"/>
  <c r="AQ25" i="1" a="1"/>
  <c r="AF66" i="1" a="1"/>
  <c r="CI6" i="1" a="1"/>
  <c r="CO56" i="1" a="1"/>
  <c r="AQ118" i="1" a="1"/>
  <c r="AF59" i="1" a="1"/>
  <c r="BB125" i="1" a="1"/>
  <c r="AQ144" i="1" a="1"/>
  <c r="BM33" i="1" a="1"/>
  <c r="AQ26" i="1" a="1"/>
  <c r="BM30" i="1" a="1"/>
  <c r="BB21" i="1" a="1"/>
  <c r="AF63" i="1" a="1"/>
  <c r="CT38" i="1" a="1"/>
  <c r="AQ85" i="1" a="1"/>
  <c r="CI82" i="1" a="1"/>
  <c r="CT90" i="1" a="1"/>
  <c r="BB115" i="1" a="1"/>
  <c r="BX98" i="1" a="1"/>
  <c r="CI20" i="1" a="1"/>
  <c r="BM31" i="1" a="1"/>
  <c r="BX101" i="1" a="1"/>
  <c r="AQ125" i="1" a="1"/>
  <c r="AF158" i="1" a="1"/>
  <c r="AQ49" i="1" a="1"/>
  <c r="AF102" i="1" a="1"/>
  <c r="BM39" i="1" a="1"/>
  <c r="BH1" i="1" a="1"/>
  <c r="BB94" i="1" a="1"/>
  <c r="BM26" i="1" a="1"/>
  <c r="BH111" i="1" a="1"/>
  <c r="BX105" i="1" a="1"/>
  <c r="BB15" i="1" a="1"/>
  <c r="CI80" i="1" a="1"/>
  <c r="CM1" i="1" a="1"/>
  <c r="AF99" i="1" a="1"/>
  <c r="AQ142" i="1" a="1"/>
  <c r="BM78" i="1" a="1"/>
  <c r="CI60" i="1" a="1"/>
  <c r="CI94" i="1" a="1"/>
  <c r="AQ139" i="1" a="1"/>
  <c r="CT106" i="1" a="1"/>
  <c r="CT79" i="1" a="1"/>
  <c r="BM107" i="1" a="1"/>
  <c r="BM91" i="1" a="1"/>
  <c r="AF41" i="1" a="1"/>
  <c r="BM61" i="1" a="1"/>
  <c r="AF147" i="1" a="1"/>
  <c r="AQ133" i="1" a="1"/>
  <c r="AF45" i="1" a="1"/>
  <c r="CT10" i="1" a="1"/>
  <c r="CT74" i="1" a="1"/>
  <c r="AF97" i="1" a="1"/>
  <c r="BB146" i="1" a="1"/>
  <c r="BM75" i="1" a="1"/>
  <c r="BB153" i="1" a="1"/>
  <c r="AF79" i="1" a="1"/>
  <c r="BX91" i="1" a="1"/>
  <c r="BB81" i="1" a="1"/>
  <c r="CT71" i="1" a="1"/>
  <c r="AF132" i="1" a="1"/>
  <c r="AF117" i="1" a="1"/>
  <c r="AQ102" i="1" a="1"/>
  <c r="BB36" i="1" a="1"/>
  <c r="AQ81" i="1" a="1"/>
  <c r="CI8" i="1" a="1"/>
  <c r="BX12" i="1" a="1"/>
  <c r="AF64" i="1" a="1"/>
  <c r="BM49" i="1" a="1"/>
  <c r="AF84" i="1" a="1"/>
  <c r="BB42" i="1" a="1"/>
  <c r="CT17" i="1" a="1"/>
  <c r="AQ62" i="1" a="1"/>
  <c r="BM29" i="1" a="1"/>
  <c r="BM9" i="1" a="1"/>
  <c r="AQ120" i="1" a="1"/>
  <c r="CI26" i="1" a="1"/>
  <c r="BB92" i="1" a="1"/>
  <c r="BM15" i="1" a="1"/>
  <c r="BM92" i="1" a="1"/>
  <c r="CI84" i="1" a="1"/>
  <c r="CT83" i="1" a="1"/>
  <c r="BX64" i="1" a="1"/>
  <c r="AF50" i="1" a="1"/>
  <c r="CT97" i="1" a="1"/>
  <c r="CI28" i="1" a="1"/>
  <c r="CI29" i="1" a="1"/>
  <c r="AQ122" i="1" a="1"/>
  <c r="BB160" i="1" a="1"/>
  <c r="BM50" i="1" a="1"/>
  <c r="AL56" i="1" a="1"/>
  <c r="BM66" i="1" a="1"/>
  <c r="BB8" i="1" a="1"/>
  <c r="BM37" i="1" a="1"/>
  <c r="AQ134" i="1" a="1"/>
  <c r="AF26" i="1" a="1"/>
  <c r="AQ70" i="1" a="1"/>
  <c r="CI63" i="1" a="1"/>
  <c r="AQ22" i="1" a="1"/>
  <c r="AQ27" i="1" a="1"/>
  <c r="CT68" i="1" a="1"/>
  <c r="AQ45" i="1" a="1"/>
  <c r="AQ91" i="1" a="1"/>
  <c r="BB98" i="1" a="1"/>
  <c r="CT30" i="1" a="1"/>
  <c r="AQ104" i="1" a="1"/>
  <c r="AF37" i="1" a="1"/>
  <c r="AQ153" i="1" a="1"/>
  <c r="BM82" i="1" a="1"/>
  <c r="BM46" i="1" a="1"/>
  <c r="BX23" i="1" a="1"/>
  <c r="AQ106" i="1" a="1"/>
  <c r="BB86" i="1" a="1"/>
  <c r="AF33" i="1" a="1"/>
  <c r="CB1" i="1" a="1"/>
  <c r="AQ24" i="1" a="1"/>
  <c r="CD56" i="1" a="1"/>
  <c r="BX14" i="1" a="1"/>
  <c r="BB145" i="1" a="1"/>
  <c r="BX65" i="1" a="1"/>
  <c r="AF152" i="1" a="1"/>
  <c r="AF61" i="1" a="1"/>
  <c r="CI51" i="1" a="1"/>
  <c r="BB4" i="1" a="1"/>
  <c r="AL1" i="1" a="1"/>
  <c r="BB144" i="1" a="1"/>
  <c r="CI10" i="1" a="1"/>
  <c r="BX61" i="1" a="1"/>
  <c r="CI9" i="1" a="1"/>
  <c r="CT15" i="1" a="1"/>
  <c r="AQ37" i="1" a="1"/>
  <c r="BX11" i="1" a="1"/>
  <c r="AQ140" i="1" a="1"/>
  <c r="AF130" i="1" a="1"/>
  <c r="AF27" i="1" a="1"/>
  <c r="CT70" i="1" a="1"/>
  <c r="BB147" i="1" a="1"/>
  <c r="CI81" i="1" a="1"/>
  <c r="BX68" i="1" a="1"/>
  <c r="AQ15" i="1" a="1"/>
  <c r="BX30" i="1" a="1"/>
  <c r="BB29" i="1" a="1"/>
  <c r="CT36" i="1" a="1"/>
  <c r="CT23" i="1" a="1"/>
  <c r="BM41" i="1" a="1"/>
  <c r="CI42" i="1" a="1"/>
  <c r="AQ50" i="1" a="1"/>
  <c r="CI14" i="1" a="1"/>
  <c r="BX26" i="1" a="1"/>
  <c r="BX21" i="1" a="1"/>
  <c r="BM51" i="1" a="1"/>
  <c r="AQ16" i="1" a="1"/>
  <c r="AF77" i="1" a="1"/>
  <c r="AQ119" i="1" a="1"/>
  <c r="AQ137" i="1" a="1"/>
  <c r="CZ1" i="1" a="1"/>
  <c r="AF78" i="1" a="1"/>
  <c r="BX50" i="1" a="1"/>
  <c r="AF21" i="1" a="1"/>
  <c r="BM5" i="1" a="1"/>
  <c r="BB100" i="1" a="1"/>
  <c r="CT96" i="1" a="1"/>
  <c r="BX29" i="1" a="1"/>
  <c r="BB30" i="1" a="1"/>
  <c r="BX106" i="1" a="1"/>
  <c r="CT39" i="1" a="1"/>
  <c r="CT32" i="1" a="1"/>
  <c r="AQ87" i="1" a="1"/>
  <c r="BX22" i="1" a="1"/>
  <c r="BM101" i="1" a="1"/>
  <c r="BB75" i="1" a="1"/>
  <c r="CI49" i="1" a="1"/>
  <c r="AQ95" i="1" a="1"/>
  <c r="AQ74" i="1" a="1"/>
  <c r="BX51" i="1" a="1"/>
  <c r="BB158" i="1" a="1"/>
  <c r="AF65" i="1" a="1"/>
  <c r="AQ145" i="1" a="1"/>
  <c r="AF149" i="1" a="1"/>
  <c r="AQ68" i="1" a="1"/>
  <c r="AQ158" i="1" a="1"/>
  <c r="AF123" i="1" a="1"/>
  <c r="BB102" i="1" a="1"/>
  <c r="BM83" i="1" a="1"/>
  <c r="AQ107" i="1" a="1"/>
  <c r="AQ14" i="1" a="1"/>
  <c r="BX81" i="1" a="1"/>
  <c r="AF74" i="1" a="1"/>
  <c r="AQ157" i="1" a="1"/>
  <c r="AQ128" i="1" a="1"/>
  <c r="CT29" i="1" a="1"/>
  <c r="CI41" i="1" a="1"/>
  <c r="BB27" i="1" a="1"/>
  <c r="BX85" i="1" a="1"/>
  <c r="AQ148" i="1" a="1"/>
  <c r="AQ23" i="1" a="1"/>
  <c r="CI40" i="1" a="1"/>
  <c r="BM62" i="1" a="1"/>
  <c r="CT34" i="1" a="1"/>
  <c r="BS56" i="1" a="1"/>
  <c r="BX37" i="1" a="1"/>
  <c r="BB157" i="1" a="1"/>
  <c r="BM67" i="1" a="1"/>
  <c r="CI93" i="1" a="1"/>
  <c r="AQ9" i="1" a="1"/>
  <c r="AQ51" i="1" a="1"/>
  <c r="AQ159" i="1" a="1"/>
  <c r="BQ56" i="1" a="1"/>
  <c r="BX73" i="1" a="1"/>
  <c r="BB38" i="1" a="1"/>
  <c r="AF43" i="1" a="1"/>
  <c r="BX18" i="1" a="1"/>
  <c r="BX92" i="1" a="1"/>
  <c r="CT100" i="1" a="1"/>
  <c r="BB80" i="1" a="1"/>
  <c r="AQ30" i="1" a="1"/>
  <c r="BX72" i="1" a="1"/>
  <c r="BX102" i="1" a="1"/>
  <c r="AQ89" i="1" a="1"/>
  <c r="BX5" i="1" a="1"/>
  <c r="CT27" i="1" a="1"/>
  <c r="AQ21" i="1" a="1"/>
  <c r="BB154" i="1" a="1"/>
  <c r="BX99" i="1" a="1"/>
  <c r="CI72" i="1" a="1"/>
  <c r="AQ98" i="1" a="1"/>
  <c r="BB50" i="1" a="1"/>
  <c r="AF31" i="1" a="1"/>
  <c r="BX71" i="1" a="1"/>
  <c r="CI48" i="1" a="1"/>
  <c r="AF7" i="1" a="1"/>
  <c r="BM52" i="1" a="1"/>
  <c r="BB32" i="1" a="1"/>
  <c r="BX28" i="1" a="1"/>
  <c r="AF145" i="1" a="1"/>
  <c r="AQ88" i="1" a="1"/>
  <c r="BX27" i="1" a="1"/>
  <c r="CI15" i="1" a="1"/>
  <c r="AQ65" i="1" a="1"/>
  <c r="CT43" i="1" a="1"/>
  <c r="CT31" i="1" a="1"/>
  <c r="AF9" i="1" a="1"/>
  <c r="AF24" i="1" a="1"/>
  <c r="BB152" i="1" a="1"/>
  <c r="CT104" i="1" a="1"/>
  <c r="CI25" i="1" a="1"/>
  <c r="CT92" i="1" a="1"/>
  <c r="BB96" i="1" a="1"/>
  <c r="BM74" i="1" a="1"/>
  <c r="BX74" i="1" a="1"/>
  <c r="BB35" i="1" a="1"/>
  <c r="AW111" i="1" a="1"/>
  <c r="CT11" i="1" a="1"/>
  <c r="BB12" i="1" a="1"/>
  <c r="BB124" i="1" a="1"/>
  <c r="AF76" i="1" a="1"/>
  <c r="AQ162" i="1" a="1"/>
  <c r="BM38" i="1" a="1"/>
  <c r="CI92" i="1" a="1"/>
  <c r="AQ71" i="1" a="1"/>
  <c r="CT21" i="1" a="1"/>
  <c r="AF148" i="1" a="1"/>
  <c r="CT18" i="1" a="1"/>
  <c r="BB83" i="1" a="1"/>
  <c r="BX6" i="1" a="1"/>
  <c r="BB67" i="1" a="1"/>
  <c r="CT44" i="1" a="1"/>
  <c r="BX89" i="1" a="1"/>
  <c r="AQ5" i="1" a="1"/>
  <c r="BB117" i="1" a="1"/>
  <c r="BX43" i="1" a="1"/>
  <c r="BX46" i="1" a="1"/>
  <c r="BB20" i="1" a="1"/>
  <c r="CT7" i="1" a="1"/>
  <c r="AF17" i="1" a="1"/>
  <c r="AQ69" i="1" a="1"/>
  <c r="BM4" i="1" a="1"/>
  <c r="BX63" i="1" a="1"/>
  <c r="AF115" i="1" a="1"/>
  <c r="CT89" i="1" a="1"/>
  <c r="BB43" i="1" a="1"/>
  <c r="AF42" i="1" a="1"/>
  <c r="AQ79" i="1" a="1"/>
  <c r="AF73" i="1" a="1"/>
  <c r="AF60" i="1" a="1"/>
  <c r="AQ101" i="1" a="1"/>
  <c r="BX96" i="1" a="1"/>
  <c r="AF90" i="1" a="1"/>
  <c r="CI101" i="1" a="1"/>
  <c r="BM19" i="1" a="1"/>
  <c r="BX32" i="1" a="1"/>
  <c r="CI32" i="1" a="1"/>
  <c r="AF47" i="1" a="1"/>
  <c r="BM63" i="1" a="1"/>
  <c r="BB69" i="1" a="1"/>
  <c r="BM76" i="1" a="1"/>
  <c r="AQ4" i="1" a="1"/>
  <c r="CI106" i="1" a="1"/>
  <c r="AF6" i="1" a="1"/>
  <c r="CI27" i="1" a="1"/>
  <c r="BB138" i="1" a="1"/>
  <c r="BB122" i="1" a="1"/>
  <c r="AQ123" i="1" a="1"/>
  <c r="CI52" i="1" a="1"/>
  <c r="CT14" i="1" a="1"/>
  <c r="BM11" i="1" a="1"/>
  <c r="BX95" i="1" a="1"/>
  <c r="AF134" i="1" a="1"/>
  <c r="AF86" i="1" a="1"/>
  <c r="BB5" i="1" a="1"/>
  <c r="BB120" i="1" a="1"/>
  <c r="BX83" i="1" a="1"/>
  <c r="BX15" i="1" a="1"/>
  <c r="AF105" i="1" a="1"/>
  <c r="CI102" i="1" a="1"/>
  <c r="CI104" i="1" a="1"/>
  <c r="BB136" i="1" a="1"/>
  <c r="BX75" i="1" a="1"/>
  <c r="BB26" i="1" a="1"/>
  <c r="AQ130" i="1" a="1"/>
  <c r="BM42" i="1" a="1"/>
  <c r="AQ146" i="1" a="1"/>
  <c r="BB25" i="1" a="1"/>
  <c r="CT37" i="1" a="1"/>
  <c r="AF72" i="1" a="1"/>
  <c r="CI91" i="1" a="1"/>
  <c r="CT26" i="1" a="1"/>
  <c r="AF25" i="1" a="1"/>
  <c r="AF32" i="1" a="1"/>
  <c r="CT33" i="1" a="1"/>
  <c r="BB23" i="1" a="1"/>
  <c r="BB90" i="1" a="1"/>
  <c r="CT12" i="1" a="1"/>
  <c r="BX100" i="1" a="1"/>
  <c r="BB99" i="1" a="1"/>
  <c r="BB9" i="1" a="1"/>
  <c r="CZ56" i="1" a="1"/>
  <c r="BF56" i="1" a="1"/>
  <c r="CT65" i="1" a="1"/>
  <c r="AQ73" i="1" a="1"/>
  <c r="AQ126" i="1" a="1"/>
  <c r="AJ1" i="1" a="1"/>
  <c r="CT101" i="1" a="1"/>
  <c r="CI45" i="1" a="1"/>
  <c r="BM72" i="1" a="1"/>
  <c r="BM7" i="1" a="1"/>
  <c r="CT8" i="1" a="1"/>
  <c r="AF12" i="1" a="1"/>
  <c r="BM36" i="1" a="1"/>
  <c r="CI95" i="1" a="1"/>
  <c r="BB123" i="1" a="1"/>
  <c r="AF39" i="1" a="1"/>
  <c r="CB56" i="1" a="1"/>
  <c r="BB84" i="1" a="1"/>
  <c r="BM8" i="1" a="1"/>
  <c r="CI11" i="1" a="1"/>
  <c r="BX77" i="1" a="1"/>
  <c r="AF20" i="1" a="1"/>
  <c r="AF16" i="1" a="1"/>
  <c r="BM103" i="1" a="1"/>
  <c r="AA67" i="1" l="1"/>
  <c r="AC74" i="1"/>
  <c r="X75" i="1" s="1"/>
  <c r="U105" i="1"/>
  <c r="Q104" i="1"/>
  <c r="Q102" i="1"/>
  <c r="Q101" i="1"/>
  <c r="Q105" i="1"/>
  <c r="Q103" i="1"/>
  <c r="S105" i="1"/>
  <c r="U39" i="1"/>
  <c r="P40" i="1" s="1"/>
  <c r="S103" i="1"/>
  <c r="Q90" i="1"/>
  <c r="Q89" i="1"/>
  <c r="Q77" i="1"/>
  <c r="Q65" i="1"/>
  <c r="Q53" i="1"/>
  <c r="Q41" i="1"/>
  <c r="Q29" i="1"/>
  <c r="Q17" i="1"/>
  <c r="Q5" i="1"/>
  <c r="Q100" i="1"/>
  <c r="Q88" i="1"/>
  <c r="Q76" i="1"/>
  <c r="Q64" i="1"/>
  <c r="Q52" i="1"/>
  <c r="Q40" i="1"/>
  <c r="Q28" i="1"/>
  <c r="Q16" i="1"/>
  <c r="Q4" i="1"/>
  <c r="Q99" i="1"/>
  <c r="Q87" i="1"/>
  <c r="Q75" i="1"/>
  <c r="Q63" i="1"/>
  <c r="Q51" i="1"/>
  <c r="Q39" i="1"/>
  <c r="Q27" i="1"/>
  <c r="Q15" i="1"/>
  <c r="Q98" i="1"/>
  <c r="Q86" i="1"/>
  <c r="Q74" i="1"/>
  <c r="Q62" i="1"/>
  <c r="Q50" i="1"/>
  <c r="Q38" i="1"/>
  <c r="Q26" i="1"/>
  <c r="Q14" i="1"/>
  <c r="Q85" i="1"/>
  <c r="Q73" i="1"/>
  <c r="Q61" i="1"/>
  <c r="Q49" i="1"/>
  <c r="Q37" i="1"/>
  <c r="Q25" i="1"/>
  <c r="Q13" i="1"/>
  <c r="Q84" i="1"/>
  <c r="Q72" i="1"/>
  <c r="Q60" i="1"/>
  <c r="Q48" i="1"/>
  <c r="Q36" i="1"/>
  <c r="Q24" i="1"/>
  <c r="Q12" i="1"/>
  <c r="Q97" i="1"/>
  <c r="Q96" i="1"/>
  <c r="Q95" i="1"/>
  <c r="Q83" i="1"/>
  <c r="Q71" i="1"/>
  <c r="Q59" i="1"/>
  <c r="Q47" i="1"/>
  <c r="Q35" i="1"/>
  <c r="Q23" i="1"/>
  <c r="Q11" i="1"/>
  <c r="Q82" i="1"/>
  <c r="Q70" i="1"/>
  <c r="Q58" i="1"/>
  <c r="Q46" i="1"/>
  <c r="Q34" i="1"/>
  <c r="Q22" i="1"/>
  <c r="Q10" i="1"/>
  <c r="Q81" i="1"/>
  <c r="Q69" i="1"/>
  <c r="Q57" i="1"/>
  <c r="Q45" i="1"/>
  <c r="Q33" i="1"/>
  <c r="Q21" i="1"/>
  <c r="Q9" i="1"/>
  <c r="Q94" i="1"/>
  <c r="Q93" i="1"/>
  <c r="Q92" i="1"/>
  <c r="Q80" i="1"/>
  <c r="Q68" i="1"/>
  <c r="Q56" i="1"/>
  <c r="Q44" i="1"/>
  <c r="Q32" i="1"/>
  <c r="Q20" i="1"/>
  <c r="Q8" i="1"/>
  <c r="Q79" i="1"/>
  <c r="Q67" i="1"/>
  <c r="Q55" i="1"/>
  <c r="Q43" i="1"/>
  <c r="Q31" i="1"/>
  <c r="Q19" i="1"/>
  <c r="Q7" i="1"/>
  <c r="Q78" i="1"/>
  <c r="Q66" i="1"/>
  <c r="Q54" i="1"/>
  <c r="Q42" i="1"/>
  <c r="Q30" i="1"/>
  <c r="Q18" i="1"/>
  <c r="Q6" i="1"/>
  <c r="Q91" i="1"/>
  <c r="U12" i="1"/>
  <c r="P13" i="1" s="1"/>
  <c r="U5" i="1"/>
  <c r="P6" i="1" s="1"/>
  <c r="S71" i="1"/>
  <c r="U45" i="1"/>
  <c r="P46" i="1" s="1"/>
  <c r="S84" i="1"/>
  <c r="S42" i="1"/>
  <c r="S9" i="1"/>
  <c r="U71" i="1"/>
  <c r="P72" i="1" s="1"/>
  <c r="S49" i="1"/>
  <c r="CZ71" i="1"/>
  <c r="DB99" i="1"/>
  <c r="CW100" i="1" s="1"/>
  <c r="DB82" i="1"/>
  <c r="CW83" i="1" s="1"/>
  <c r="DB94" i="1"/>
  <c r="CW95" i="1" s="1"/>
  <c r="CZ102" i="1"/>
  <c r="CZ90" i="1"/>
  <c r="CQ91" i="1"/>
  <c r="CL92" i="1" s="1"/>
  <c r="CO89" i="1"/>
  <c r="CQ79" i="1"/>
  <c r="CL80" i="1" s="1"/>
  <c r="CQ67" i="1"/>
  <c r="CL68" i="1" s="1"/>
  <c r="CO72" i="1"/>
  <c r="CQ65" i="1"/>
  <c r="CL66" i="1" s="1"/>
  <c r="CO94" i="1"/>
  <c r="CO82" i="1"/>
  <c r="CQ72" i="1"/>
  <c r="CL73" i="1" s="1"/>
  <c r="CO70" i="1"/>
  <c r="CQ88" i="1"/>
  <c r="CL89" i="1" s="1"/>
  <c r="CD92" i="1"/>
  <c r="CF61" i="1"/>
  <c r="CA62" i="1" s="1"/>
  <c r="CF70" i="1"/>
  <c r="CA71" i="1" s="1"/>
  <c r="CF88" i="1"/>
  <c r="CA89" i="1" s="1"/>
  <c r="CF94" i="1"/>
  <c r="CA95" i="1" s="1"/>
  <c r="CF74" i="1"/>
  <c r="CA75" i="1" s="1"/>
  <c r="CD82" i="1"/>
  <c r="CD77" i="1"/>
  <c r="CF72" i="1"/>
  <c r="CA73" i="1" s="1"/>
  <c r="CF100" i="1"/>
  <c r="CA101" i="1" s="1"/>
  <c r="CF68" i="1"/>
  <c r="CA69" i="1" s="1"/>
  <c r="CD101" i="1"/>
  <c r="CD84" i="1"/>
  <c r="CD86" i="1"/>
  <c r="CF63" i="1"/>
  <c r="CA64" i="1" s="1"/>
  <c r="CF65" i="1"/>
  <c r="CA66" i="1" s="1"/>
  <c r="CD94" i="1"/>
  <c r="CF96" i="1"/>
  <c r="CA97" i="1" s="1"/>
  <c r="CF78" i="1"/>
  <c r="CA79" i="1" s="1"/>
  <c r="CD100" i="1"/>
  <c r="CD67" i="1"/>
  <c r="CF81" i="1"/>
  <c r="CA82" i="1" s="1"/>
  <c r="CD83" i="1"/>
  <c r="CF95" i="1"/>
  <c r="CA96" i="1" s="1"/>
  <c r="CF91" i="1"/>
  <c r="CA92" i="1" s="1"/>
  <c r="CD102" i="1"/>
  <c r="CF59" i="1"/>
  <c r="CA60" i="1" s="1"/>
  <c r="CD99" i="1"/>
  <c r="CD85" i="1"/>
  <c r="CD68" i="1"/>
  <c r="CD66" i="1"/>
  <c r="CD97" i="1"/>
  <c r="CD103" i="1"/>
  <c r="CF92" i="1"/>
  <c r="CA93" i="1" s="1"/>
  <c r="CD74" i="1"/>
  <c r="CD91" i="1"/>
  <c r="CD70" i="1"/>
  <c r="CF80" i="1"/>
  <c r="CA81" i="1" s="1"/>
  <c r="CD98" i="1"/>
  <c r="CF99" i="1"/>
  <c r="CA100" i="1" s="1"/>
  <c r="CD78" i="1"/>
  <c r="CF67" i="1"/>
  <c r="CA68" i="1" s="1"/>
  <c r="CF75" i="1"/>
  <c r="CA76" i="1" s="1"/>
  <c r="CF83" i="1"/>
  <c r="CA84" i="1" s="1"/>
  <c r="CD75" i="1"/>
  <c r="CD71" i="1"/>
  <c r="CD87" i="1"/>
  <c r="CD89" i="1"/>
  <c r="CF84" i="1"/>
  <c r="CA85" i="1" s="1"/>
  <c r="CD63" i="1"/>
  <c r="BS93" i="1"/>
  <c r="BU74" i="1"/>
  <c r="BP75" i="1" s="1"/>
  <c r="BS76" i="1"/>
  <c r="BS65" i="1"/>
  <c r="BU84" i="1"/>
  <c r="BP85" i="1" s="1"/>
  <c r="BU80" i="1"/>
  <c r="BP81" i="1" s="1"/>
  <c r="BS67" i="1"/>
  <c r="BS59" i="1"/>
  <c r="BU70" i="1"/>
  <c r="BP71" i="1" s="1"/>
  <c r="BS102" i="1"/>
  <c r="BU67" i="1"/>
  <c r="BP68" i="1" s="1"/>
  <c r="BU95" i="1"/>
  <c r="BP96" i="1" s="1"/>
  <c r="BU93" i="1"/>
  <c r="BP94" i="1" s="1"/>
  <c r="BS103" i="1"/>
  <c r="BS87" i="1"/>
  <c r="BS72" i="1"/>
  <c r="BU73" i="1"/>
  <c r="BP74" i="1" s="1"/>
  <c r="BU102" i="1"/>
  <c r="BP103" i="1" s="1"/>
  <c r="BS98" i="1"/>
  <c r="BS92" i="1"/>
  <c r="BS94" i="1"/>
  <c r="BU59" i="1"/>
  <c r="BP60" i="1" s="1"/>
  <c r="BU63" i="1"/>
  <c r="BP64" i="1" s="1"/>
  <c r="BU90" i="1"/>
  <c r="BP91" i="1" s="1"/>
  <c r="BU85" i="1"/>
  <c r="BP86" i="1" s="1"/>
  <c r="BS85" i="1"/>
  <c r="BS84" i="1"/>
  <c r="BS73" i="1"/>
  <c r="BU79" i="1"/>
  <c r="BP80" i="1" s="1"/>
  <c r="BU100" i="1"/>
  <c r="BP101" i="1" s="1"/>
  <c r="BU81" i="1"/>
  <c r="BP82" i="1" s="1"/>
  <c r="BS104" i="1"/>
  <c r="BS88" i="1"/>
  <c r="BS100" i="1"/>
  <c r="BU88" i="1"/>
  <c r="BP89" i="1" s="1"/>
  <c r="BU98" i="1"/>
  <c r="BP99" i="1" s="1"/>
  <c r="BU76" i="1"/>
  <c r="BP77" i="1" s="1"/>
  <c r="BS83" i="1"/>
  <c r="BS89" i="1"/>
  <c r="BS61" i="1"/>
  <c r="BU72" i="1"/>
  <c r="BP73" i="1" s="1"/>
  <c r="BU75" i="1"/>
  <c r="BP76" i="1" s="1"/>
  <c r="BU89" i="1"/>
  <c r="BP90" i="1" s="1"/>
  <c r="BU103" i="1"/>
  <c r="BP104" i="1" s="1"/>
  <c r="BS80" i="1"/>
  <c r="BS68" i="1"/>
  <c r="BS75" i="1"/>
  <c r="BU65" i="1"/>
  <c r="BP66" i="1" s="1"/>
  <c r="BU83" i="1"/>
  <c r="BP84" i="1" s="1"/>
  <c r="BU77" i="1"/>
  <c r="BP78" i="1" s="1"/>
  <c r="BS99" i="1"/>
  <c r="BU82" i="1"/>
  <c r="BP83" i="1" s="1"/>
  <c r="BS74" i="1"/>
  <c r="BS81" i="1"/>
  <c r="BU61" i="1"/>
  <c r="BP62" i="1" s="1"/>
  <c r="BU91" i="1"/>
  <c r="BP92" i="1" s="1"/>
  <c r="BS82" i="1"/>
  <c r="BS96" i="1"/>
  <c r="BU92" i="1"/>
  <c r="BP93" i="1" s="1"/>
  <c r="BS78" i="1"/>
  <c r="BU94" i="1"/>
  <c r="BP95" i="1" s="1"/>
  <c r="BS91" i="1"/>
  <c r="BU87" i="1"/>
  <c r="BP88" i="1" s="1"/>
  <c r="BS60" i="1"/>
  <c r="BU96" i="1"/>
  <c r="BP97" i="1" s="1"/>
  <c r="BU68" i="1"/>
  <c r="BP69" i="1" s="1"/>
  <c r="CF47" i="1"/>
  <c r="CA48" i="1" s="1"/>
  <c r="CF30" i="1"/>
  <c r="CA31" i="1" s="1"/>
  <c r="BU36" i="1"/>
  <c r="BP37" i="1" s="1"/>
  <c r="BU16" i="1"/>
  <c r="BP17" i="1" s="1"/>
  <c r="AN133" i="1"/>
  <c r="AI134" i="1" s="1"/>
  <c r="AN121" i="1"/>
  <c r="AI122" i="1" s="1"/>
  <c r="AN127" i="1"/>
  <c r="AI128" i="1" s="1"/>
  <c r="AN122" i="1"/>
  <c r="AI123" i="1" s="1"/>
  <c r="AN146" i="1"/>
  <c r="AI147" i="1" s="1"/>
  <c r="AN152" i="1"/>
  <c r="AI153" i="1" s="1"/>
  <c r="AN128" i="1"/>
  <c r="AI129" i="1" s="1"/>
  <c r="AN134" i="1"/>
  <c r="AI135" i="1" s="1"/>
  <c r="AY129" i="1"/>
  <c r="AT130" i="1" s="1"/>
  <c r="AY117" i="1"/>
  <c r="AT118" i="1" s="1"/>
  <c r="AY125" i="1"/>
  <c r="AT126" i="1" s="1"/>
  <c r="AY149" i="1"/>
  <c r="AT150" i="1" s="1"/>
  <c r="BH96" i="1"/>
  <c r="BJ67" i="1"/>
  <c r="BE68" i="1" s="1"/>
  <c r="BJ69" i="1"/>
  <c r="BE70" i="1" s="1"/>
  <c r="BJ83" i="1"/>
  <c r="BE84" i="1" s="1"/>
  <c r="BJ76" i="1"/>
  <c r="BE77" i="1" s="1"/>
  <c r="BJ64" i="1"/>
  <c r="BE65" i="1" s="1"/>
  <c r="BJ96" i="1"/>
  <c r="BE97" i="1" s="1"/>
  <c r="BJ80" i="1"/>
  <c r="BE81" i="1" s="1"/>
  <c r="BJ62" i="1"/>
  <c r="BE63" i="1" s="1"/>
  <c r="BJ75" i="1"/>
  <c r="BE76" i="1" s="1"/>
  <c r="BJ79" i="1"/>
  <c r="BE80" i="1" s="1"/>
  <c r="AN96" i="1"/>
  <c r="AI97" i="1" s="1"/>
  <c r="BJ37" i="1"/>
  <c r="BE38" i="1" s="1"/>
  <c r="BJ15" i="1"/>
  <c r="BE16" i="1" s="1"/>
  <c r="AY26" i="1"/>
  <c r="AT27" i="1" s="1"/>
  <c r="AY24" i="1"/>
  <c r="AT25" i="1" s="1"/>
  <c r="AY21" i="1"/>
  <c r="AT22" i="1" s="1"/>
  <c r="AY35" i="1"/>
  <c r="AT36" i="1" s="1"/>
  <c r="AY25" i="1"/>
  <c r="AT26" i="1" s="1"/>
  <c r="AY20" i="1"/>
  <c r="AT21" i="1" s="1"/>
  <c r="AY38" i="1"/>
  <c r="AT39" i="1" s="1"/>
  <c r="AY5" i="1"/>
  <c r="AT6" i="1" s="1"/>
  <c r="AY10" i="1"/>
  <c r="AT11" i="1" s="1"/>
  <c r="AY15" i="1"/>
  <c r="AT16" i="1" s="1"/>
  <c r="AC6" i="1"/>
  <c r="X7" i="1" s="1"/>
  <c r="AA13" i="1"/>
  <c r="AA48" i="1"/>
  <c r="AA43" i="1"/>
  <c r="S10" i="1"/>
  <c r="U24" i="1"/>
  <c r="P25" i="1" s="1"/>
  <c r="S13" i="1"/>
  <c r="S69" i="1"/>
  <c r="S41" i="1"/>
  <c r="U25" i="1"/>
  <c r="P26" i="1" s="1"/>
  <c r="S81" i="1"/>
  <c r="S51" i="1"/>
  <c r="S16" i="1"/>
  <c r="S18" i="1"/>
  <c r="U81" i="1"/>
  <c r="P82" i="1" s="1"/>
  <c r="S5" i="1"/>
  <c r="S85" i="1"/>
  <c r="S45" i="1"/>
  <c r="U77" i="1"/>
  <c r="P78" i="1" s="1"/>
  <c r="U87" i="1"/>
  <c r="P88" i="1" s="1"/>
  <c r="S59" i="1"/>
  <c r="S29" i="1"/>
  <c r="S48" i="1"/>
  <c r="S67" i="1"/>
  <c r="S87" i="1"/>
  <c r="U29" i="1"/>
  <c r="P30" i="1" s="1"/>
  <c r="S40" i="1"/>
  <c r="S82" i="1"/>
  <c r="S55" i="1"/>
  <c r="S52" i="1"/>
  <c r="S54" i="1"/>
  <c r="U44" i="1"/>
  <c r="P45" i="1" s="1"/>
  <c r="S26" i="1"/>
  <c r="U68" i="1"/>
  <c r="P69" i="1" s="1"/>
  <c r="S101" i="1"/>
  <c r="S61" i="1"/>
  <c r="S22" i="1"/>
  <c r="U36" i="1"/>
  <c r="P37" i="1" s="1"/>
  <c r="S50" i="1"/>
  <c r="S77" i="1"/>
  <c r="S39" i="1"/>
  <c r="U75" i="1"/>
  <c r="P76" i="1" s="1"/>
  <c r="U21" i="1"/>
  <c r="P22" i="1" s="1"/>
  <c r="S68" i="1"/>
  <c r="S6" i="1"/>
  <c r="S79" i="1"/>
  <c r="U82" i="1"/>
  <c r="P83" i="1" s="1"/>
  <c r="U4" i="1"/>
  <c r="P5" i="1" s="1"/>
  <c r="U22" i="1"/>
  <c r="P23" i="1" s="1"/>
  <c r="U40" i="1"/>
  <c r="P41" i="1" s="1"/>
  <c r="U30" i="1"/>
  <c r="P31" i="1" s="1"/>
  <c r="U23" i="1"/>
  <c r="P24" i="1" s="1"/>
  <c r="S36" i="1"/>
  <c r="S31" i="1"/>
  <c r="U11" i="1"/>
  <c r="P12" i="1" s="1"/>
  <c r="S62" i="1"/>
  <c r="S27" i="1"/>
  <c r="U33" i="1"/>
  <c r="P34" i="1" s="1"/>
  <c r="U27" i="1"/>
  <c r="P28" i="1" s="1"/>
  <c r="U66" i="1"/>
  <c r="P67" i="1" s="1"/>
  <c r="S66" i="1"/>
  <c r="U41" i="1"/>
  <c r="P42" i="1" s="1"/>
  <c r="S57" i="1"/>
  <c r="U53" i="1"/>
  <c r="P54" i="1" s="1"/>
  <c r="S76" i="1"/>
  <c r="U6" i="1"/>
  <c r="P7" i="1" s="1"/>
  <c r="S88" i="1"/>
  <c r="U34" i="1"/>
  <c r="P35" i="1" s="1"/>
  <c r="U83" i="1"/>
  <c r="P84" i="1" s="1"/>
  <c r="U70" i="1"/>
  <c r="P71" i="1" s="1"/>
  <c r="U46" i="1"/>
  <c r="P47" i="1" s="1"/>
  <c r="AA44" i="1"/>
  <c r="AC40" i="1"/>
  <c r="X41" i="1" s="1"/>
  <c r="AA30" i="1"/>
  <c r="AA21" i="1"/>
  <c r="AC29" i="1"/>
  <c r="X30" i="1" s="1"/>
  <c r="AC73" i="1"/>
  <c r="X74" i="1" s="1"/>
  <c r="AC69" i="1"/>
  <c r="X70" i="1" s="1"/>
  <c r="AA55" i="1"/>
  <c r="AA15" i="1"/>
  <c r="S53" i="1"/>
  <c r="S17" i="1"/>
  <c r="S11" i="1"/>
  <c r="S7" i="1"/>
  <c r="U47" i="1"/>
  <c r="P48" i="1" s="1"/>
  <c r="S44" i="1"/>
  <c r="U38" i="1"/>
  <c r="P39" i="1" s="1"/>
  <c r="S74" i="1"/>
  <c r="U51" i="1"/>
  <c r="P52" i="1" s="1"/>
  <c r="S43" i="1"/>
  <c r="U16" i="1"/>
  <c r="P17" i="1" s="1"/>
  <c r="DB60" i="1"/>
  <c r="CW61" i="1" s="1"/>
  <c r="DB62" i="1"/>
  <c r="CW63" i="1" s="1"/>
  <c r="DB106" i="1"/>
  <c r="CW107" i="1" s="1"/>
  <c r="DB84" i="1"/>
  <c r="CW85" i="1" s="1"/>
  <c r="DB64" i="1"/>
  <c r="CW65" i="1" s="1"/>
  <c r="CZ91" i="1"/>
  <c r="DB102" i="1"/>
  <c r="CW103" i="1" s="1"/>
  <c r="DB78" i="1"/>
  <c r="CW79" i="1" s="1"/>
  <c r="CZ61" i="1"/>
  <c r="DB98" i="1"/>
  <c r="CW99" i="1" s="1"/>
  <c r="DB104" i="1"/>
  <c r="CW105" i="1" s="1"/>
  <c r="DB96" i="1"/>
  <c r="CW97" i="1" s="1"/>
  <c r="DB90" i="1"/>
  <c r="CW91" i="1" s="1"/>
  <c r="DB69" i="1"/>
  <c r="CW70" i="1" s="1"/>
  <c r="DB93" i="1"/>
  <c r="CW94" i="1" s="1"/>
  <c r="DB71" i="1"/>
  <c r="CW72" i="1" s="1"/>
  <c r="CQ75" i="1"/>
  <c r="CL76" i="1" s="1"/>
  <c r="CQ62" i="1"/>
  <c r="CL63" i="1" s="1"/>
  <c r="CQ60" i="1"/>
  <c r="CL61" i="1" s="1"/>
  <c r="CQ64" i="1"/>
  <c r="CL65" i="1" s="1"/>
  <c r="CQ76" i="1"/>
  <c r="CL77" i="1" s="1"/>
  <c r="CD96" i="1"/>
  <c r="CF69" i="1"/>
  <c r="CA70" i="1" s="1"/>
  <c r="CD80" i="1"/>
  <c r="CF79" i="1"/>
  <c r="CA80" i="1" s="1"/>
  <c r="CF87" i="1"/>
  <c r="CA88" i="1" s="1"/>
  <c r="CD90" i="1"/>
  <c r="CF82" i="1"/>
  <c r="CA83" i="1" s="1"/>
  <c r="CF101" i="1"/>
  <c r="CA102" i="1" s="1"/>
  <c r="CF90" i="1"/>
  <c r="CA91" i="1" s="1"/>
  <c r="CF103" i="1"/>
  <c r="CF60" i="1"/>
  <c r="CA61" i="1" s="1"/>
  <c r="BU78" i="1"/>
  <c r="BP79" i="1" s="1"/>
  <c r="BU69" i="1"/>
  <c r="BP70" i="1" s="1"/>
  <c r="BS105" i="1"/>
  <c r="BU101" i="1"/>
  <c r="BP102" i="1" s="1"/>
  <c r="BU60" i="1"/>
  <c r="BP61" i="1" s="1"/>
  <c r="BU71" i="1"/>
  <c r="BP72" i="1" s="1"/>
  <c r="DB28" i="1"/>
  <c r="CW29" i="1" s="1"/>
  <c r="DB42" i="1"/>
  <c r="CW43" i="1" s="1"/>
  <c r="DB14" i="1"/>
  <c r="CW15" i="1" s="1"/>
  <c r="DB45" i="1"/>
  <c r="CW46" i="1" s="1"/>
  <c r="DB4" i="1"/>
  <c r="CW5" i="1" s="1"/>
  <c r="CO15" i="1"/>
  <c r="CO29" i="1"/>
  <c r="CO41" i="1"/>
  <c r="CQ6" i="1"/>
  <c r="CL7" i="1" s="1"/>
  <c r="CQ41" i="1"/>
  <c r="CL42" i="1" s="1"/>
  <c r="CO34" i="1"/>
  <c r="CO42" i="1"/>
  <c r="CO16" i="1"/>
  <c r="CO30" i="1"/>
  <c r="CO47" i="1"/>
  <c r="CQ11" i="1"/>
  <c r="CL12" i="1" s="1"/>
  <c r="CQ26" i="1"/>
  <c r="CL27" i="1" s="1"/>
  <c r="CQ10" i="1"/>
  <c r="CL11" i="1" s="1"/>
  <c r="CO22" i="1"/>
  <c r="CO46" i="1"/>
  <c r="CO43" i="1"/>
  <c r="CO17" i="1"/>
  <c r="CO31" i="1"/>
  <c r="CO49" i="1"/>
  <c r="CQ21" i="1"/>
  <c r="CL22" i="1" s="1"/>
  <c r="CQ14" i="1"/>
  <c r="CL15" i="1" s="1"/>
  <c r="CQ7" i="1"/>
  <c r="CL8" i="1" s="1"/>
  <c r="CO10" i="1"/>
  <c r="CO32" i="1"/>
  <c r="CQ43" i="1"/>
  <c r="CL44" i="1" s="1"/>
  <c r="CO4" i="1"/>
  <c r="CO18" i="1"/>
  <c r="CO33" i="1"/>
  <c r="CQ13" i="1"/>
  <c r="CL14" i="1" s="1"/>
  <c r="CQ16" i="1"/>
  <c r="CL17" i="1" s="1"/>
  <c r="CQ28" i="1"/>
  <c r="CL29" i="1" s="1"/>
  <c r="CQ33" i="1"/>
  <c r="CL34" i="1" s="1"/>
  <c r="CQ24" i="1"/>
  <c r="CL25" i="1" s="1"/>
  <c r="CQ39" i="1"/>
  <c r="CL40" i="1" s="1"/>
  <c r="CQ15" i="1"/>
  <c r="CL16" i="1" s="1"/>
  <c r="CQ19" i="1"/>
  <c r="CL20" i="1" s="1"/>
  <c r="CO20" i="1"/>
  <c r="CQ30" i="1"/>
  <c r="CL31" i="1" s="1"/>
  <c r="CO5" i="1"/>
  <c r="CO19" i="1"/>
  <c r="CO35" i="1"/>
  <c r="CQ29" i="1"/>
  <c r="CL30" i="1" s="1"/>
  <c r="CO8" i="1"/>
  <c r="CO6" i="1"/>
  <c r="CO21" i="1"/>
  <c r="CO36" i="1"/>
  <c r="CQ35" i="1"/>
  <c r="CL36" i="1" s="1"/>
  <c r="CQ40" i="1"/>
  <c r="CL41" i="1" s="1"/>
  <c r="CQ5" i="1"/>
  <c r="CL6" i="1" s="1"/>
  <c r="CO7" i="1"/>
  <c r="CO23" i="1"/>
  <c r="CO37" i="1"/>
  <c r="CQ25" i="1"/>
  <c r="CL26" i="1" s="1"/>
  <c r="CO9" i="1"/>
  <c r="CO24" i="1"/>
  <c r="CO38" i="1"/>
  <c r="CQ42" i="1"/>
  <c r="CL43" i="1" s="1"/>
  <c r="CQ4" i="1"/>
  <c r="CL5" i="1" s="1"/>
  <c r="CO11" i="1"/>
  <c r="CO25" i="1"/>
  <c r="CO39" i="1"/>
  <c r="CQ32" i="1"/>
  <c r="CL33" i="1" s="1"/>
  <c r="CQ45" i="1"/>
  <c r="CL46" i="1" s="1"/>
  <c r="CO12" i="1"/>
  <c r="CO26" i="1"/>
  <c r="CO40" i="1"/>
  <c r="CQ22" i="1"/>
  <c r="CL23" i="1" s="1"/>
  <c r="CQ36" i="1"/>
  <c r="CL37" i="1" s="1"/>
  <c r="CQ38" i="1"/>
  <c r="CL39" i="1" s="1"/>
  <c r="CO13" i="1"/>
  <c r="CO27" i="1"/>
  <c r="CO45" i="1"/>
  <c r="CQ8" i="1"/>
  <c r="CL9" i="1" s="1"/>
  <c r="CF31" i="1"/>
  <c r="CA32" i="1" s="1"/>
  <c r="CF36" i="1"/>
  <c r="CA37" i="1" s="1"/>
  <c r="CD30" i="1"/>
  <c r="CD6" i="1"/>
  <c r="CD43" i="1"/>
  <c r="CF35" i="1"/>
  <c r="CA36" i="1" s="1"/>
  <c r="CD24" i="1"/>
  <c r="CD41" i="1"/>
  <c r="CF15" i="1"/>
  <c r="CA16" i="1" s="1"/>
  <c r="CF46" i="1"/>
  <c r="CA47" i="1" s="1"/>
  <c r="CD39" i="1"/>
  <c r="CF4" i="1"/>
  <c r="CA5" i="1" s="1"/>
  <c r="CF32" i="1"/>
  <c r="CA33" i="1" s="1"/>
  <c r="CF29" i="1"/>
  <c r="CA30" i="1" s="1"/>
  <c r="CF8" i="1"/>
  <c r="CA9" i="1" s="1"/>
  <c r="CF21" i="1"/>
  <c r="CA22" i="1" s="1"/>
  <c r="CF16" i="1"/>
  <c r="CA17" i="1" s="1"/>
  <c r="BU43" i="1"/>
  <c r="BP44" i="1" s="1"/>
  <c r="BU42" i="1"/>
  <c r="BP43" i="1" s="1"/>
  <c r="BU28" i="1"/>
  <c r="BP29" i="1" s="1"/>
  <c r="BU33" i="1"/>
  <c r="BP34" i="1" s="1"/>
  <c r="BU9" i="1"/>
  <c r="BP10" i="1" s="1"/>
  <c r="BU21" i="1"/>
  <c r="BP22" i="1" s="1"/>
  <c r="BJ142" i="1"/>
  <c r="BE143" i="1" s="1"/>
  <c r="BJ136" i="1"/>
  <c r="BE137" i="1" s="1"/>
  <c r="BJ124" i="1"/>
  <c r="BE125" i="1" s="1"/>
  <c r="AY119" i="1"/>
  <c r="AT120" i="1" s="1"/>
  <c r="BH61" i="1"/>
  <c r="BJ73" i="1"/>
  <c r="BE74" i="1" s="1"/>
  <c r="BH90" i="1"/>
  <c r="BJ72" i="1"/>
  <c r="BE73" i="1" s="1"/>
  <c r="BH66" i="1"/>
  <c r="BH74" i="1"/>
  <c r="BJ84" i="1"/>
  <c r="BE85" i="1" s="1"/>
  <c r="BJ87" i="1"/>
  <c r="BE88" i="1" s="1"/>
  <c r="BJ59" i="1"/>
  <c r="BE60" i="1" s="1"/>
  <c r="BH88" i="1"/>
  <c r="BH76" i="1"/>
  <c r="BH71" i="1"/>
  <c r="BJ92" i="1"/>
  <c r="BE93" i="1" s="1"/>
  <c r="BH82" i="1"/>
  <c r="BJ81" i="1"/>
  <c r="BE82" i="1" s="1"/>
  <c r="BH81" i="1"/>
  <c r="BH83" i="1"/>
  <c r="BH68" i="1"/>
  <c r="BJ77" i="1"/>
  <c r="BE78" i="1" s="1"/>
  <c r="BJ91" i="1"/>
  <c r="BE92" i="1" s="1"/>
  <c r="BH78" i="1"/>
  <c r="BH72" i="1"/>
  <c r="BJ68" i="1"/>
  <c r="BE69" i="1" s="1"/>
  <c r="BJ85" i="1"/>
  <c r="BE86" i="1" s="1"/>
  <c r="BH89" i="1"/>
  <c r="BJ74" i="1"/>
  <c r="BE75" i="1" s="1"/>
  <c r="BH73" i="1"/>
  <c r="BH85" i="1"/>
  <c r="BJ71" i="1"/>
  <c r="BE72" i="1" s="1"/>
  <c r="BH95" i="1"/>
  <c r="BH67" i="1"/>
  <c r="BH75" i="1"/>
  <c r="BH86" i="1"/>
  <c r="BH62" i="1"/>
  <c r="BH69" i="1"/>
  <c r="BJ95" i="1"/>
  <c r="BE96" i="1" s="1"/>
  <c r="BH93" i="1"/>
  <c r="BH77" i="1"/>
  <c r="BJ93" i="1"/>
  <c r="BE94" i="1" s="1"/>
  <c r="BH87" i="1"/>
  <c r="BH91" i="1"/>
  <c r="BJ90" i="1"/>
  <c r="BE91" i="1" s="1"/>
  <c r="BH97" i="1"/>
  <c r="BJ66" i="1"/>
  <c r="BE67" i="1" s="1"/>
  <c r="BH60" i="1"/>
  <c r="BH94" i="1"/>
  <c r="BH80" i="1"/>
  <c r="BH65" i="1"/>
  <c r="BH92" i="1"/>
  <c r="BJ78" i="1"/>
  <c r="BE79" i="1" s="1"/>
  <c r="BH84" i="1"/>
  <c r="BH63" i="1"/>
  <c r="BH79" i="1"/>
  <c r="BH70" i="1"/>
  <c r="BJ60" i="1"/>
  <c r="BE61" i="1" s="1"/>
  <c r="BH98" i="1"/>
  <c r="AW94" i="1"/>
  <c r="AW74" i="1"/>
  <c r="AY71" i="1"/>
  <c r="AT72" i="1" s="1"/>
  <c r="AW96" i="1"/>
  <c r="AW63" i="1"/>
  <c r="AN74" i="1"/>
  <c r="AI75" i="1" s="1"/>
  <c r="AN78" i="1"/>
  <c r="AI79" i="1" s="1"/>
  <c r="AN70" i="1"/>
  <c r="AI71" i="1" s="1"/>
  <c r="BJ42" i="1"/>
  <c r="BE43" i="1" s="1"/>
  <c r="BJ10" i="1"/>
  <c r="BE11" i="1" s="1"/>
  <c r="AY40" i="1"/>
  <c r="AT41" i="1" s="1"/>
  <c r="AY44" i="1"/>
  <c r="AY18" i="1"/>
  <c r="AT19" i="1" s="1"/>
  <c r="AY4" i="1"/>
  <c r="AT5" i="1" s="1"/>
  <c r="AY22" i="1"/>
  <c r="AT23" i="1" s="1"/>
  <c r="AN21" i="1"/>
  <c r="AI22" i="1" s="1"/>
  <c r="AC20" i="1"/>
  <c r="X21" i="1" s="1"/>
  <c r="AC38" i="1"/>
  <c r="X39" i="1" s="1"/>
  <c r="AC44" i="1"/>
  <c r="X45" i="1" s="1"/>
  <c r="AA79" i="1"/>
  <c r="AC70" i="1"/>
  <c r="X71" i="1" s="1"/>
  <c r="AC61" i="1"/>
  <c r="X62" i="1" s="1"/>
  <c r="AA4" i="1"/>
  <c r="AA28" i="1"/>
  <c r="AC88" i="1"/>
  <c r="AC79" i="1"/>
  <c r="X80" i="1" s="1"/>
  <c r="AC54" i="1"/>
  <c r="X55" i="1" s="1"/>
  <c r="AC48" i="1"/>
  <c r="X49" i="1" s="1"/>
  <c r="AC19" i="1"/>
  <c r="X20" i="1" s="1"/>
  <c r="AC25" i="1"/>
  <c r="X26" i="1" s="1"/>
  <c r="AC37" i="1"/>
  <c r="X38" i="1" s="1"/>
  <c r="AC68" i="1"/>
  <c r="X69" i="1" s="1"/>
  <c r="U84" i="1"/>
  <c r="P85" i="1" s="1"/>
  <c r="S89" i="1"/>
  <c r="S97" i="1"/>
  <c r="U13" i="1"/>
  <c r="P14" i="1" s="1"/>
  <c r="U19" i="1"/>
  <c r="P20" i="1" s="1"/>
  <c r="U55" i="1"/>
  <c r="P56" i="1" s="1"/>
  <c r="U61" i="1"/>
  <c r="P62" i="1" s="1"/>
  <c r="U101" i="1"/>
  <c r="P102" i="1" s="1"/>
  <c r="U8" i="1"/>
  <c r="P9" i="1" s="1"/>
  <c r="U14" i="1"/>
  <c r="P15" i="1" s="1"/>
  <c r="U32" i="1"/>
  <c r="P33" i="1" s="1"/>
  <c r="U56" i="1"/>
  <c r="P57" i="1" s="1"/>
  <c r="S91" i="1"/>
  <c r="S104" i="1"/>
  <c r="U74" i="1"/>
  <c r="P75" i="1" s="1"/>
  <c r="U104" i="1"/>
  <c r="P105" i="1" s="1"/>
  <c r="S94" i="1"/>
  <c r="U31" i="1"/>
  <c r="P32" i="1" s="1"/>
  <c r="U49" i="1"/>
  <c r="P50" i="1" s="1"/>
  <c r="U98" i="1"/>
  <c r="P99" i="1" s="1"/>
  <c r="U103" i="1"/>
  <c r="P104" i="1" s="1"/>
  <c r="U92" i="1"/>
  <c r="P93" i="1" s="1"/>
  <c r="U43" i="1"/>
  <c r="P44" i="1" s="1"/>
  <c r="U95" i="1"/>
  <c r="P96" i="1" s="1"/>
  <c r="U100" i="1"/>
  <c r="P101" i="1" s="1"/>
  <c r="DB100" i="1"/>
  <c r="CW101" i="1" s="1"/>
  <c r="DB74" i="1"/>
  <c r="CW75" i="1" s="1"/>
  <c r="DB101" i="1"/>
  <c r="CW102" i="1" s="1"/>
  <c r="DB77" i="1"/>
  <c r="CW78" i="1" s="1"/>
  <c r="DB73" i="1"/>
  <c r="CW74" i="1" s="1"/>
  <c r="DB81" i="1"/>
  <c r="CW82" i="1" s="1"/>
  <c r="CO91" i="1"/>
  <c r="CO79" i="1"/>
  <c r="CO67" i="1"/>
  <c r="CO77" i="1"/>
  <c r="CO65" i="1"/>
  <c r="CO96" i="1"/>
  <c r="CQ81" i="1"/>
  <c r="CL82" i="1" s="1"/>
  <c r="CQ69" i="1"/>
  <c r="CL70" i="1" s="1"/>
  <c r="CO84" i="1"/>
  <c r="CQ74" i="1"/>
  <c r="CL75" i="1" s="1"/>
  <c r="CQ95" i="1"/>
  <c r="CL96" i="1" s="1"/>
  <c r="CQ83" i="1"/>
  <c r="CL84" i="1" s="1"/>
  <c r="CQ93" i="1"/>
  <c r="CL94" i="1" s="1"/>
  <c r="CQ71" i="1"/>
  <c r="CL72" i="1" s="1"/>
  <c r="CD88" i="1"/>
  <c r="CD69" i="1"/>
  <c r="CF71" i="1"/>
  <c r="CA72" i="1" s="1"/>
  <c r="CF77" i="1"/>
  <c r="CA78" i="1" s="1"/>
  <c r="CD61" i="1"/>
  <c r="CD79" i="1"/>
  <c r="CF64" i="1"/>
  <c r="CA65" i="1" s="1"/>
  <c r="CF89" i="1"/>
  <c r="CA90" i="1" s="1"/>
  <c r="CD59" i="1"/>
  <c r="CD60" i="1"/>
  <c r="CF66" i="1"/>
  <c r="CA67" i="1" s="1"/>
  <c r="CD93" i="1"/>
  <c r="CD73" i="1"/>
  <c r="CF62" i="1"/>
  <c r="CA63" i="1" s="1"/>
  <c r="CD64" i="1"/>
  <c r="CD72" i="1"/>
  <c r="CF93" i="1"/>
  <c r="CA94" i="1" s="1"/>
  <c r="CD62" i="1"/>
  <c r="CF97" i="1"/>
  <c r="CA98" i="1" s="1"/>
  <c r="BU64" i="1"/>
  <c r="BP65" i="1" s="1"/>
  <c r="BS79" i="1"/>
  <c r="BS62" i="1"/>
  <c r="BS101" i="1"/>
  <c r="BU62" i="1"/>
  <c r="BP63" i="1" s="1"/>
  <c r="BS71" i="1"/>
  <c r="BS95" i="1"/>
  <c r="BU86" i="1"/>
  <c r="BP87" i="1" s="1"/>
  <c r="BS66" i="1"/>
  <c r="BS63" i="1"/>
  <c r="BS64" i="1"/>
  <c r="BS90" i="1"/>
  <c r="DB6" i="1"/>
  <c r="CW7" i="1" s="1"/>
  <c r="DB47" i="1"/>
  <c r="CW48" i="1" s="1"/>
  <c r="CQ46" i="1"/>
  <c r="CL47" i="1" s="1"/>
  <c r="CQ27" i="1"/>
  <c r="CL28" i="1" s="1"/>
  <c r="CQ17" i="1"/>
  <c r="CL18" i="1" s="1"/>
  <c r="CQ12" i="1"/>
  <c r="CL13" i="1" s="1"/>
  <c r="CQ34" i="1"/>
  <c r="CL35" i="1" s="1"/>
  <c r="CQ20" i="1"/>
  <c r="CL21" i="1" s="1"/>
  <c r="CQ44" i="1"/>
  <c r="CL45" i="1" s="1"/>
  <c r="CQ23" i="1"/>
  <c r="CL24" i="1" s="1"/>
  <c r="CQ31" i="1"/>
  <c r="CL32" i="1" s="1"/>
  <c r="CQ37" i="1"/>
  <c r="CL38" i="1" s="1"/>
  <c r="CQ18" i="1"/>
  <c r="CL19" i="1" s="1"/>
  <c r="CF10" i="1"/>
  <c r="CA11" i="1" s="1"/>
  <c r="CF40" i="1"/>
  <c r="CA41" i="1" s="1"/>
  <c r="CF26" i="1"/>
  <c r="CA27" i="1" s="1"/>
  <c r="CF6" i="1"/>
  <c r="CA7" i="1" s="1"/>
  <c r="CF20" i="1"/>
  <c r="CA21" i="1" s="1"/>
  <c r="CF39" i="1"/>
  <c r="CA40" i="1" s="1"/>
  <c r="CD46" i="1"/>
  <c r="CD31" i="1"/>
  <c r="CF19" i="1"/>
  <c r="CA20" i="1" s="1"/>
  <c r="CD23" i="1"/>
  <c r="CF33" i="1"/>
  <c r="CA34" i="1" s="1"/>
  <c r="CD16" i="1"/>
  <c r="CD22" i="1"/>
  <c r="CF42" i="1"/>
  <c r="CA43" i="1" s="1"/>
  <c r="CF37" i="1"/>
  <c r="CA38" i="1" s="1"/>
  <c r="CD35" i="1"/>
  <c r="CD15" i="1"/>
  <c r="CF17" i="1"/>
  <c r="CA18" i="1" s="1"/>
  <c r="CF25" i="1"/>
  <c r="CA26" i="1" s="1"/>
  <c r="CD19" i="1"/>
  <c r="CD48" i="1"/>
  <c r="CD21" i="1"/>
  <c r="CD13" i="1"/>
  <c r="CF7" i="1"/>
  <c r="CA8" i="1" s="1"/>
  <c r="CD7" i="1"/>
  <c r="CF34" i="1"/>
  <c r="CA35" i="1" s="1"/>
  <c r="CF5" i="1"/>
  <c r="CA6" i="1" s="1"/>
  <c r="CD12" i="1"/>
  <c r="CD45" i="1"/>
  <c r="CD32" i="1"/>
  <c r="CD20" i="1"/>
  <c r="CF41" i="1"/>
  <c r="CA42" i="1" s="1"/>
  <c r="CD4" i="1"/>
  <c r="CF11" i="1"/>
  <c r="CA12" i="1" s="1"/>
  <c r="CD47" i="1"/>
  <c r="CD38" i="1"/>
  <c r="CD9" i="1"/>
  <c r="CD40" i="1"/>
  <c r="CF13" i="1"/>
  <c r="CA14" i="1" s="1"/>
  <c r="CF23" i="1"/>
  <c r="CA24" i="1" s="1"/>
  <c r="BU30" i="1"/>
  <c r="BP31" i="1" s="1"/>
  <c r="BU13" i="1"/>
  <c r="BP14" i="1" s="1"/>
  <c r="BJ128" i="1"/>
  <c r="BE129" i="1" s="1"/>
  <c r="BJ127" i="1"/>
  <c r="BE128" i="1" s="1"/>
  <c r="BJ122" i="1"/>
  <c r="BE123" i="1" s="1"/>
  <c r="BJ140" i="1"/>
  <c r="BE141" i="1" s="1"/>
  <c r="BJ139" i="1"/>
  <c r="BE140" i="1" s="1"/>
  <c r="BJ115" i="1"/>
  <c r="BE116" i="1" s="1"/>
  <c r="BJ151" i="1"/>
  <c r="BE152" i="1" s="1"/>
  <c r="BJ133" i="1"/>
  <c r="BE134" i="1" s="1"/>
  <c r="AN149" i="1"/>
  <c r="AI150" i="1" s="1"/>
  <c r="AN138" i="1"/>
  <c r="AI139" i="1" s="1"/>
  <c r="AY155" i="1"/>
  <c r="AT156" i="1" s="1"/>
  <c r="AY141" i="1"/>
  <c r="AT142" i="1" s="1"/>
  <c r="AY115" i="1"/>
  <c r="AT116" i="1" s="1"/>
  <c r="AY116" i="1"/>
  <c r="AT117" i="1" s="1"/>
  <c r="AY143" i="1"/>
  <c r="AT144" i="1" s="1"/>
  <c r="AY127" i="1"/>
  <c r="AT128" i="1" s="1"/>
  <c r="AY142" i="1"/>
  <c r="AT143" i="1" s="1"/>
  <c r="AY139" i="1"/>
  <c r="AT140" i="1" s="1"/>
  <c r="AY130" i="1"/>
  <c r="AT131" i="1" s="1"/>
  <c r="BJ94" i="1"/>
  <c r="BE95" i="1" s="1"/>
  <c r="BH59" i="1"/>
  <c r="BJ86" i="1"/>
  <c r="BE87" i="1" s="1"/>
  <c r="BJ98" i="1"/>
  <c r="BJ70" i="1"/>
  <c r="BE71" i="1" s="1"/>
  <c r="BJ97" i="1"/>
  <c r="BE98" i="1" s="1"/>
  <c r="BJ89" i="1"/>
  <c r="BE90" i="1" s="1"/>
  <c r="BJ61" i="1"/>
  <c r="BE62" i="1" s="1"/>
  <c r="BJ88" i="1"/>
  <c r="BE89" i="1" s="1"/>
  <c r="BJ65" i="1"/>
  <c r="BE66" i="1" s="1"/>
  <c r="BJ82" i="1"/>
  <c r="BE83" i="1" s="1"/>
  <c r="BJ63" i="1"/>
  <c r="BE64" i="1" s="1"/>
  <c r="AY75" i="1"/>
  <c r="AT76" i="1" s="1"/>
  <c r="AW69" i="1"/>
  <c r="AY85" i="1"/>
  <c r="AT86" i="1" s="1"/>
  <c r="AY92" i="1"/>
  <c r="AT93" i="1" s="1"/>
  <c r="AY91" i="1"/>
  <c r="AT92" i="1" s="1"/>
  <c r="AW86" i="1"/>
  <c r="AW66" i="1"/>
  <c r="AY67" i="1"/>
  <c r="AT68" i="1" s="1"/>
  <c r="AY87" i="1"/>
  <c r="AT88" i="1" s="1"/>
  <c r="AY81" i="1"/>
  <c r="AT82" i="1" s="1"/>
  <c r="AW60" i="1"/>
  <c r="AW93" i="1"/>
  <c r="AY63" i="1"/>
  <c r="AT64" i="1" s="1"/>
  <c r="AW68" i="1"/>
  <c r="AW84" i="1"/>
  <c r="AW75" i="1"/>
  <c r="AW72" i="1"/>
  <c r="AW89" i="1"/>
  <c r="AY89" i="1"/>
  <c r="AT90" i="1" s="1"/>
  <c r="AW67" i="1"/>
  <c r="AW70" i="1"/>
  <c r="AY62" i="1"/>
  <c r="AT63" i="1" s="1"/>
  <c r="AY66" i="1"/>
  <c r="AT67" i="1" s="1"/>
  <c r="AW73" i="1"/>
  <c r="AY76" i="1"/>
  <c r="AT77" i="1" s="1"/>
  <c r="AY95" i="1"/>
  <c r="AT96" i="1" s="1"/>
  <c r="AY77" i="1"/>
  <c r="AT78" i="1" s="1"/>
  <c r="AW59" i="1"/>
  <c r="AW85" i="1"/>
  <c r="AW82" i="1"/>
  <c r="AY60" i="1"/>
  <c r="AT61" i="1" s="1"/>
  <c r="AY98" i="1"/>
  <c r="AY74" i="1"/>
  <c r="AT75" i="1" s="1"/>
  <c r="AY64" i="1"/>
  <c r="AT65" i="1" s="1"/>
  <c r="AW87" i="1"/>
  <c r="AY73" i="1"/>
  <c r="AT74" i="1" s="1"/>
  <c r="AW81" i="1"/>
  <c r="AY65" i="1"/>
  <c r="AT66" i="1" s="1"/>
  <c r="AY97" i="1"/>
  <c r="AT98" i="1" s="1"/>
  <c r="AY78" i="1"/>
  <c r="AT79" i="1" s="1"/>
  <c r="AY82" i="1"/>
  <c r="AT83" i="1" s="1"/>
  <c r="AY79" i="1"/>
  <c r="AT80" i="1" s="1"/>
  <c r="AW71" i="1"/>
  <c r="AW91" i="1"/>
  <c r="AW62" i="1"/>
  <c r="AW61" i="1"/>
  <c r="AY86" i="1"/>
  <c r="AT87" i="1" s="1"/>
  <c r="AY69" i="1"/>
  <c r="AT70" i="1" s="1"/>
  <c r="AY61" i="1"/>
  <c r="AT62" i="1" s="1"/>
  <c r="AW80" i="1"/>
  <c r="AW76" i="1"/>
  <c r="AW97" i="1"/>
  <c r="AY94" i="1"/>
  <c r="AT95" i="1" s="1"/>
  <c r="AY90" i="1"/>
  <c r="AT91" i="1" s="1"/>
  <c r="AY88" i="1"/>
  <c r="AT89" i="1" s="1"/>
  <c r="AW65" i="1"/>
  <c r="AY68" i="1"/>
  <c r="AT69" i="1" s="1"/>
  <c r="AW79" i="1"/>
  <c r="AW77" i="1"/>
  <c r="AW83" i="1"/>
  <c r="AW64" i="1"/>
  <c r="AY84" i="1"/>
  <c r="AT85" i="1" s="1"/>
  <c r="AY80" i="1"/>
  <c r="AT81" i="1" s="1"/>
  <c r="AW90" i="1"/>
  <c r="AY72" i="1"/>
  <c r="AT73" i="1" s="1"/>
  <c r="AW78" i="1"/>
  <c r="AW92" i="1"/>
  <c r="AW95" i="1"/>
  <c r="AW98" i="1"/>
  <c r="AW88" i="1"/>
  <c r="AY59" i="1"/>
  <c r="AT60" i="1" s="1"/>
  <c r="AY93" i="1"/>
  <c r="AT94" i="1" s="1"/>
  <c r="AY70" i="1"/>
  <c r="AT71" i="1" s="1"/>
  <c r="AY83" i="1"/>
  <c r="AT84" i="1" s="1"/>
  <c r="AN7" i="1"/>
  <c r="AI8" i="1" s="1"/>
  <c r="AL30" i="1"/>
  <c r="AN43" i="1"/>
  <c r="AI44" i="1" s="1"/>
  <c r="AN10" i="1"/>
  <c r="AI11" i="1" s="1"/>
  <c r="AL15" i="1"/>
  <c r="AL32" i="1"/>
  <c r="AN25" i="1"/>
  <c r="AI26" i="1" s="1"/>
  <c r="AN16" i="1"/>
  <c r="AI17" i="1" s="1"/>
  <c r="AN4" i="1"/>
  <c r="AI5" i="1" s="1"/>
  <c r="AN76" i="1"/>
  <c r="AI77" i="1" s="1"/>
  <c r="BJ20" i="1"/>
  <c r="BE21" i="1" s="1"/>
  <c r="BJ26" i="1"/>
  <c r="BE27" i="1" s="1"/>
  <c r="AY42" i="1"/>
  <c r="AT43" i="1" s="1"/>
  <c r="AY41" i="1"/>
  <c r="AT42" i="1" s="1"/>
  <c r="AY11" i="1"/>
  <c r="AT12" i="1" s="1"/>
  <c r="AN23" i="1"/>
  <c r="AI24" i="1" s="1"/>
  <c r="AL27" i="1"/>
  <c r="AL33" i="1"/>
  <c r="AL10" i="1"/>
  <c r="AL19" i="1"/>
  <c r="AL9" i="1"/>
  <c r="AN5" i="1"/>
  <c r="AI6" i="1" s="1"/>
  <c r="AL22" i="1"/>
  <c r="AL34" i="1"/>
  <c r="AN18" i="1"/>
  <c r="AI19" i="1" s="1"/>
  <c r="AL13" i="1"/>
  <c r="AL5" i="1"/>
  <c r="AL17" i="1"/>
  <c r="AL25" i="1"/>
  <c r="AN17" i="1"/>
  <c r="AI18" i="1" s="1"/>
  <c r="AL42" i="1"/>
  <c r="AN19" i="1"/>
  <c r="AI20" i="1" s="1"/>
  <c r="AN22" i="1"/>
  <c r="AI23" i="1" s="1"/>
  <c r="AN40" i="1"/>
  <c r="AI41" i="1" s="1"/>
  <c r="AL31" i="1"/>
  <c r="AL16" i="1"/>
  <c r="AL21" i="1"/>
  <c r="AL12" i="1"/>
  <c r="AN36" i="1"/>
  <c r="AI37" i="1" s="1"/>
  <c r="AN27" i="1"/>
  <c r="AI28" i="1" s="1"/>
  <c r="AN15" i="1"/>
  <c r="AI16" i="1" s="1"/>
  <c r="AN39" i="1"/>
  <c r="AI40" i="1" s="1"/>
  <c r="AN42" i="1"/>
  <c r="AI43" i="1" s="1"/>
  <c r="AL44" i="1"/>
  <c r="AL4" i="1"/>
  <c r="AL46" i="1"/>
  <c r="AL36" i="1"/>
  <c r="AL7" i="1"/>
  <c r="AL41" i="1"/>
  <c r="AL43" i="1"/>
  <c r="AL40" i="1"/>
  <c r="AN28" i="1"/>
  <c r="AI29" i="1" s="1"/>
  <c r="AL26" i="1"/>
  <c r="AL14" i="1"/>
  <c r="AL23" i="1"/>
  <c r="AL20" i="1"/>
  <c r="AN41" i="1"/>
  <c r="AI42" i="1" s="1"/>
  <c r="AN11" i="1"/>
  <c r="AI12" i="1" s="1"/>
  <c r="AL35" i="1"/>
  <c r="AN30" i="1"/>
  <c r="AI31" i="1" s="1"/>
  <c r="AN32" i="1"/>
  <c r="AI33" i="1" s="1"/>
  <c r="AN46" i="1"/>
  <c r="AL28" i="1"/>
  <c r="AL38" i="1"/>
  <c r="AN45" i="1"/>
  <c r="AI46" i="1" s="1"/>
  <c r="AL6" i="1"/>
  <c r="AN20" i="1"/>
  <c r="AI21" i="1" s="1"/>
  <c r="AN37" i="1"/>
  <c r="AI38" i="1" s="1"/>
  <c r="AN9" i="1"/>
  <c r="AI10" i="1" s="1"/>
  <c r="AL29" i="1"/>
  <c r="AN12" i="1"/>
  <c r="AI13" i="1" s="1"/>
  <c r="AL45" i="1"/>
  <c r="AN8" i="1"/>
  <c r="AI9" i="1" s="1"/>
  <c r="AN44" i="1"/>
  <c r="AI45" i="1" s="1"/>
  <c r="AN13" i="1"/>
  <c r="AI14" i="1" s="1"/>
  <c r="AN14" i="1"/>
  <c r="AI15" i="1" s="1"/>
  <c r="AN35" i="1"/>
  <c r="AI36" i="1" s="1"/>
  <c r="AL24" i="1"/>
  <c r="AL8" i="1"/>
  <c r="AN33" i="1"/>
  <c r="AI34" i="1" s="1"/>
  <c r="AN38" i="1"/>
  <c r="AI39" i="1" s="1"/>
  <c r="AL11" i="1"/>
  <c r="AN26" i="1"/>
  <c r="AI27" i="1" s="1"/>
  <c r="AN29" i="1"/>
  <c r="AI30" i="1" s="1"/>
  <c r="AN34" i="1"/>
  <c r="AI35" i="1" s="1"/>
  <c r="AN31" i="1"/>
  <c r="AI32" i="1" s="1"/>
  <c r="AL37" i="1"/>
  <c r="AN24" i="1"/>
  <c r="AI25" i="1" s="1"/>
  <c r="AL18" i="1"/>
  <c r="AL39" i="1"/>
  <c r="AN6" i="1"/>
  <c r="AI7" i="1" s="1"/>
  <c r="AA65" i="1"/>
  <c r="AC56" i="1"/>
  <c r="X57" i="1" s="1"/>
  <c r="AC84" i="1"/>
  <c r="X85" i="1" s="1"/>
  <c r="AA74" i="1"/>
  <c r="AC9" i="1"/>
  <c r="X10" i="1" s="1"/>
  <c r="AC55" i="1"/>
  <c r="X56" i="1" s="1"/>
  <c r="AC43" i="1"/>
  <c r="X44" i="1" s="1"/>
  <c r="AA42" i="1"/>
  <c r="AA23" i="1"/>
  <c r="AA49" i="1"/>
  <c r="AA31" i="1"/>
  <c r="AC24" i="1"/>
  <c r="X25" i="1" s="1"/>
  <c r="AA54" i="1"/>
  <c r="AC17" i="1"/>
  <c r="X18" i="1" s="1"/>
  <c r="AC32" i="1"/>
  <c r="X33" i="1" s="1"/>
  <c r="AC85" i="1"/>
  <c r="X86" i="1" s="1"/>
  <c r="AC58" i="1"/>
  <c r="X59" i="1" s="1"/>
  <c r="AC81" i="1"/>
  <c r="X82" i="1" s="1"/>
  <c r="AC82" i="1"/>
  <c r="X83" i="1" s="1"/>
  <c r="AA18" i="1"/>
  <c r="AA38" i="1"/>
  <c r="AC53" i="1"/>
  <c r="X54" i="1" s="1"/>
  <c r="AC75" i="1"/>
  <c r="X76" i="1" s="1"/>
  <c r="AA35" i="1"/>
  <c r="AC50" i="1"/>
  <c r="X51" i="1" s="1"/>
  <c r="AA16" i="1"/>
  <c r="AA40" i="1"/>
  <c r="AC59" i="1"/>
  <c r="X60" i="1" s="1"/>
  <c r="AC64" i="1"/>
  <c r="X65" i="1" s="1"/>
  <c r="AA62" i="1"/>
  <c r="AA19" i="1"/>
  <c r="AA25" i="1"/>
  <c r="AC46" i="1"/>
  <c r="X47" i="1" s="1"/>
  <c r="AC5" i="1"/>
  <c r="X6" i="1" s="1"/>
  <c r="AA10" i="1"/>
  <c r="AC8" i="1"/>
  <c r="X9" i="1" s="1"/>
  <c r="AA80" i="1"/>
  <c r="AA52" i="1"/>
  <c r="AA78" i="1"/>
  <c r="AC83" i="1"/>
  <c r="X84" i="1" s="1"/>
  <c r="AA87" i="1"/>
  <c r="AA20" i="1"/>
  <c r="AC11" i="1"/>
  <c r="X12" i="1" s="1"/>
  <c r="AC30" i="1"/>
  <c r="X31" i="1" s="1"/>
  <c r="AA14" i="1"/>
  <c r="AA9" i="1"/>
  <c r="AC62" i="1"/>
  <c r="X63" i="1" s="1"/>
  <c r="AA47" i="1"/>
  <c r="AC60" i="1"/>
  <c r="X61" i="1" s="1"/>
  <c r="AC72" i="1"/>
  <c r="X73" i="1" s="1"/>
  <c r="AC14" i="1"/>
  <c r="X15" i="1" s="1"/>
  <c r="AA59" i="1"/>
  <c r="AA37" i="1"/>
  <c r="AC28" i="1"/>
  <c r="X29" i="1" s="1"/>
  <c r="AA11" i="1"/>
  <c r="AA12" i="1"/>
  <c r="AC27" i="1"/>
  <c r="X28" i="1" s="1"/>
  <c r="AC13" i="1"/>
  <c r="X14" i="1" s="1"/>
  <c r="AA84" i="1"/>
  <c r="AC23" i="1"/>
  <c r="X24" i="1" s="1"/>
  <c r="AA86" i="1"/>
  <c r="AA69" i="1"/>
  <c r="AC34" i="1"/>
  <c r="X35" i="1" s="1"/>
  <c r="AC42" i="1"/>
  <c r="X43" i="1" s="1"/>
  <c r="AC67" i="1"/>
  <c r="X68" i="1" s="1"/>
  <c r="AA6" i="1"/>
  <c r="AA24" i="1"/>
  <c r="AA34" i="1"/>
  <c r="AA36" i="1"/>
  <c r="AA63" i="1"/>
  <c r="AA71" i="1"/>
  <c r="AC7" i="1"/>
  <c r="X8" i="1" s="1"/>
  <c r="AA58" i="1"/>
  <c r="AA8" i="1"/>
  <c r="AA22" i="1"/>
  <c r="AC41" i="1"/>
  <c r="X42" i="1" s="1"/>
  <c r="AA41" i="1"/>
  <c r="AA7" i="1"/>
  <c r="AC31" i="1"/>
  <c r="X32" i="1" s="1"/>
  <c r="AC51" i="1"/>
  <c r="X52" i="1" s="1"/>
  <c r="AA56" i="1"/>
  <c r="AC49" i="1"/>
  <c r="X50" i="1" s="1"/>
  <c r="AA85" i="1"/>
  <c r="AC86" i="1"/>
  <c r="X87" i="1" s="1"/>
  <c r="AA83" i="1"/>
  <c r="AA82" i="1"/>
  <c r="AA70" i="1"/>
  <c r="AA88" i="1"/>
  <c r="AC66" i="1"/>
  <c r="X67" i="1" s="1"/>
  <c r="AC26" i="1"/>
  <c r="X27" i="1" s="1"/>
  <c r="AA61" i="1"/>
  <c r="AA68" i="1"/>
  <c r="AC21" i="1"/>
  <c r="X22" i="1" s="1"/>
  <c r="AC36" i="1"/>
  <c r="X37" i="1" s="1"/>
  <c r="AC47" i="1"/>
  <c r="X48" i="1" s="1"/>
  <c r="AC12" i="1"/>
  <c r="X13" i="1" s="1"/>
  <c r="AC78" i="1"/>
  <c r="X79" i="1" s="1"/>
  <c r="AA76" i="1"/>
  <c r="AC22" i="1"/>
  <c r="X23" i="1" s="1"/>
  <c r="AC16" i="1"/>
  <c r="X17" i="1" s="1"/>
  <c r="AA57" i="1"/>
  <c r="AC4" i="1"/>
  <c r="X5" i="1" s="1"/>
  <c r="AA81" i="1"/>
  <c r="AA75" i="1"/>
  <c r="AA60" i="1"/>
  <c r="AC33" i="1"/>
  <c r="X34" i="1" s="1"/>
  <c r="AA73" i="1"/>
  <c r="AA72" i="1"/>
  <c r="AA77" i="1"/>
  <c r="AC77" i="1"/>
  <c r="X78" i="1" s="1"/>
  <c r="AC87" i="1"/>
  <c r="X88" i="1" s="1"/>
  <c r="AC76" i="1"/>
  <c r="X77" i="1" s="1"/>
  <c r="AA39" i="1"/>
  <c r="AA5" i="1"/>
  <c r="AC35" i="1"/>
  <c r="X36" i="1" s="1"/>
  <c r="AA64" i="1"/>
  <c r="AA46" i="1"/>
  <c r="AA33" i="1"/>
  <c r="AA32" i="1"/>
  <c r="AC65" i="1"/>
  <c r="X66" i="1" s="1"/>
  <c r="AA66" i="1"/>
  <c r="AC39" i="1"/>
  <c r="X40" i="1" s="1"/>
  <c r="AA51" i="1"/>
  <c r="AA29" i="1"/>
  <c r="AA17" i="1"/>
  <c r="AA26" i="1"/>
  <c r="AC45" i="1"/>
  <c r="X46" i="1" s="1"/>
  <c r="AC63" i="1"/>
  <c r="X64" i="1" s="1"/>
  <c r="AC15" i="1"/>
  <c r="X16" i="1" s="1"/>
  <c r="AC52" i="1"/>
  <c r="X53" i="1" s="1"/>
  <c r="AC18" i="1"/>
  <c r="X19" i="1" s="1"/>
  <c r="AA50" i="1"/>
  <c r="AC71" i="1"/>
  <c r="X72" i="1" s="1"/>
  <c r="AA27" i="1"/>
  <c r="AA53" i="1"/>
  <c r="AC57" i="1"/>
  <c r="X58" i="1" s="1"/>
  <c r="AC10" i="1"/>
  <c r="X11" i="1" s="1"/>
  <c r="AA45" i="1"/>
  <c r="AC80" i="1"/>
  <c r="X81" i="1" s="1"/>
  <c r="U76" i="1"/>
  <c r="P77" i="1" s="1"/>
  <c r="U50" i="1"/>
  <c r="P51" i="1" s="1"/>
  <c r="S72" i="1"/>
  <c r="U18" i="1"/>
  <c r="P19" i="1" s="1"/>
  <c r="S56" i="1"/>
  <c r="U67" i="1"/>
  <c r="P68" i="1" s="1"/>
  <c r="S25" i="1"/>
  <c r="U80" i="1"/>
  <c r="P81" i="1" s="1"/>
  <c r="U48" i="1"/>
  <c r="P49" i="1" s="1"/>
  <c r="U20" i="1"/>
  <c r="P21" i="1" s="1"/>
  <c r="U7" i="1"/>
  <c r="P8" i="1" s="1"/>
  <c r="S20" i="1"/>
  <c r="S12" i="1"/>
  <c r="S19" i="1"/>
  <c r="U86" i="1"/>
  <c r="P87" i="1" s="1"/>
  <c r="S23" i="1"/>
  <c r="S70" i="1"/>
  <c r="S34" i="1"/>
  <c r="S73" i="1"/>
  <c r="S93" i="1"/>
  <c r="S96" i="1"/>
  <c r="S99" i="1"/>
  <c r="S102" i="1"/>
  <c r="S15" i="1"/>
  <c r="U57" i="1"/>
  <c r="P58" i="1" s="1"/>
  <c r="U72" i="1"/>
  <c r="P73" i="1" s="1"/>
  <c r="S60" i="1"/>
  <c r="U88" i="1"/>
  <c r="P89" i="1" s="1"/>
  <c r="U65" i="1"/>
  <c r="P66" i="1" s="1"/>
  <c r="S4" i="1"/>
  <c r="S83" i="1"/>
  <c r="S24" i="1"/>
  <c r="S28" i="1"/>
  <c r="S30" i="1"/>
  <c r="U58" i="1"/>
  <c r="P59" i="1" s="1"/>
  <c r="U59" i="1"/>
  <c r="P60" i="1" s="1"/>
  <c r="U26" i="1"/>
  <c r="P27" i="1" s="1"/>
  <c r="S80" i="1"/>
  <c r="U93" i="1"/>
  <c r="P94" i="1" s="1"/>
  <c r="U96" i="1"/>
  <c r="P97" i="1" s="1"/>
  <c r="U99" i="1"/>
  <c r="P100" i="1" s="1"/>
  <c r="U102" i="1"/>
  <c r="P103" i="1" s="1"/>
  <c r="U62" i="1"/>
  <c r="P63" i="1" s="1"/>
  <c r="S90" i="1"/>
  <c r="U42" i="1"/>
  <c r="P43" i="1" s="1"/>
  <c r="U78" i="1"/>
  <c r="P79" i="1" s="1"/>
  <c r="U73" i="1"/>
  <c r="P74" i="1" s="1"/>
  <c r="S33" i="1"/>
  <c r="U60" i="1"/>
  <c r="P61" i="1" s="1"/>
  <c r="S86" i="1"/>
  <c r="U63" i="1"/>
  <c r="P64" i="1" s="1"/>
  <c r="S14" i="1"/>
  <c r="U37" i="1"/>
  <c r="P38" i="1" s="1"/>
  <c r="S37" i="1"/>
  <c r="U15" i="1"/>
  <c r="P16" i="1" s="1"/>
  <c r="U91" i="1"/>
  <c r="P92" i="1" s="1"/>
  <c r="U94" i="1"/>
  <c r="P95" i="1" s="1"/>
  <c r="U97" i="1"/>
  <c r="P98" i="1" s="1"/>
  <c r="U54" i="1"/>
  <c r="P55" i="1" s="1"/>
  <c r="U10" i="1"/>
  <c r="P11" i="1" s="1"/>
  <c r="U17" i="1"/>
  <c r="P18" i="1" s="1"/>
  <c r="S32" i="1"/>
  <c r="U28" i="1"/>
  <c r="P29" i="1" s="1"/>
  <c r="U35" i="1"/>
  <c r="P36" i="1" s="1"/>
  <c r="S35" i="1"/>
  <c r="S21" i="1"/>
  <c r="S38" i="1"/>
  <c r="S47" i="1"/>
  <c r="S78" i="1"/>
  <c r="U52" i="1"/>
  <c r="P53" i="1" s="1"/>
  <c r="S65" i="1"/>
  <c r="S46" i="1"/>
  <c r="S8" i="1"/>
  <c r="S92" i="1"/>
  <c r="S95" i="1"/>
  <c r="S98" i="1"/>
  <c r="S100" i="1"/>
  <c r="U85" i="1"/>
  <c r="P86" i="1" s="1"/>
  <c r="U90" i="1"/>
  <c r="P91" i="1" s="1"/>
  <c r="U79" i="1"/>
  <c r="P80" i="1" s="1"/>
  <c r="BM30" i="1"/>
  <c r="BM81" i="1"/>
  <c r="BB161" i="1"/>
  <c r="BX40" i="1"/>
  <c r="CI96" i="1"/>
  <c r="CI69" i="1"/>
  <c r="CT7" i="1"/>
  <c r="BM77" i="1"/>
  <c r="CT19" i="1"/>
  <c r="BM6" i="1"/>
  <c r="BM12" i="1"/>
  <c r="AF116" i="1"/>
  <c r="BX7" i="1"/>
  <c r="BB121" i="1"/>
  <c r="AF38" i="1"/>
  <c r="AF130" i="1"/>
  <c r="BQ56" i="1"/>
  <c r="BB156" i="1"/>
  <c r="BM46" i="1"/>
  <c r="CT87" i="1"/>
  <c r="CI102" i="1"/>
  <c r="AQ72" i="1"/>
  <c r="BM69" i="1"/>
  <c r="CT17" i="1"/>
  <c r="BM66" i="1"/>
  <c r="BB120" i="1"/>
  <c r="BM76" i="1"/>
  <c r="CI59" i="1"/>
  <c r="AQ106" i="1"/>
  <c r="AQ65" i="1"/>
  <c r="BB95" i="1"/>
  <c r="BB98" i="1"/>
  <c r="BM65" i="1"/>
  <c r="BB91" i="1"/>
  <c r="BB124" i="1"/>
  <c r="BX96" i="1"/>
  <c r="BB11" i="1"/>
  <c r="CT36" i="1"/>
  <c r="BX94" i="1"/>
  <c r="CM1" i="1"/>
  <c r="AQ66" i="1"/>
  <c r="BB70" i="1"/>
  <c r="CT25" i="1"/>
  <c r="AF68" i="1"/>
  <c r="BB115" i="1"/>
  <c r="BB117" i="1"/>
  <c r="BM106" i="1"/>
  <c r="CI93" i="1"/>
  <c r="BX75" i="1"/>
  <c r="BB94" i="1"/>
  <c r="BB32" i="1"/>
  <c r="AF13" i="1"/>
  <c r="AQ70" i="1"/>
  <c r="BM28" i="1"/>
  <c r="AF160" i="1"/>
  <c r="CT72" i="1"/>
  <c r="CT4" i="1"/>
  <c r="AF40" i="1"/>
  <c r="CT95" i="1"/>
  <c r="BB72" i="1"/>
  <c r="CT27" i="1"/>
  <c r="CT9" i="1"/>
  <c r="AQ120" i="1"/>
  <c r="AQ38" i="1"/>
  <c r="AQ124" i="1"/>
  <c r="BB10" i="1"/>
  <c r="AQ22" i="1"/>
  <c r="CI71" i="1"/>
  <c r="CI16" i="1"/>
  <c r="AF135" i="1"/>
  <c r="BX19" i="1"/>
  <c r="AQ157" i="1"/>
  <c r="BX107" i="1"/>
  <c r="AF52" i="1"/>
  <c r="AF35" i="1"/>
  <c r="BX85" i="1"/>
  <c r="CT92" i="1"/>
  <c r="BB4" i="1"/>
  <c r="CT90" i="1"/>
  <c r="CB56" i="1"/>
  <c r="AQ14" i="1"/>
  <c r="AQ50" i="1"/>
  <c r="CT91" i="1"/>
  <c r="BX34" i="1"/>
  <c r="AF82" i="1"/>
  <c r="AQ136" i="1"/>
  <c r="AQ62" i="1"/>
  <c r="BB148" i="1"/>
  <c r="BM97" i="1"/>
  <c r="AF34" i="1"/>
  <c r="AQ49" i="1"/>
  <c r="AF98" i="1"/>
  <c r="AQ128" i="1"/>
  <c r="CT51" i="1"/>
  <c r="BB135" i="1"/>
  <c r="CI91" i="1"/>
  <c r="AF42" i="1"/>
  <c r="CT8" i="1"/>
  <c r="CI35" i="1"/>
  <c r="AF149" i="1"/>
  <c r="BM100" i="1"/>
  <c r="BM87" i="1"/>
  <c r="CT20" i="1"/>
  <c r="CI89" i="1"/>
  <c r="BB147" i="1"/>
  <c r="AF157" i="1"/>
  <c r="AQ95" i="1"/>
  <c r="BX97" i="1"/>
  <c r="AQ35" i="1"/>
  <c r="AF50" i="1"/>
  <c r="CI52" i="1"/>
  <c r="BB119" i="1"/>
  <c r="BM63" i="1"/>
  <c r="AF93" i="1"/>
  <c r="CZ1" i="1"/>
  <c r="AQ23" i="1"/>
  <c r="AQ98" i="1"/>
  <c r="BB125" i="1"/>
  <c r="BB14" i="1"/>
  <c r="BB127" i="1"/>
  <c r="BM24" i="1"/>
  <c r="CT16" i="1"/>
  <c r="BB18" i="1"/>
  <c r="BB134" i="1"/>
  <c r="AF12" i="1"/>
  <c r="BX8" i="1"/>
  <c r="BB20" i="1"/>
  <c r="AF18" i="1"/>
  <c r="AJ111" i="1"/>
  <c r="CT102" i="1"/>
  <c r="AQ105" i="1"/>
  <c r="BM59" i="1"/>
  <c r="CI45" i="1"/>
  <c r="AF128" i="1"/>
  <c r="CI106" i="1"/>
  <c r="AF20" i="1"/>
  <c r="AQ156" i="1"/>
  <c r="AW1" i="1"/>
  <c r="CT45" i="1"/>
  <c r="AF64" i="1"/>
  <c r="CT99" i="1"/>
  <c r="CT98" i="1"/>
  <c r="BB34" i="1"/>
  <c r="CI15" i="1"/>
  <c r="AQ85" i="1"/>
  <c r="BX59" i="1"/>
  <c r="BX63" i="1"/>
  <c r="BM85" i="1"/>
  <c r="AF117" i="1"/>
  <c r="BM45" i="1"/>
  <c r="CI75" i="1"/>
  <c r="CI48" i="1"/>
  <c r="CI103" i="1"/>
  <c r="BB22" i="1"/>
  <c r="AF142" i="1"/>
  <c r="AF144" i="1"/>
  <c r="AF48" i="1"/>
  <c r="BB153" i="1"/>
  <c r="CX56" i="1"/>
  <c r="CT106" i="1"/>
  <c r="BB145" i="1"/>
  <c r="CT107" i="1"/>
  <c r="AF75" i="1"/>
  <c r="BX25" i="1"/>
  <c r="BB76" i="1"/>
  <c r="CT88" i="1"/>
  <c r="BX45" i="1"/>
  <c r="AW56" i="1"/>
  <c r="AQ127" i="1"/>
  <c r="CT18" i="1"/>
  <c r="BX92" i="1"/>
  <c r="CI20" i="1"/>
  <c r="BX29" i="1"/>
  <c r="AQ142" i="1"/>
  <c r="AF5" i="1"/>
  <c r="BM13" i="1"/>
  <c r="CI40" i="1"/>
  <c r="AF123" i="1"/>
  <c r="AF43" i="1"/>
  <c r="CI37" i="1"/>
  <c r="BX72" i="1"/>
  <c r="BX16" i="1"/>
  <c r="CO1" i="1"/>
  <c r="CT6" i="1"/>
  <c r="CI36" i="1"/>
  <c r="AF10" i="1"/>
  <c r="BB152" i="1"/>
  <c r="BX6" i="1"/>
  <c r="BM86" i="1"/>
  <c r="BB21" i="1"/>
  <c r="CB1" i="1"/>
  <c r="AF9" i="1"/>
  <c r="CT40" i="1"/>
  <c r="BB36" i="1"/>
  <c r="AF150" i="1"/>
  <c r="AQ118" i="1"/>
  <c r="BB68" i="1"/>
  <c r="AF28" i="1"/>
  <c r="AF30" i="1"/>
  <c r="AQ115" i="1"/>
  <c r="BX89" i="1"/>
  <c r="AQ147" i="1"/>
  <c r="AQ36" i="1"/>
  <c r="CT11" i="1"/>
  <c r="CI7" i="1"/>
  <c r="BM88" i="1"/>
  <c r="AQ100" i="1"/>
  <c r="AJ1" i="1"/>
  <c r="AF23" i="1"/>
  <c r="BB40" i="1"/>
  <c r="AF73" i="1"/>
  <c r="AQ132" i="1"/>
  <c r="BM51" i="1"/>
  <c r="AF86" i="1"/>
  <c r="AQ27" i="1"/>
  <c r="AF8" i="1"/>
  <c r="CT71" i="1"/>
  <c r="CI76" i="1"/>
  <c r="CT30" i="1"/>
  <c r="BB75" i="1"/>
  <c r="BX21" i="1"/>
  <c r="CT101" i="1"/>
  <c r="CI43" i="1"/>
  <c r="CI10" i="1"/>
  <c r="CI95" i="1"/>
  <c r="AQ117" i="1"/>
  <c r="AQ28" i="1"/>
  <c r="AQ46" i="1"/>
  <c r="BB129" i="1"/>
  <c r="BX12" i="1"/>
  <c r="CI4" i="1"/>
  <c r="AU111" i="1"/>
  <c r="BM90" i="1"/>
  <c r="BB151" i="1"/>
  <c r="AF78" i="1"/>
  <c r="BB131" i="1"/>
  <c r="BB84" i="1"/>
  <c r="CT65" i="1"/>
  <c r="BX74" i="1"/>
  <c r="CI66" i="1"/>
  <c r="CI42" i="1"/>
  <c r="BM102" i="1"/>
  <c r="BM50" i="1"/>
  <c r="BB46" i="1"/>
  <c r="BF56" i="1"/>
  <c r="AQ141" i="1"/>
  <c r="AF90" i="1"/>
  <c r="BX24" i="1"/>
  <c r="AF17" i="1"/>
  <c r="AF156" i="1"/>
  <c r="AF49" i="1"/>
  <c r="BX47" i="1"/>
  <c r="BM94" i="1"/>
  <c r="CI101" i="1"/>
  <c r="CI31" i="1"/>
  <c r="BM99" i="1"/>
  <c r="BB154" i="1"/>
  <c r="CT96" i="1"/>
  <c r="CI94" i="1"/>
  <c r="AF152" i="1"/>
  <c r="CI8" i="1"/>
  <c r="AF37" i="1"/>
  <c r="BM61" i="1"/>
  <c r="BB149" i="1"/>
  <c r="CI97" i="1"/>
  <c r="BX15" i="1"/>
  <c r="CI104" i="1"/>
  <c r="AF127" i="1"/>
  <c r="AF46" i="1"/>
  <c r="BX42" i="1"/>
  <c r="BB5" i="1"/>
  <c r="BB47" i="1"/>
  <c r="BX18" i="1"/>
  <c r="BB17" i="1"/>
  <c r="BM41" i="1"/>
  <c r="CT103" i="1"/>
  <c r="BX93" i="1"/>
  <c r="AF60" i="1"/>
  <c r="BB141" i="1"/>
  <c r="AQ60" i="1"/>
  <c r="BX62" i="1"/>
  <c r="CI92" i="1"/>
  <c r="BB73" i="1"/>
  <c r="BX106" i="1"/>
  <c r="AQ24" i="1"/>
  <c r="BB138" i="1"/>
  <c r="BB97" i="1"/>
  <c r="BX13" i="1"/>
  <c r="AF45" i="1"/>
  <c r="BB157" i="1"/>
  <c r="BX104" i="1"/>
  <c r="BX32" i="1"/>
  <c r="AQ80" i="1"/>
  <c r="CI74" i="1"/>
  <c r="BB160" i="1"/>
  <c r="CI21" i="1"/>
  <c r="AQ154" i="1"/>
  <c r="AF15" i="1"/>
  <c r="BX27" i="1"/>
  <c r="AQ97" i="1"/>
  <c r="AQ21" i="1"/>
  <c r="AQ20" i="1"/>
  <c r="CT63" i="1"/>
  <c r="BM39" i="1"/>
  <c r="CT62" i="1"/>
  <c r="BM44" i="1"/>
  <c r="AQ59" i="1"/>
  <c r="CT42" i="1"/>
  <c r="CT68" i="1"/>
  <c r="AQ76" i="1"/>
  <c r="BB23" i="1"/>
  <c r="AF80" i="1"/>
  <c r="BB100" i="1"/>
  <c r="BX81" i="1"/>
  <c r="BB69" i="1"/>
  <c r="AQ92" i="1"/>
  <c r="BM29" i="1"/>
  <c r="BB24" i="1"/>
  <c r="BM101" i="1"/>
  <c r="BB25" i="1"/>
  <c r="AF14" i="1"/>
  <c r="BM91" i="1"/>
  <c r="AF61" i="1"/>
  <c r="AQ40" i="1"/>
  <c r="BX61" i="1"/>
  <c r="BB130" i="1"/>
  <c r="AQ114" i="1"/>
  <c r="BX71" i="1"/>
  <c r="BF1" i="1"/>
  <c r="AQ26" i="1"/>
  <c r="AQ43" i="1"/>
  <c r="BX17" i="1"/>
  <c r="BB35" i="1"/>
  <c r="AQ71" i="1"/>
  <c r="AQ125" i="1"/>
  <c r="CT39" i="1"/>
  <c r="AQ6" i="1"/>
  <c r="CT37" i="1"/>
  <c r="BB49" i="1"/>
  <c r="BB128" i="1"/>
  <c r="BM7" i="1"/>
  <c r="CT46" i="1"/>
  <c r="BX37" i="1"/>
  <c r="BH56" i="1"/>
  <c r="CI88" i="1"/>
  <c r="BM47" i="1"/>
  <c r="AF21" i="1"/>
  <c r="CI41" i="1"/>
  <c r="BB31" i="1"/>
  <c r="BB143" i="1"/>
  <c r="AQ88" i="1"/>
  <c r="BB50" i="1"/>
  <c r="AF91" i="1"/>
  <c r="AQ42" i="1"/>
  <c r="AQ158" i="1"/>
  <c r="BB118" i="1"/>
  <c r="BM93" i="1"/>
  <c r="BB142" i="1"/>
  <c r="AQ144" i="1"/>
  <c r="AF139" i="1"/>
  <c r="BX43" i="1"/>
  <c r="CI83" i="1"/>
  <c r="AF63" i="1"/>
  <c r="CT83" i="1"/>
  <c r="BX76" i="1"/>
  <c r="BM74" i="1"/>
  <c r="AQ9" i="1"/>
  <c r="BM78" i="1"/>
  <c r="CT75" i="1"/>
  <c r="BM80" i="1"/>
  <c r="BM49" i="1"/>
  <c r="AF104" i="1"/>
  <c r="AQ155" i="1"/>
  <c r="BB90" i="1"/>
  <c r="AF4" i="1"/>
  <c r="BX10" i="1"/>
  <c r="AQ11" i="1"/>
  <c r="AF66" i="1"/>
  <c r="AF94" i="1"/>
  <c r="BM96" i="1"/>
  <c r="BS1" i="1"/>
  <c r="AQ153" i="1"/>
  <c r="AQ74" i="1"/>
  <c r="AQ64" i="1"/>
  <c r="AF76" i="1"/>
  <c r="BM103" i="1"/>
  <c r="BB85" i="1"/>
  <c r="CT14" i="1"/>
  <c r="BB61" i="1"/>
  <c r="CT59" i="1"/>
  <c r="BX67" i="1"/>
  <c r="BX101" i="1"/>
  <c r="CI47" i="1"/>
  <c r="AQ149" i="1"/>
  <c r="BB37" i="1"/>
  <c r="CI34" i="1"/>
  <c r="CI68" i="1"/>
  <c r="AF161" i="1"/>
  <c r="CI98" i="1"/>
  <c r="AQ15" i="1"/>
  <c r="AQ69" i="1"/>
  <c r="CT44" i="1"/>
  <c r="AQ133" i="1"/>
  <c r="BM40" i="1"/>
  <c r="AF6" i="1"/>
  <c r="BB8" i="1"/>
  <c r="AL1" i="1"/>
  <c r="AQ119" i="1"/>
  <c r="AQ126" i="1"/>
  <c r="BX95" i="1"/>
  <c r="CT43" i="1"/>
  <c r="BB150" i="1"/>
  <c r="AQ129" i="1"/>
  <c r="BX88" i="1"/>
  <c r="AF31" i="1"/>
  <c r="BM98" i="1"/>
  <c r="CI51" i="1"/>
  <c r="BM70" i="1"/>
  <c r="BB63" i="1"/>
  <c r="CI50" i="1"/>
  <c r="BX11" i="1"/>
  <c r="BX73" i="1"/>
  <c r="AQ63" i="1"/>
  <c r="AW111" i="1"/>
  <c r="CT21" i="1"/>
  <c r="CI19" i="1"/>
  <c r="BB132" i="1"/>
  <c r="CT86" i="1"/>
  <c r="AF158" i="1"/>
  <c r="BB26" i="1"/>
  <c r="AQ102" i="1"/>
  <c r="AQ90" i="1"/>
  <c r="BB33" i="1"/>
  <c r="BB86" i="1"/>
  <c r="BX35" i="1"/>
  <c r="BB80" i="1"/>
  <c r="BX82" i="1"/>
  <c r="BM38" i="1"/>
  <c r="CI85" i="1"/>
  <c r="BM107" i="1"/>
  <c r="CT78" i="1"/>
  <c r="CI84" i="1"/>
  <c r="BM83" i="1"/>
  <c r="CT61" i="1"/>
  <c r="AF27" i="1"/>
  <c r="BM48" i="1"/>
  <c r="CI24" i="1"/>
  <c r="BM16" i="1"/>
  <c r="AQ41" i="1"/>
  <c r="AF129" i="1"/>
  <c r="BM52" i="1"/>
  <c r="AQ7" i="1"/>
  <c r="BM33" i="1"/>
  <c r="BB51" i="1"/>
  <c r="CI100" i="1"/>
  <c r="CT41" i="1"/>
  <c r="AQ51" i="1"/>
  <c r="CI63" i="1"/>
  <c r="CT105" i="1"/>
  <c r="BB82" i="1"/>
  <c r="BX33" i="1"/>
  <c r="CI70" i="1"/>
  <c r="AQ116" i="1"/>
  <c r="BB106" i="1"/>
  <c r="CI87" i="1"/>
  <c r="CI12" i="1"/>
  <c r="BM26" i="1"/>
  <c r="AQ12" i="1"/>
  <c r="AF99" i="1"/>
  <c r="BB101" i="1"/>
  <c r="AF118" i="1"/>
  <c r="BM105" i="1"/>
  <c r="AL111" i="1"/>
  <c r="BB158" i="1"/>
  <c r="CT89" i="1"/>
  <c r="AF89" i="1"/>
  <c r="BX51" i="1"/>
  <c r="AQ131" i="1"/>
  <c r="CI18" i="1"/>
  <c r="CI26" i="1"/>
  <c r="CM56" i="1"/>
  <c r="BB96" i="1"/>
  <c r="BM5" i="1"/>
  <c r="AF140" i="1"/>
  <c r="AF134" i="1"/>
  <c r="BM34" i="1"/>
  <c r="AQ47" i="1"/>
  <c r="BB122" i="1"/>
  <c r="AF162" i="1"/>
  <c r="BB126" i="1"/>
  <c r="AQ86" i="1"/>
  <c r="AQ103" i="1"/>
  <c r="AF120" i="1"/>
  <c r="CT48" i="1"/>
  <c r="CI33" i="1"/>
  <c r="BX91" i="1"/>
  <c r="BB139" i="1"/>
  <c r="AQ17" i="1"/>
  <c r="AQ96" i="1"/>
  <c r="AF22" i="1"/>
  <c r="BX9" i="1"/>
  <c r="BM21" i="1"/>
  <c r="CI38" i="1"/>
  <c r="BM64" i="1"/>
  <c r="AQ148" i="1"/>
  <c r="BB6" i="1"/>
  <c r="BB74" i="1"/>
  <c r="CT84" i="1"/>
  <c r="AQ45" i="1"/>
  <c r="AF107" i="1"/>
  <c r="CI81" i="1"/>
  <c r="CT77" i="1"/>
  <c r="BM75" i="1"/>
  <c r="BX83" i="1"/>
  <c r="BX80" i="1"/>
  <c r="CT82" i="1"/>
  <c r="BM79" i="1"/>
  <c r="AF79" i="1"/>
  <c r="AF92" i="1"/>
  <c r="BX79" i="1"/>
  <c r="BX39" i="1"/>
  <c r="AF133" i="1"/>
  <c r="BB44" i="1"/>
  <c r="BB9" i="1"/>
  <c r="AQ39" i="1"/>
  <c r="CI82" i="1"/>
  <c r="CT97" i="1"/>
  <c r="AQ134" i="1"/>
  <c r="AQ68" i="1"/>
  <c r="BX38" i="1"/>
  <c r="CT69" i="1"/>
  <c r="AF122" i="1"/>
  <c r="AQ79" i="1"/>
  <c r="AQ123" i="1"/>
  <c r="BB114" i="1"/>
  <c r="AQ135" i="1"/>
  <c r="CI23" i="1"/>
  <c r="AF145" i="1"/>
  <c r="BX41" i="1"/>
  <c r="BM22" i="1"/>
  <c r="BB71" i="1"/>
  <c r="CI39" i="1"/>
  <c r="AQ18" i="1"/>
  <c r="AF147" i="1"/>
  <c r="BS56" i="1"/>
  <c r="CT28" i="1"/>
  <c r="CI60" i="1"/>
  <c r="AF153" i="1"/>
  <c r="AF71" i="1"/>
  <c r="AQ25" i="1"/>
  <c r="AQ8" i="1"/>
  <c r="BX26" i="1"/>
  <c r="AF103" i="1"/>
  <c r="AF36" i="1"/>
  <c r="BB30" i="1"/>
  <c r="CI5" i="1"/>
  <c r="CT94" i="1"/>
  <c r="BX105" i="1"/>
  <c r="CI30" i="1"/>
  <c r="AQ87" i="1"/>
  <c r="BH111" i="1"/>
  <c r="AF137" i="1"/>
  <c r="BM18" i="1"/>
  <c r="AF115" i="1"/>
  <c r="AF65" i="1"/>
  <c r="BX65" i="1"/>
  <c r="AQ93" i="1"/>
  <c r="CT29" i="1"/>
  <c r="AQ107" i="1"/>
  <c r="AF131" i="1"/>
  <c r="AF29" i="1"/>
  <c r="BX31" i="1"/>
  <c r="AF136" i="1"/>
  <c r="AF24" i="1"/>
  <c r="CT23" i="1"/>
  <c r="CI46" i="1"/>
  <c r="BF111" i="1"/>
  <c r="BM31" i="1"/>
  <c r="BM43" i="1"/>
  <c r="BB144" i="1"/>
  <c r="AF125" i="1"/>
  <c r="CZ56" i="1"/>
  <c r="BM62" i="1"/>
  <c r="CI79" i="1"/>
  <c r="AF77" i="1"/>
  <c r="BX84" i="1"/>
  <c r="AF87" i="1"/>
  <c r="BB83" i="1"/>
  <c r="CT79" i="1"/>
  <c r="AF84" i="1"/>
  <c r="BX36" i="1"/>
  <c r="BB77" i="1"/>
  <c r="AQ146" i="1"/>
  <c r="AF81" i="1"/>
  <c r="CT66" i="1"/>
  <c r="CI78" i="1"/>
  <c r="AF51" i="1"/>
  <c r="BX78" i="1"/>
  <c r="BX102" i="1"/>
  <c r="AF19" i="1"/>
  <c r="CI6" i="1"/>
  <c r="AF59" i="1"/>
  <c r="BM92" i="1"/>
  <c r="BX86" i="1"/>
  <c r="AQ75" i="1"/>
  <c r="BB159" i="1"/>
  <c r="BB102" i="1"/>
  <c r="BM104" i="1"/>
  <c r="BB99" i="1"/>
  <c r="CX1" i="1"/>
  <c r="BM10" i="1"/>
  <c r="AQ16" i="1"/>
  <c r="BQ1" i="1"/>
  <c r="BX28" i="1"/>
  <c r="CT50" i="1"/>
  <c r="AQ5" i="1"/>
  <c r="AQ73" i="1"/>
  <c r="CI29" i="1"/>
  <c r="BX48" i="1"/>
  <c r="AQ33" i="1"/>
  <c r="CI28" i="1"/>
  <c r="CT34" i="1"/>
  <c r="AF96" i="1"/>
  <c r="AF62" i="1"/>
  <c r="BB64" i="1"/>
  <c r="CI49" i="1"/>
  <c r="BM11" i="1"/>
  <c r="AF159" i="1"/>
  <c r="CI27" i="1"/>
  <c r="AF154" i="1"/>
  <c r="CT12" i="1"/>
  <c r="AF7" i="1"/>
  <c r="CT73" i="1"/>
  <c r="BM68" i="1"/>
  <c r="BB60" i="1"/>
  <c r="BB15" i="1"/>
  <c r="AF100" i="1"/>
  <c r="BM23" i="1"/>
  <c r="CI14" i="1"/>
  <c r="BB12" i="1"/>
  <c r="AF138" i="1"/>
  <c r="CI65" i="1"/>
  <c r="BB29" i="1"/>
  <c r="AF132" i="1"/>
  <c r="BX68" i="1"/>
  <c r="AF16" i="1"/>
  <c r="CT5" i="1"/>
  <c r="AQ143" i="1"/>
  <c r="AQ104" i="1"/>
  <c r="BB133" i="1"/>
  <c r="CT85" i="1"/>
  <c r="BB41" i="1"/>
  <c r="BM17" i="1"/>
  <c r="AQ83" i="1"/>
  <c r="CT80" i="1"/>
  <c r="AF85" i="1"/>
  <c r="BX30" i="1"/>
  <c r="AQ81" i="1"/>
  <c r="CI73" i="1"/>
  <c r="BB28" i="1"/>
  <c r="BB79" i="1"/>
  <c r="BB66" i="1"/>
  <c r="BB81" i="1"/>
  <c r="BM8" i="1"/>
  <c r="BM14" i="1"/>
  <c r="CI105" i="1"/>
  <c r="AF41" i="1"/>
  <c r="CT47" i="1"/>
  <c r="AF95" i="1"/>
  <c r="AF119" i="1"/>
  <c r="BB19" i="1"/>
  <c r="BM42" i="1"/>
  <c r="AL56" i="1"/>
  <c r="CI72" i="1"/>
  <c r="AQ31" i="1"/>
  <c r="CI62" i="1"/>
  <c r="AQ159" i="1"/>
  <c r="AF70" i="1"/>
  <c r="AQ150" i="1"/>
  <c r="CI17" i="1"/>
  <c r="BM95" i="1"/>
  <c r="BB48" i="1"/>
  <c r="AQ13" i="1"/>
  <c r="BM72" i="1"/>
  <c r="AQ48" i="1"/>
  <c r="BX22" i="1"/>
  <c r="AQ94" i="1"/>
  <c r="AQ99" i="1"/>
  <c r="BX23" i="1"/>
  <c r="BX5" i="1"/>
  <c r="CI67" i="1"/>
  <c r="CI11" i="1"/>
  <c r="AQ89" i="1"/>
  <c r="AF146" i="1"/>
  <c r="AF67" i="1"/>
  <c r="AQ101" i="1"/>
  <c r="BB136" i="1"/>
  <c r="CI32" i="1"/>
  <c r="BM9" i="1"/>
  <c r="AQ140" i="1"/>
  <c r="BB52" i="1"/>
  <c r="BB104" i="1"/>
  <c r="AQ44" i="1"/>
  <c r="BM15" i="1"/>
  <c r="BB87" i="1"/>
  <c r="BB107" i="1"/>
  <c r="CT10" i="1"/>
  <c r="BM67" i="1"/>
  <c r="AQ91" i="1"/>
  <c r="BH1" i="1"/>
  <c r="BB16" i="1"/>
  <c r="BM25" i="1"/>
  <c r="AF26" i="1"/>
  <c r="BB39" i="1"/>
  <c r="CI86" i="1"/>
  <c r="AQ84" i="1"/>
  <c r="BM84" i="1"/>
  <c r="CT32" i="1"/>
  <c r="AU56" i="1"/>
  <c r="AF44" i="1"/>
  <c r="BB105" i="1"/>
  <c r="AF83" i="1"/>
  <c r="AF105" i="1"/>
  <c r="CI80" i="1"/>
  <c r="CI61" i="1"/>
  <c r="AF32" i="1"/>
  <c r="BM82" i="1"/>
  <c r="BX87" i="1"/>
  <c r="AQ4" i="1"/>
  <c r="AF47" i="1"/>
  <c r="AQ160" i="1"/>
  <c r="AF74" i="1"/>
  <c r="CI77" i="1"/>
  <c r="AF155" i="1"/>
  <c r="AQ34" i="1"/>
  <c r="AQ82" i="1"/>
  <c r="CI25" i="1"/>
  <c r="BX90" i="1"/>
  <c r="BX66" i="1"/>
  <c r="AQ77" i="1"/>
  <c r="CI64" i="1"/>
  <c r="AQ78" i="1"/>
  <c r="CI9" i="1"/>
  <c r="AQ161" i="1"/>
  <c r="CT104" i="1"/>
  <c r="BM89" i="1"/>
  <c r="CD56" i="1"/>
  <c r="BB88" i="1"/>
  <c r="AQ29" i="1"/>
  <c r="AF121" i="1"/>
  <c r="BM37" i="1"/>
  <c r="BB59" i="1"/>
  <c r="CT26" i="1"/>
  <c r="AQ151" i="1"/>
  <c r="AQ61" i="1"/>
  <c r="AF72" i="1"/>
  <c r="CT52" i="1"/>
  <c r="BM35" i="1"/>
  <c r="BB65" i="1"/>
  <c r="BB27" i="1"/>
  <c r="BM32" i="1"/>
  <c r="AF151" i="1"/>
  <c r="CT67" i="1"/>
  <c r="CI107" i="1"/>
  <c r="CT35" i="1"/>
  <c r="AF106" i="1"/>
  <c r="BM71" i="1"/>
  <c r="BB62" i="1"/>
  <c r="BX69" i="1"/>
  <c r="BX64" i="1"/>
  <c r="CT33" i="1"/>
  <c r="CT24" i="1"/>
  <c r="BB7" i="1"/>
  <c r="AQ138" i="1"/>
  <c r="AQ130" i="1"/>
  <c r="BX99" i="1"/>
  <c r="CT13" i="1"/>
  <c r="CT22" i="1"/>
  <c r="BX46" i="1"/>
  <c r="AF124" i="1"/>
  <c r="AF141" i="1"/>
  <c r="CI22" i="1"/>
  <c r="BM4" i="1"/>
  <c r="AQ145" i="1"/>
  <c r="CI90" i="1"/>
  <c r="BM19" i="1"/>
  <c r="AF102" i="1"/>
  <c r="BB43" i="1"/>
  <c r="CT100" i="1"/>
  <c r="BB162" i="1"/>
  <c r="AQ32" i="1"/>
  <c r="AF126" i="1"/>
  <c r="CT38" i="1"/>
  <c r="AQ122" i="1"/>
  <c r="CT76" i="1"/>
  <c r="BB155" i="1"/>
  <c r="BB78" i="1"/>
  <c r="CT93" i="1"/>
  <c r="CT81" i="1"/>
  <c r="CI44" i="1"/>
  <c r="CT74" i="1"/>
  <c r="AU1" i="1"/>
  <c r="AQ162" i="1"/>
  <c r="BX49" i="1"/>
  <c r="BX77" i="1"/>
  <c r="AF97" i="1"/>
  <c r="AF148" i="1"/>
  <c r="AQ52" i="1"/>
  <c r="BX20" i="1"/>
  <c r="BB140" i="1"/>
  <c r="AQ121" i="1"/>
  <c r="BB67" i="1"/>
  <c r="BB146" i="1"/>
  <c r="AJ56" i="1"/>
  <c r="AF101" i="1"/>
  <c r="BB89" i="1"/>
  <c r="BM73" i="1"/>
  <c r="AQ152" i="1"/>
  <c r="AQ67" i="1"/>
  <c r="BM27" i="1"/>
  <c r="BX14" i="1"/>
  <c r="BB42" i="1"/>
  <c r="CI13" i="1"/>
  <c r="BM20" i="1"/>
  <c r="AF114" i="1"/>
  <c r="AF25" i="1"/>
  <c r="BM36" i="1"/>
  <c r="CT49" i="1"/>
  <c r="BB13" i="1"/>
  <c r="AQ137" i="1"/>
  <c r="AF88" i="1"/>
  <c r="BX103" i="1"/>
  <c r="BX98" i="1"/>
  <c r="AQ37" i="1"/>
  <c r="CT64" i="1"/>
  <c r="BX100" i="1"/>
  <c r="CT15" i="1"/>
  <c r="BX70" i="1"/>
  <c r="BB137" i="1"/>
  <c r="BB38" i="1"/>
  <c r="CT31" i="1"/>
  <c r="AQ30" i="1"/>
  <c r="BM60" i="1"/>
  <c r="AQ139" i="1"/>
  <c r="BB123" i="1"/>
  <c r="BX44" i="1"/>
  <c r="BB103" i="1"/>
  <c r="BB93" i="1"/>
  <c r="AF69" i="1"/>
  <c r="BB45" i="1"/>
  <c r="CI99" i="1"/>
  <c r="AF33" i="1"/>
  <c r="AQ10" i="1"/>
  <c r="CT60" i="1"/>
  <c r="BX50" i="1"/>
  <c r="BB116" i="1"/>
  <c r="CO56" i="1"/>
  <c r="AF143" i="1"/>
  <c r="AF39" i="1"/>
  <c r="AQ19" i="1"/>
  <c r="AF11" i="1"/>
  <c r="BB92" i="1"/>
  <c r="CT70" i="1"/>
  <c r="CD1" i="1"/>
  <c r="BX52" i="1"/>
  <c r="BX6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<sst xmlns="http://schemas.openxmlformats.org/spreadsheetml/2006/main" count="988" uniqueCount="49">
  <si>
    <t>영역</t>
  </si>
  <si>
    <t>과목</t>
  </si>
  <si>
    <t>평균</t>
  </si>
  <si>
    <t>표준편차</t>
  </si>
  <si>
    <t>등급컷</t>
  </si>
  <si>
    <t>생활과 윤리</t>
  </si>
  <si>
    <t>한국지리</t>
  </si>
  <si>
    <t>물리학I</t>
  </si>
  <si>
    <t>화학I</t>
  </si>
  <si>
    <t>생명과학I</t>
  </si>
  <si>
    <t>지구과학I</t>
  </si>
  <si>
    <t>국어</t>
  </si>
  <si>
    <t>수학</t>
  </si>
  <si>
    <t>표준점수</t>
  </si>
  <si>
    <t>등급</t>
  </si>
  <si>
    <t>백분위</t>
  </si>
  <si>
    <t>인원수</t>
  </si>
  <si>
    <t>비율</t>
  </si>
  <si>
    <t>누적 인원</t>
  </si>
  <si>
    <t>누적 비율</t>
  </si>
  <si>
    <t>윤리와 사상</t>
  </si>
  <si>
    <t>세계지리</t>
  </si>
  <si>
    <t>동아시아사</t>
  </si>
  <si>
    <t>세계사</t>
  </si>
  <si>
    <t>정치와 법</t>
  </si>
  <si>
    <t>경제</t>
  </si>
  <si>
    <t>사회·문화</t>
  </si>
  <si>
    <t>영어</t>
  </si>
  <si>
    <t>한국사</t>
  </si>
  <si>
    <t>물리학II</t>
  </si>
  <si>
    <t>원점수</t>
  </si>
  <si>
    <t>화학II</t>
  </si>
  <si>
    <t>생명과학II</t>
  </si>
  <si>
    <t>지구과학II</t>
  </si>
  <si>
    <t>응시 인원</t>
  </si>
  <si>
    <t>Step1.</t>
  </si>
  <si>
    <t>Step2.</t>
  </si>
  <si>
    <t>분홍색 셀</t>
  </si>
  <si>
    <t>Step3.</t>
  </si>
  <si>
    <t>VBA 매크로 허용하기</t>
  </si>
  <si>
    <t>사회탐구</t>
  </si>
  <si>
    <t>과학탐구</t>
  </si>
  <si>
    <t>&lt;    H    O    W      T    O      U    S    E    &gt;</t>
  </si>
  <si>
    <r>
      <t xml:space="preserve">에 </t>
    </r>
    <r>
      <rPr>
        <b/>
        <sz val="10"/>
        <color theme="1"/>
        <rFont val="KoPubWorldDotum Light"/>
        <charset val="129"/>
      </rPr>
      <t>수동입력</t>
    </r>
  </si>
  <si>
    <t>과목별 평균 및 표준편차</t>
  </si>
  <si>
    <t>"Output" 시트 클릭 후 기다리기 (약 15초)</t>
  </si>
  <si>
    <t>*교육청 자료에서 복붙하면 됩니다.</t>
  </si>
  <si>
    <t>평가원 0</t>
  </si>
  <si>
    <t>교육청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</si>
</sst>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"/>
  </numFmts>
  <fonts count="13" x14ac:knownFonts="1"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KoPubWorldDotum Light"/>
      <charset val="129"/>
    </font>
    <font>
      <b/>
      <sz val="11"/>
      <color theme="1"/>
      <name val="KoPubWorldDotum Light"/>
      <charset val="129"/>
    </font>
    <font>
      <sz val="12"/>
      <color theme="1"/>
      <name val="KoPubWorldDotum Light"/>
      <charset val="129"/>
    </font>
    <font>
      <sz val="11"/>
      <name val="KoPubWorldDotum Light"/>
      <charset val="129"/>
    </font>
    <font>
      <sz val="11"/>
      <color rgb="FF000000"/>
      <name val="KoPubWorldDotum Light"/>
      <charset val="129"/>
    </font>
    <font>
      <sz val="12"/>
      <color theme="1"/>
      <name val="Malgun Gothic"/>
      <family val="2"/>
      <charset val="129"/>
    </font>
    <font>
      <sz val="10"/>
      <color theme="1"/>
      <name val="KoPubWorldDotum Light"/>
      <charset val="129"/>
    </font>
    <font>
      <b/>
      <sz val="10"/>
      <color theme="1"/>
      <name val="KoPubWorldDotum Light"/>
      <charset val="129"/>
    </font>
    <font>
      <b/>
      <sz val="11"/>
      <color rgb="FF000000"/>
      <name val="KoPubWorldDotum Light"/>
      <charset val="129"/>
    </font>
    <font>
      <b/>
      <sz val="12"/>
      <color theme="1"/>
      <name val="Malgun Gothic"/>
      <family val="2"/>
      <charset val="129"/>
    </font>
    <font>
      <b/>
      <sz val="12"/>
      <color theme="1"/>
      <name val="KoPubWorldDotum Light"/>
      <charset val="129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B85"/>
        <bgColor indexed="64"/>
      </patternFill>
    </fill>
    <fill>
      <patternFill patternType="solid">
        <fgColor rgb="FFFAC1E2"/>
        <bgColor indexed="64"/>
      </patternFill>
    </fill>
  </fills>
  <borders count="35">
    <border>
      <left/>
      <right/>
      <top/>
      <bottom/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505050"/>
      </left>
      <right style="thin">
        <color rgb="FF505050"/>
      </right>
      <top/>
      <bottom style="thin">
        <color rgb="FF505050"/>
      </bottom>
      <diagonal/>
    </border>
    <border>
      <left style="thin">
        <color rgb="FF505050"/>
      </left>
      <right/>
      <top style="thin">
        <color rgb="FF505050"/>
      </top>
      <bottom style="medium">
        <color rgb="FF505050"/>
      </bottom>
      <diagonal/>
    </border>
    <border>
      <left/>
      <right style="thin">
        <color rgb="FF505050"/>
      </right>
      <top style="thin">
        <color rgb="FF505050"/>
      </top>
      <bottom style="medium">
        <color rgb="FF505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505050"/>
      </right>
      <top/>
      <bottom style="thin">
        <color rgb="FF50505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167">
    <xf numFmtId="0" fontId="0" fillId="0" borderId="0" xfId="0"/>
    <xf numFmtId="0" fontId="2" fillId="0" borderId="0" xfId="0" applyFont="1" applyAlignment="1">
      <alignment vertical="center"/>
    </xf>
    <xf numFmtId="0" fontId="2" fillId="6" borderId="6" xfId="0" applyFont="1" applyFill="1" applyBorder="1" applyAlignment="1">
      <alignment horizontal="center" vertical="center" wrapText="1"/>
    </xf>
    <xf numFmtId="3" fontId="2" fillId="0" borderId="6" xfId="0" applyNumberFormat="1" applyFont="1" applyBorder="1" applyAlignment="1">
      <alignment horizontal="center" vertical="center" wrapText="1"/>
    </xf>
    <xf numFmtId="3" fontId="2" fillId="0" borderId="7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/>
    </xf>
    <xf numFmtId="10" fontId="2" fillId="0" borderId="0" xfId="0" applyNumberFormat="1" applyFont="1" applyAlignment="1">
      <alignment horizontal="center" vertical="center" wrapText="1"/>
    </xf>
    <xf numFmtId="2" fontId="2" fillId="0" borderId="2" xfId="0" applyNumberFormat="1" applyFont="1" applyBorder="1" applyAlignment="1">
      <alignment horizontal="center" vertical="center" wrapText="1"/>
    </xf>
    <xf numFmtId="10" fontId="2" fillId="0" borderId="2" xfId="0" applyNumberFormat="1" applyFont="1" applyBorder="1" applyAlignment="1">
      <alignment horizontal="center" vertical="center" wrapText="1"/>
    </xf>
    <xf numFmtId="38" fontId="2" fillId="0" borderId="2" xfId="0" applyNumberFormat="1" applyFont="1" applyBorder="1" applyAlignment="1">
      <alignment horizontal="center" vertical="center" wrapText="1"/>
    </xf>
    <xf numFmtId="10" fontId="2" fillId="0" borderId="7" xfId="0" applyNumberFormat="1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1" fontId="2" fillId="0" borderId="6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 wrapText="1"/>
    </xf>
    <xf numFmtId="10" fontId="2" fillId="0" borderId="6" xfId="0" applyNumberFormat="1" applyFont="1" applyBorder="1" applyAlignment="1">
      <alignment horizontal="center" vertical="center" wrapText="1"/>
    </xf>
    <xf numFmtId="38" fontId="2" fillId="0" borderId="6" xfId="0" applyNumberFormat="1" applyFont="1" applyBorder="1" applyAlignment="1">
      <alignment horizontal="center" vertical="center" wrapText="1"/>
    </xf>
    <xf numFmtId="1" fontId="2" fillId="0" borderId="14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 wrapText="1"/>
    </xf>
    <xf numFmtId="38" fontId="2" fillId="0" borderId="7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1" fontId="2" fillId="0" borderId="13" xfId="0" applyNumberFormat="1" applyFont="1" applyBorder="1" applyAlignment="1">
      <alignment horizontal="center" vertical="center"/>
    </xf>
    <xf numFmtId="2" fontId="2" fillId="3" borderId="2" xfId="0" applyNumberFormat="1" applyFont="1" applyFill="1" applyBorder="1" applyAlignment="1">
      <alignment horizontal="center" vertical="center" wrapText="1"/>
    </xf>
    <xf numFmtId="10" fontId="2" fillId="3" borderId="2" xfId="0" applyNumberFormat="1" applyFont="1" applyFill="1" applyBorder="1" applyAlignment="1">
      <alignment horizontal="center" vertical="center" wrapText="1"/>
    </xf>
    <xf numFmtId="38" fontId="2" fillId="3" borderId="2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7" borderId="2" xfId="0" applyFont="1" applyFill="1" applyBorder="1" applyAlignment="1" applyProtection="1">
      <alignment horizontal="center" vertical="center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0" fontId="2" fillId="7" borderId="9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vertical="center"/>
      <protection locked="0"/>
    </xf>
    <xf numFmtId="38" fontId="2" fillId="7" borderId="2" xfId="0" applyNumberFormat="1" applyFont="1" applyFill="1" applyBorder="1" applyAlignment="1" applyProtection="1">
      <alignment horizontal="center" vertical="center"/>
      <protection locked="0"/>
    </xf>
    <xf numFmtId="164" fontId="5" fillId="7" borderId="1" xfId="0" applyNumberFormat="1" applyFont="1" applyFill="1" applyBorder="1" applyAlignment="1" applyProtection="1">
      <alignment horizontal="right" vertical="center"/>
      <protection locked="0"/>
    </xf>
    <xf numFmtId="0" fontId="5" fillId="7" borderId="6" xfId="0" applyFont="1" applyFill="1" applyBorder="1" applyAlignment="1" applyProtection="1">
      <alignment horizontal="center" vertical="center"/>
      <protection locked="0"/>
    </xf>
    <xf numFmtId="0" fontId="2" fillId="7" borderId="2" xfId="1" applyFont="1" applyFill="1" applyBorder="1" applyAlignment="1" applyProtection="1">
      <alignment horizontal="center" vertical="center"/>
      <protection locked="0"/>
    </xf>
    <xf numFmtId="38" fontId="2" fillId="7" borderId="2" xfId="1" applyNumberFormat="1" applyFont="1" applyFill="1" applyBorder="1" applyAlignment="1" applyProtection="1">
      <alignment horizontal="center" vertical="center"/>
      <protection locked="0"/>
    </xf>
    <xf numFmtId="0" fontId="5" fillId="7" borderId="3" xfId="0" applyFont="1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38" fontId="5" fillId="7" borderId="6" xfId="0" applyNumberFormat="1" applyFont="1" applyFill="1" applyBorder="1" applyAlignment="1" applyProtection="1">
      <alignment horizontal="center" vertical="center"/>
      <protection locked="0"/>
    </xf>
    <xf numFmtId="38" fontId="5" fillId="7" borderId="3" xfId="0" applyNumberFormat="1" applyFont="1" applyFill="1" applyBorder="1" applyAlignment="1" applyProtection="1">
      <alignment horizontal="center" vertical="center"/>
      <protection locked="0"/>
    </xf>
    <xf numFmtId="38" fontId="5" fillId="7" borderId="1" xfId="0" applyNumberFormat="1" applyFont="1" applyFill="1" applyBorder="1" applyAlignment="1" applyProtection="1">
      <alignment horizontal="center" vertical="center"/>
      <protection locked="0"/>
    </xf>
    <xf numFmtId="0" fontId="5" fillId="7" borderId="1" xfId="1" applyFont="1" applyFill="1" applyBorder="1" applyAlignment="1" applyProtection="1">
      <alignment horizontal="center" vertical="center"/>
      <protection locked="0"/>
    </xf>
    <xf numFmtId="38" fontId="5" fillId="7" borderId="1" xfId="1" applyNumberFormat="1" applyFont="1" applyFill="1" applyBorder="1" applyAlignment="1" applyProtection="1">
      <alignment horizontal="center" vertical="center"/>
      <protection locked="0"/>
    </xf>
    <xf numFmtId="164" fontId="5" fillId="0" borderId="1" xfId="0" applyNumberFormat="1" applyFont="1" applyBorder="1" applyAlignment="1" applyProtection="1">
      <alignment horizontal="right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38" fontId="2" fillId="0" borderId="2" xfId="0" applyNumberFormat="1" applyFont="1" applyBorder="1" applyAlignment="1" applyProtection="1">
      <alignment horizontal="center" vertical="center"/>
      <protection locked="0"/>
    </xf>
    <xf numFmtId="0" fontId="2" fillId="0" borderId="2" xfId="1" applyFont="1" applyBorder="1" applyAlignment="1" applyProtection="1">
      <alignment horizontal="center" vertical="center"/>
      <protection locked="0"/>
    </xf>
    <xf numFmtId="38" fontId="2" fillId="0" borderId="2" xfId="1" applyNumberFormat="1" applyFont="1" applyBorder="1" applyAlignment="1" applyProtection="1">
      <alignment horizontal="center" vertical="center"/>
      <protection locked="0"/>
    </xf>
    <xf numFmtId="0" fontId="2" fillId="3" borderId="2" xfId="0" applyFont="1" applyFill="1" applyBorder="1" applyAlignment="1" applyProtection="1">
      <alignment horizontal="center" vertical="center"/>
      <protection locked="0"/>
    </xf>
    <xf numFmtId="38" fontId="2" fillId="3" borderId="2" xfId="0" applyNumberFormat="1" applyFont="1" applyFill="1" applyBorder="1" applyAlignment="1" applyProtection="1">
      <alignment horizontal="center" vertical="center"/>
      <protection locked="0"/>
    </xf>
    <xf numFmtId="0" fontId="2" fillId="3" borderId="2" xfId="1" applyFont="1" applyFill="1" applyBorder="1" applyAlignment="1" applyProtection="1">
      <alignment horizontal="center" vertical="center"/>
      <protection locked="0"/>
    </xf>
    <xf numFmtId="38" fontId="2" fillId="3" borderId="2" xfId="1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vertical="center"/>
    </xf>
    <xf numFmtId="0" fontId="2" fillId="0" borderId="10" xfId="0" applyFont="1" applyBorder="1" applyAlignment="1">
      <alignment horizontal="center" vertical="center"/>
    </xf>
    <xf numFmtId="0" fontId="8" fillId="7" borderId="0" xfId="0" applyFont="1" applyFill="1" applyAlignment="1">
      <alignment vertical="center"/>
    </xf>
    <xf numFmtId="0" fontId="2" fillId="0" borderId="26" xfId="0" applyFont="1" applyBorder="1" applyAlignment="1">
      <alignment horizontal="center" vertical="center"/>
    </xf>
    <xf numFmtId="0" fontId="5" fillId="0" borderId="26" xfId="0" applyFont="1" applyBorder="1" applyAlignment="1" applyProtection="1">
      <alignment horizontal="center" vertical="center"/>
      <protection locked="0"/>
    </xf>
    <xf numFmtId="0" fontId="6" fillId="0" borderId="27" xfId="0" applyFont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9" fontId="2" fillId="3" borderId="2" xfId="0" applyNumberFormat="1" applyFont="1" applyFill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64" fontId="5" fillId="7" borderId="3" xfId="0" applyNumberFormat="1" applyFont="1" applyFill="1" applyBorder="1" applyAlignment="1" applyProtection="1">
      <alignment horizontal="right" vertical="center"/>
      <protection locked="0"/>
    </xf>
    <xf numFmtId="164" fontId="5" fillId="0" borderId="3" xfId="0" applyNumberFormat="1" applyFont="1" applyBorder="1" applyAlignment="1" applyProtection="1">
      <alignment horizontal="right" vertical="center"/>
      <protection locked="0"/>
    </xf>
    <xf numFmtId="0" fontId="2" fillId="6" borderId="26" xfId="0" applyFont="1" applyFill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6" borderId="33" xfId="0" applyFont="1" applyFill="1" applyBorder="1" applyAlignment="1">
      <alignment horizontal="center" vertical="center" wrapText="1"/>
    </xf>
    <xf numFmtId="9" fontId="2" fillId="0" borderId="1" xfId="0" applyNumberFormat="1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 applyProtection="1">
      <alignment horizontal="center" vertical="center" wrapText="1"/>
      <protection locked="0"/>
    </xf>
    <xf numFmtId="0" fontId="2" fillId="6" borderId="34" xfId="0" applyFont="1" applyFill="1" applyBorder="1" applyAlignment="1">
      <alignment horizontal="center" vertical="center" wrapText="1"/>
    </xf>
    <xf numFmtId="164" fontId="5" fillId="0" borderId="34" xfId="0" applyNumberFormat="1" applyFont="1" applyBorder="1" applyAlignment="1">
      <alignment horizontal="center" vertical="center"/>
    </xf>
    <xf numFmtId="3" fontId="2" fillId="0" borderId="34" xfId="0" applyNumberFormat="1" applyFont="1" applyBorder="1" applyAlignment="1">
      <alignment horizontal="center" vertical="center" wrapText="1"/>
    </xf>
    <xf numFmtId="0" fontId="2" fillId="6" borderId="33" xfId="0" applyFont="1" applyFill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1" fontId="2" fillId="0" borderId="33" xfId="0" applyNumberFormat="1" applyFont="1" applyBorder="1" applyAlignment="1">
      <alignment horizontal="center" vertical="center"/>
    </xf>
    <xf numFmtId="2" fontId="2" fillId="0" borderId="33" xfId="0" applyNumberFormat="1" applyFont="1" applyBorder="1" applyAlignment="1">
      <alignment horizontal="center" vertical="center" wrapText="1"/>
    </xf>
    <xf numFmtId="38" fontId="5" fillId="0" borderId="33" xfId="0" applyNumberFormat="1" applyFont="1" applyBorder="1" applyAlignment="1" applyProtection="1">
      <alignment horizontal="center" vertical="center"/>
      <protection locked="0"/>
    </xf>
    <xf numFmtId="10" fontId="2" fillId="0" borderId="33" xfId="0" applyNumberFormat="1" applyFont="1" applyBorder="1" applyAlignment="1">
      <alignment horizontal="center" vertical="center" wrapText="1"/>
    </xf>
    <xf numFmtId="38" fontId="2" fillId="0" borderId="33" xfId="0" applyNumberFormat="1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/>
    </xf>
    <xf numFmtId="0" fontId="2" fillId="3" borderId="33" xfId="0" applyFont="1" applyFill="1" applyBorder="1" applyAlignment="1">
      <alignment horizontal="center" vertical="center"/>
    </xf>
    <xf numFmtId="1" fontId="2" fillId="3" borderId="33" xfId="0" applyNumberFormat="1" applyFont="1" applyFill="1" applyBorder="1" applyAlignment="1">
      <alignment horizontal="center" vertical="center"/>
    </xf>
    <xf numFmtId="0" fontId="6" fillId="3" borderId="33" xfId="0" applyFont="1" applyFill="1" applyBorder="1" applyAlignment="1">
      <alignment horizontal="center" vertical="center"/>
    </xf>
    <xf numFmtId="2" fontId="2" fillId="3" borderId="33" xfId="0" applyNumberFormat="1" applyFont="1" applyFill="1" applyBorder="1" applyAlignment="1">
      <alignment horizontal="center" vertical="center" wrapText="1"/>
    </xf>
    <xf numFmtId="38" fontId="5" fillId="3" borderId="33" xfId="0" applyNumberFormat="1" applyFont="1" applyFill="1" applyBorder="1" applyAlignment="1" applyProtection="1">
      <alignment horizontal="center" vertical="center"/>
      <protection locked="0"/>
    </xf>
    <xf numFmtId="10" fontId="2" fillId="3" borderId="33" xfId="0" applyNumberFormat="1" applyFont="1" applyFill="1" applyBorder="1" applyAlignment="1">
      <alignment horizontal="center" vertical="center" wrapText="1"/>
    </xf>
    <xf numFmtId="38" fontId="2" fillId="3" borderId="33" xfId="0" applyNumberFormat="1" applyFont="1" applyFill="1" applyBorder="1" applyAlignment="1">
      <alignment horizontal="center" vertical="center" wrapText="1"/>
    </xf>
    <xf numFmtId="9" fontId="2" fillId="3" borderId="33" xfId="0" applyNumberFormat="1" applyFont="1" applyFill="1" applyBorder="1" applyAlignment="1">
      <alignment horizontal="center" vertical="center" wrapText="1"/>
    </xf>
    <xf numFmtId="38" fontId="5" fillId="3" borderId="33" xfId="1" applyNumberFormat="1" applyFont="1" applyFill="1" applyBorder="1" applyAlignment="1" applyProtection="1">
      <alignment horizontal="center" vertical="center"/>
      <protection locked="0"/>
    </xf>
    <xf numFmtId="1" fontId="2" fillId="5" borderId="33" xfId="0" applyNumberFormat="1" applyFont="1" applyFill="1" applyBorder="1" applyAlignment="1">
      <alignment horizontal="center" vertical="center"/>
    </xf>
    <xf numFmtId="0" fontId="2" fillId="5" borderId="33" xfId="0" applyFont="1" applyFill="1" applyBorder="1" applyAlignment="1">
      <alignment horizontal="center" vertical="center"/>
    </xf>
    <xf numFmtId="2" fontId="2" fillId="5" borderId="33" xfId="0" applyNumberFormat="1" applyFont="1" applyFill="1" applyBorder="1" applyAlignment="1">
      <alignment horizontal="center" vertical="center" wrapText="1"/>
    </xf>
    <xf numFmtId="38" fontId="5" fillId="5" borderId="33" xfId="0" applyNumberFormat="1" applyFont="1" applyFill="1" applyBorder="1" applyAlignment="1" applyProtection="1">
      <alignment horizontal="center" vertical="center"/>
      <protection locked="0"/>
    </xf>
    <xf numFmtId="10" fontId="2" fillId="5" borderId="33" xfId="0" applyNumberFormat="1" applyFont="1" applyFill="1" applyBorder="1" applyAlignment="1">
      <alignment horizontal="center" vertical="center" wrapText="1"/>
    </xf>
    <xf numFmtId="38" fontId="2" fillId="5" borderId="33" xfId="0" applyNumberFormat="1" applyFont="1" applyFill="1" applyBorder="1" applyAlignment="1">
      <alignment horizontal="center" vertical="center" wrapText="1"/>
    </xf>
    <xf numFmtId="0" fontId="6" fillId="5" borderId="33" xfId="0" applyFont="1" applyFill="1" applyBorder="1" applyAlignment="1">
      <alignment horizontal="center" vertical="center"/>
    </xf>
    <xf numFmtId="9" fontId="2" fillId="5" borderId="33" xfId="0" applyNumberFormat="1" applyFont="1" applyFill="1" applyBorder="1" applyAlignment="1">
      <alignment horizontal="center" vertical="center" wrapText="1"/>
    </xf>
    <xf numFmtId="38" fontId="5" fillId="0" borderId="33" xfId="1" applyNumberFormat="1" applyFont="1" applyBorder="1" applyAlignment="1" applyProtection="1">
      <alignment horizontal="center" vertical="center"/>
      <protection locked="0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3" fillId="4" borderId="12" xfId="0" applyFont="1" applyFill="1" applyBorder="1" applyAlignment="1">
      <alignment horizontal="center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8" fillId="0" borderId="31" xfId="0" applyFont="1" applyBorder="1" applyAlignment="1">
      <alignment horizontal="left" vertical="center"/>
    </xf>
    <xf numFmtId="0" fontId="8" fillId="0" borderId="32" xfId="0" applyFont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 wrapText="1"/>
    </xf>
    <xf numFmtId="0" fontId="3" fillId="4" borderId="16" xfId="0" applyFont="1" applyFill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 wrapText="1"/>
    </xf>
    <xf numFmtId="0" fontId="3" fillId="4" borderId="18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8" fillId="0" borderId="19" xfId="0" applyFont="1" applyBorder="1" applyAlignment="1">
      <alignment horizontal="left" vertical="center"/>
    </xf>
    <xf numFmtId="0" fontId="8" fillId="0" borderId="25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2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" fontId="2" fillId="0" borderId="33" xfId="0" applyNumberFormat="1" applyFont="1" applyBorder="1" applyAlignment="1">
      <alignment horizontal="center" vertical="center"/>
    </xf>
    <xf numFmtId="1" fontId="2" fillId="5" borderId="33" xfId="0" applyNumberFormat="1" applyFont="1" applyFill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2" fontId="2" fillId="0" borderId="33" xfId="0" applyNumberFormat="1" applyFont="1" applyBorder="1" applyAlignment="1">
      <alignment horizontal="center" vertical="center" wrapText="1"/>
    </xf>
    <xf numFmtId="2" fontId="2" fillId="5" borderId="33" xfId="0" applyNumberFormat="1" applyFont="1" applyFill="1" applyBorder="1" applyAlignment="1">
      <alignment horizontal="center" vertical="center" wrapText="1"/>
    </xf>
    <xf numFmtId="38" fontId="5" fillId="0" borderId="33" xfId="0" applyNumberFormat="1" applyFont="1" applyBorder="1" applyAlignment="1" applyProtection="1">
      <alignment horizontal="center" vertical="center"/>
      <protection locked="0"/>
    </xf>
    <xf numFmtId="38" fontId="5" fillId="5" borderId="33" xfId="0" applyNumberFormat="1" applyFont="1" applyFill="1" applyBorder="1" applyAlignment="1" applyProtection="1">
      <alignment horizontal="center" vertical="center"/>
      <protection locked="0"/>
    </xf>
    <xf numFmtId="1" fontId="2" fillId="3" borderId="33" xfId="0" applyNumberFormat="1" applyFont="1" applyFill="1" applyBorder="1" applyAlignment="1">
      <alignment horizontal="center" vertical="center"/>
    </xf>
    <xf numFmtId="0" fontId="6" fillId="3" borderId="33" xfId="0" applyFont="1" applyFill="1" applyBorder="1" applyAlignment="1">
      <alignment horizontal="center" vertical="center"/>
    </xf>
    <xf numFmtId="2" fontId="2" fillId="3" borderId="33" xfId="0" applyNumberFormat="1" applyFont="1" applyFill="1" applyBorder="1" applyAlignment="1">
      <alignment horizontal="center" vertical="center" wrapText="1"/>
    </xf>
    <xf numFmtId="38" fontId="5" fillId="3" borderId="33" xfId="0" applyNumberFormat="1" applyFont="1" applyFill="1" applyBorder="1" applyAlignment="1" applyProtection="1">
      <alignment horizontal="center" vertical="center"/>
      <protection locked="0"/>
    </xf>
    <xf numFmtId="0" fontId="3" fillId="4" borderId="34" xfId="0" applyFont="1" applyFill="1" applyBorder="1" applyAlignment="1">
      <alignment horizontal="center" vertical="center" wrapText="1"/>
    </xf>
    <xf numFmtId="10" fontId="2" fillId="0" borderId="33" xfId="0" applyNumberFormat="1" applyFont="1" applyBorder="1" applyAlignment="1">
      <alignment horizontal="center" vertical="center" wrapText="1"/>
    </xf>
    <xf numFmtId="10" fontId="2" fillId="5" borderId="33" xfId="0" applyNumberFormat="1" applyFont="1" applyFill="1" applyBorder="1" applyAlignment="1">
      <alignment horizontal="center" vertical="center" wrapText="1"/>
    </xf>
    <xf numFmtId="38" fontId="2" fillId="0" borderId="33" xfId="0" applyNumberFormat="1" applyFont="1" applyBorder="1" applyAlignment="1">
      <alignment horizontal="center" vertical="center" wrapText="1"/>
    </xf>
    <xf numFmtId="38" fontId="2" fillId="5" borderId="33" xfId="0" applyNumberFormat="1" applyFont="1" applyFill="1" applyBorder="1" applyAlignment="1">
      <alignment horizontal="center" vertical="center" wrapText="1"/>
    </xf>
    <xf numFmtId="10" fontId="2" fillId="3" borderId="33" xfId="0" applyNumberFormat="1" applyFont="1" applyFill="1" applyBorder="1" applyAlignment="1">
      <alignment horizontal="center" vertical="center" wrapText="1"/>
    </xf>
    <xf numFmtId="38" fontId="2" fillId="3" borderId="33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 applyAlignment="1">
      <alignment horizontal="center" vertical="center" wrapText="1"/>
    </xf>
    <xf numFmtId="1" fontId="2" fillId="0" borderId="7" xfId="0" applyNumberFormat="1" applyFont="1" applyBorder="1" applyAlignment="1">
      <alignment horizontal="center" vertical="center" wrapText="1"/>
    </xf>
  </cellXfs>
  <cellStyles count="2">
    <cellStyle name="Normal" xfId="0" builtinId="0"/>
    <cellStyle name="표준 2" xfId="1" xr:uid="{7C68A899-5A7B-F449-8D66-867F7185FD3F}"/>
  </cellStyles>
  <dxfs count="0"/>
  <tableStyles count="0" defaultTableStyle="TableStyleMedium2" defaultPivotStyle="PivotStyleLight16"/>
  <colors>
    <mruColors>
      <color rgb="FFFF74B5"/>
      <color rgb="FFFFFB85"/>
      <color rgb="FFFAC1E2"/>
      <color rgb="FFFF92D6"/>
      <color rgb="FFF5FE9A"/>
      <color rgb="FFFC8CBC"/>
      <color rgb="FFFF60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E1233-ECFE-2F4D-AD3A-C1C75C7CFB4E}">
  <sheetPr codeName="Sheet1"/>
  <dimension ref="A1:FX162"/>
  <sheetViews>
    <sheetView tabSelected="1" topLeftCell="CG1" zoomScale="91" zoomScaleNormal="108" workbookViewId="0">
      <selection activeCell="CX4" sqref="CX4:CX52"/>
    </sheetView>
  </sheetViews>
  <sheetFormatPr baseColWidth="10" defaultColWidth="9.83203125" defaultRowHeight="16" customHeight="1" x14ac:dyDescent="0.2"/>
  <cols>
    <col min="1" max="4" width="9.83203125" style="28"/>
    <col min="5" max="5" width="7.83203125" style="28" customWidth="1"/>
    <col min="6" max="13" width="7.83203125" style="28" hidden="1" customWidth="1"/>
    <col min="14" max="14" width="7.83203125" style="28" customWidth="1"/>
    <col min="15" max="32" width="9.83203125" style="28"/>
    <col min="33" max="33" width="2.83203125" style="28" customWidth="1"/>
    <col min="34" max="43" width="9.83203125" style="28"/>
    <col min="44" max="44" width="2.83203125" style="28" customWidth="1"/>
    <col min="45" max="54" width="9.83203125" style="28"/>
    <col min="55" max="55" width="2.83203125" style="28" customWidth="1"/>
    <col min="56" max="65" width="9.83203125" style="28"/>
    <col min="66" max="66" width="2.83203125" style="28" customWidth="1"/>
    <col min="67" max="76" width="9.83203125" style="28"/>
    <col min="77" max="77" width="2.83203125" style="28" customWidth="1"/>
    <col min="78" max="87" width="9.83203125" style="28"/>
    <col min="88" max="88" width="2.83203125" style="28" customWidth="1"/>
    <col min="89" max="98" width="9.83203125" style="28"/>
    <col min="99" max="99" width="2.83203125" style="28" customWidth="1"/>
    <col min="100" max="16384" width="9.83203125" style="28"/>
  </cols>
  <sheetData>
    <row r="1" spans="1:180" ht="16" customHeight="1" thickBot="1" x14ac:dyDescent="0.25">
      <c r="A1" s="132" t="s">
        <v>42</v>
      </c>
      <c r="B1" s="133"/>
      <c r="C1" s="133"/>
      <c r="D1" s="134"/>
      <c r="E1" s="1"/>
      <c r="F1" s="129" t="s">
        <v>4</v>
      </c>
      <c r="G1" s="129"/>
      <c r="H1" s="129"/>
      <c r="I1" s="129"/>
      <c r="J1" s="129"/>
      <c r="K1" s="129"/>
      <c r="L1" s="129"/>
      <c r="M1" s="129"/>
      <c r="N1"/>
      <c r="O1" s="124" t="s">
        <v>11</v>
      </c>
      <c r="P1" s="125"/>
      <c r="Q1" s="125"/>
      <c r="R1" s="125"/>
      <c r="S1" s="126"/>
      <c r="T1" s="2" t="s">
        <v>34</v>
      </c>
      <c r="U1" s="3">
        <f>SUM(R4:R150)</f>
        <v>0</v>
      </c>
      <c r="W1" s="124" t="s">
        <v>12</v>
      </c>
      <c r="X1" s="125"/>
      <c r="Y1" s="125"/>
      <c r="Z1" s="125"/>
      <c r="AA1" s="127"/>
      <c r="AB1" s="2" t="s">
        <v>34</v>
      </c>
      <c r="AC1" s="4">
        <f>SUM(Z4:Z150)</f>
        <v>387575</v>
      </c>
      <c r="AD1" s="1"/>
      <c r="AE1" s="119" t="s">
        <v>5</v>
      </c>
      <c r="AF1" s="120"/>
      <c r="AG1" s="120"/>
      <c r="AH1" s="121"/>
      <c r="AI1" s="2" t="s">
        <v>2</v>
      </c>
      <c r="AJ1" s="5" cm="1">
        <f t="array" aca="1" ref="AJ1" ca="1">INDIRECT(SUBSTITUTE(ADDRESS(1,COLUMN($C$9),4),"1","")&amp;SUMPRODUCT(($B$10:$D$26=INDIRECT(SUBSTITUTE(ADDRESS(1,COLUMN()-5,4),"1","")&amp;ROW()))*ROW($B$10:$D$26)))</f>
        <v>0</v>
      </c>
      <c r="AK1" s="2" t="s">
        <v>3</v>
      </c>
      <c r="AL1" s="5" cm="1">
        <f t="array" aca="1" ref="AL1" ca="1">INDIRECT(SUBSTITUTE(ADDRESS(1,COLUMN($D$9),4),"1","")&amp;SUMPRODUCT(($B$10:$D$26=INDIRECT(SUBSTITUTE(ADDRESS(1,COLUMN()-7,4),"1","")&amp;ROW()))*ROW($B$10:$D$26)))</f>
        <v>0</v>
      </c>
      <c r="AM1" s="2" t="s">
        <v>34</v>
      </c>
      <c r="AN1" s="3">
        <f>SUM(AK4:AK52)</f>
        <v>46404</v>
      </c>
      <c r="AO1" s="6"/>
      <c r="AP1" s="119" t="s">
        <v>20</v>
      </c>
      <c r="AQ1" s="120"/>
      <c r="AR1" s="120"/>
      <c r="AS1" s="120"/>
      <c r="AT1" s="2" t="s">
        <v>2</v>
      </c>
      <c r="AU1" s="5" cm="1">
        <f t="array" aca="1" ref="AU1" ca="1">INDIRECT(SUBSTITUTE(ADDRESS(1,COLUMN($C$9),4),"1","")&amp;SUMPRODUCT(($B$10:$D$26=INDIRECT(SUBSTITUTE(ADDRESS(1,COLUMN()-5,4),"1","")&amp;ROW()))*ROW($B$10:$D$26)))</f>
        <v>0</v>
      </c>
      <c r="AV1" s="2" t="s">
        <v>3</v>
      </c>
      <c r="AW1" s="5" cm="1">
        <f t="array" aca="1" ref="AW1" ca="1">INDIRECT(SUBSTITUTE(ADDRESS(1,COLUMN($D$9),4),"1","")&amp;SUMPRODUCT(($B$10:$D$26=INDIRECT(SUBSTITUTE(ADDRESS(1,COLUMN()-7,4),"1","")&amp;ROW()))*ROW($B$10:$D$26)))</f>
        <v>0</v>
      </c>
      <c r="AX1" s="2" t="s">
        <v>34</v>
      </c>
      <c r="AY1" s="3">
        <f>SUM(AV4:AV52)</f>
        <v>30708</v>
      </c>
      <c r="AZ1" s="6"/>
      <c r="BA1" s="119" t="s">
        <v>6</v>
      </c>
      <c r="BB1" s="120"/>
      <c r="BC1" s="120"/>
      <c r="BD1" s="121"/>
      <c r="BE1" s="2" t="s">
        <v>2</v>
      </c>
      <c r="BF1" s="5" cm="1">
        <f t="array" aca="1" ref="BF1" ca="1">INDIRECT(SUBSTITUTE(ADDRESS(1,COLUMN($C$9),4),"1","")&amp;SUMPRODUCT(($B$10:$D$26=INDIRECT(SUBSTITUTE(ADDRESS(1,COLUMN()-5,4),"1","")&amp;ROW()))*ROW($B$10:$D$26)))</f>
        <v>0</v>
      </c>
      <c r="BG1" s="2" t="s">
        <v>3</v>
      </c>
      <c r="BH1" s="5" cm="1">
        <f t="array" aca="1" ref="BH1" ca="1">INDIRECT(SUBSTITUTE(ADDRESS(1,COLUMN($D$9),4),"1","")&amp;SUMPRODUCT(($B$10:$D$26=INDIRECT(SUBSTITUTE(ADDRESS(1,COLUMN()-7,4),"1","")&amp;ROW()))*ROW($B$10:$D$26)))</f>
        <v>0</v>
      </c>
      <c r="BI1" s="2" t="s">
        <v>34</v>
      </c>
      <c r="BJ1" s="3">
        <f>SUM(BG4:BG52)</f>
        <v>32443</v>
      </c>
      <c r="BK1" s="6"/>
      <c r="BL1" s="119" t="s">
        <v>7</v>
      </c>
      <c r="BM1" s="120"/>
      <c r="BN1" s="120"/>
      <c r="BO1" s="121"/>
      <c r="BP1" s="2" t="s">
        <v>2</v>
      </c>
      <c r="BQ1" s="5" cm="1">
        <f t="array" aca="1" ref="BQ1" ca="1">INDIRECT(SUBSTITUTE(ADDRESS(1,COLUMN($C$9),4),"1","")&amp;SUMPRODUCT(($B$10:$D$26=INDIRECT(SUBSTITUTE(ADDRESS(1,COLUMN()-5,4),"1","")&amp;ROW()))*ROW($B$10:$D$26)))</f>
        <v>0</v>
      </c>
      <c r="BR1" s="2" t="s">
        <v>3</v>
      </c>
      <c r="BS1" s="5" cm="1">
        <f t="array" aca="1" ref="BS1" ca="1">INDIRECT(SUBSTITUTE(ADDRESS(1,COLUMN($D$9),4),"1","")&amp;SUMPRODUCT(($B$10:$D$26=INDIRECT(SUBSTITUTE(ADDRESS(1,COLUMN()-7,4),"1","")&amp;ROW()))*ROW($B$10:$D$26)))</f>
        <v>0</v>
      </c>
      <c r="BT1" s="2" t="s">
        <v>34</v>
      </c>
      <c r="BU1" s="3">
        <f>SUM(BR4:BR52)</f>
        <v>55728</v>
      </c>
      <c r="BV1" s="6"/>
      <c r="BW1" s="119" t="s">
        <v>8</v>
      </c>
      <c r="BX1" s="120"/>
      <c r="BY1" s="120"/>
      <c r="BZ1" s="121"/>
      <c r="CA1" s="2" t="s">
        <v>2</v>
      </c>
      <c r="CB1" s="5" cm="1">
        <f t="array" aca="1" ref="CB1" ca="1">INDIRECT(SUBSTITUTE(ADDRESS(1,COLUMN($C$9),4),"1","")&amp;SUMPRODUCT(($B$10:$D$26=INDIRECT(SUBSTITUTE(ADDRESS(1,COLUMN()-5,4),"1","")&amp;ROW()))*ROW($B$10:$D$26)))</f>
        <v>23.01</v>
      </c>
      <c r="CC1" s="2" t="s">
        <v>3</v>
      </c>
      <c r="CD1" s="5" cm="1">
        <f t="array" aca="1" ref="CD1" ca="1">INDIRECT(SUBSTITUTE(ADDRESS(1,COLUMN($D$9),4),"1","")&amp;SUMPRODUCT(($B$10:$D$26=INDIRECT(SUBSTITUTE(ADDRESS(1,COLUMN()-7,4),"1","")&amp;ROW()))*ROW($B$10:$D$26)))</f>
        <v>10.81</v>
      </c>
      <c r="CE1" s="2" t="s">
        <v>34</v>
      </c>
      <c r="CF1" s="3">
        <f>SUM(CC4:CC52)</f>
        <v>53796</v>
      </c>
      <c r="CG1" s="6"/>
      <c r="CH1" s="119" t="s">
        <v>9</v>
      </c>
      <c r="CI1" s="120"/>
      <c r="CJ1" s="120"/>
      <c r="CK1" s="121"/>
      <c r="CL1" s="2" t="s">
        <v>2</v>
      </c>
      <c r="CM1" s="5" cm="1">
        <f t="array" aca="1" ref="CM1" ca="1">INDIRECT(SUBSTITUTE(ADDRESS(1,COLUMN($C$9),4),"1","")&amp;SUMPRODUCT(($B$10:$D$26=INDIRECT(SUBSTITUTE(ADDRESS(1,COLUMN()-5,4),"1","")&amp;ROW()))*ROW($B$10:$D$26)))</f>
        <v>0</v>
      </c>
      <c r="CN1" s="2" t="s">
        <v>3</v>
      </c>
      <c r="CO1" s="5" cm="1">
        <f t="array" aca="1" ref="CO1" ca="1">INDIRECT(SUBSTITUTE(ADDRESS(1,COLUMN($D$9),4),"1","")&amp;SUMPRODUCT(($B$10:$D$26=INDIRECT(SUBSTITUTE(ADDRESS(1,COLUMN()-7,4),"1","")&amp;ROW()))*ROW($B$10:$D$26)))</f>
        <v>0</v>
      </c>
      <c r="CP1" s="2" t="s">
        <v>34</v>
      </c>
      <c r="CQ1" s="3">
        <f>SUM(CN4:CN52)</f>
        <v>119661</v>
      </c>
      <c r="CR1" s="6"/>
      <c r="CS1" s="119" t="s">
        <v>10</v>
      </c>
      <c r="CT1" s="120"/>
      <c r="CU1" s="120"/>
      <c r="CV1" s="121"/>
      <c r="CW1" s="2" t="s">
        <v>2</v>
      </c>
      <c r="CX1" s="5" cm="1">
        <f t="array" aca="1" ref="CX1" ca="1">INDIRECT(SUBSTITUTE(ADDRESS(1,COLUMN($C$9),4),"1","")&amp;SUMPRODUCT(($B$10:$D$26=INDIRECT(SUBSTITUTE(ADDRESS(1,COLUMN()-5,4),"1","")&amp;ROW()))*ROW($B$10:$D$26)))</f>
        <v>0</v>
      </c>
      <c r="CY1" s="2" t="s">
        <v>3</v>
      </c>
      <c r="CZ1" s="5" cm="1">
        <f t="array" aca="1" ref="CZ1" ca="1">INDIRECT(SUBSTITUTE(ADDRESS(1,COLUMN($D$9),4),"1","")&amp;SUMPRODUCT(($B$10:$D$26=INDIRECT(SUBSTITUTE(ADDRESS(1,COLUMN()-7,4),"1","")&amp;ROW()))*ROW($B$10:$D$26)))</f>
        <v>0</v>
      </c>
      <c r="DA1" s="2" t="s">
        <v>34</v>
      </c>
      <c r="DB1" s="3">
        <f>SUM(CY4:CY52)</f>
        <v>121021</v>
      </c>
    </row>
    <row r="2" spans="1:180" ht="16" customHeight="1" thickTop="1" x14ac:dyDescent="0.2">
      <c r="A2" s="65" t="s">
        <v>35</v>
      </c>
      <c r="B2" s="135" t="s">
        <v>39</v>
      </c>
      <c r="C2" s="135"/>
      <c r="D2" s="136"/>
      <c r="E2" s="1"/>
      <c r="N2"/>
      <c r="AD2" s="1"/>
      <c r="AO2" s="9"/>
      <c r="AZ2" s="9"/>
      <c r="BK2" s="9"/>
      <c r="BV2" s="9"/>
      <c r="CG2" s="9"/>
      <c r="CR2" s="9"/>
    </row>
    <row r="3" spans="1:180" ht="16" customHeight="1" x14ac:dyDescent="0.2">
      <c r="A3" s="130" t="s">
        <v>36</v>
      </c>
      <c r="B3" s="66" t="s">
        <v>37</v>
      </c>
      <c r="C3" s="137" t="s">
        <v>43</v>
      </c>
      <c r="D3" s="138"/>
      <c r="E3" s="1"/>
      <c r="F3" s="128" t="s">
        <v>11</v>
      </c>
      <c r="G3" s="128"/>
      <c r="H3" s="8"/>
      <c r="I3" s="128" t="s">
        <v>12</v>
      </c>
      <c r="J3" s="128"/>
      <c r="K3" s="8"/>
      <c r="L3" s="8"/>
      <c r="M3" s="8"/>
      <c r="N3" s="8"/>
      <c r="O3" s="11" t="s">
        <v>13</v>
      </c>
      <c r="P3" s="11" t="s">
        <v>14</v>
      </c>
      <c r="Q3" s="11" t="s">
        <v>15</v>
      </c>
      <c r="R3" s="11" t="s">
        <v>16</v>
      </c>
      <c r="S3" s="11" t="s">
        <v>17</v>
      </c>
      <c r="T3" s="12" t="s">
        <v>18</v>
      </c>
      <c r="U3" s="2" t="s">
        <v>19</v>
      </c>
      <c r="W3" s="11" t="s">
        <v>13</v>
      </c>
      <c r="X3" s="11" t="s">
        <v>14</v>
      </c>
      <c r="Y3" s="11" t="s">
        <v>15</v>
      </c>
      <c r="Z3" s="11" t="s">
        <v>16</v>
      </c>
      <c r="AA3" s="11" t="s">
        <v>17</v>
      </c>
      <c r="AB3" s="12" t="s">
        <v>18</v>
      </c>
      <c r="AC3" s="2" t="s">
        <v>19</v>
      </c>
      <c r="AD3" s="1"/>
      <c r="AE3" s="13" t="s">
        <v>30</v>
      </c>
      <c r="AF3" s="13" t="s">
        <v>13</v>
      </c>
      <c r="AG3" s="1"/>
      <c r="AH3" s="11" t="s">
        <v>13</v>
      </c>
      <c r="AI3" s="11" t="s">
        <v>14</v>
      </c>
      <c r="AJ3" s="11" t="s">
        <v>15</v>
      </c>
      <c r="AK3" s="11" t="s">
        <v>16</v>
      </c>
      <c r="AL3" s="11" t="s">
        <v>17</v>
      </c>
      <c r="AM3" s="12" t="s">
        <v>18</v>
      </c>
      <c r="AN3" s="2" t="s">
        <v>19</v>
      </c>
      <c r="AO3" s="14"/>
      <c r="AP3" s="13" t="s">
        <v>30</v>
      </c>
      <c r="AQ3" s="13" t="s">
        <v>13</v>
      </c>
      <c r="AR3" s="1"/>
      <c r="AS3" s="11" t="s">
        <v>13</v>
      </c>
      <c r="AT3" s="11" t="s">
        <v>14</v>
      </c>
      <c r="AU3" s="11" t="s">
        <v>15</v>
      </c>
      <c r="AV3" s="11" t="s">
        <v>16</v>
      </c>
      <c r="AW3" s="11" t="s">
        <v>17</v>
      </c>
      <c r="AX3" s="12" t="s">
        <v>18</v>
      </c>
      <c r="AY3" s="2" t="s">
        <v>19</v>
      </c>
      <c r="AZ3" s="14"/>
      <c r="BA3" s="13" t="s">
        <v>30</v>
      </c>
      <c r="BB3" s="13" t="s">
        <v>13</v>
      </c>
      <c r="BC3" s="1"/>
      <c r="BD3" s="11" t="s">
        <v>13</v>
      </c>
      <c r="BE3" s="11" t="s">
        <v>14</v>
      </c>
      <c r="BF3" s="11" t="s">
        <v>15</v>
      </c>
      <c r="BG3" s="11" t="s">
        <v>16</v>
      </c>
      <c r="BH3" s="11" t="s">
        <v>17</v>
      </c>
      <c r="BI3" s="12" t="s">
        <v>18</v>
      </c>
      <c r="BJ3" s="2" t="s">
        <v>19</v>
      </c>
      <c r="BK3" s="14"/>
      <c r="BL3" s="13" t="s">
        <v>30</v>
      </c>
      <c r="BM3" s="13" t="s">
        <v>13</v>
      </c>
      <c r="BN3" s="1"/>
      <c r="BO3" s="11" t="s">
        <v>13</v>
      </c>
      <c r="BP3" s="11" t="s">
        <v>14</v>
      </c>
      <c r="BQ3" s="11" t="s">
        <v>15</v>
      </c>
      <c r="BR3" s="11" t="s">
        <v>16</v>
      </c>
      <c r="BS3" s="11" t="s">
        <v>17</v>
      </c>
      <c r="BT3" s="12" t="s">
        <v>18</v>
      </c>
      <c r="BU3" s="2" t="s">
        <v>19</v>
      </c>
      <c r="BV3" s="14"/>
      <c r="BW3" s="13" t="s">
        <v>30</v>
      </c>
      <c r="BX3" s="13" t="s">
        <v>13</v>
      </c>
      <c r="BY3" s="1"/>
      <c r="BZ3" s="11" t="s">
        <v>13</v>
      </c>
      <c r="CA3" s="11" t="s">
        <v>14</v>
      </c>
      <c r="CB3" s="11" t="s">
        <v>15</v>
      </c>
      <c r="CC3" s="11" t="s">
        <v>16</v>
      </c>
      <c r="CD3" s="11" t="s">
        <v>17</v>
      </c>
      <c r="CE3" s="12" t="s">
        <v>18</v>
      </c>
      <c r="CF3" s="2" t="s">
        <v>19</v>
      </c>
      <c r="CG3" s="14"/>
      <c r="CH3" s="13" t="s">
        <v>30</v>
      </c>
      <c r="CI3" s="13" t="s">
        <v>13</v>
      </c>
      <c r="CJ3" s="1"/>
      <c r="CK3" s="11" t="s">
        <v>13</v>
      </c>
      <c r="CL3" s="11" t="s">
        <v>14</v>
      </c>
      <c r="CM3" s="11" t="s">
        <v>15</v>
      </c>
      <c r="CN3" s="11" t="s">
        <v>16</v>
      </c>
      <c r="CO3" s="11" t="s">
        <v>17</v>
      </c>
      <c r="CP3" s="12" t="s">
        <v>18</v>
      </c>
      <c r="CQ3" s="2" t="s">
        <v>19</v>
      </c>
      <c r="CR3" s="14"/>
      <c r="CS3" s="13" t="s">
        <v>30</v>
      </c>
      <c r="CT3" s="13" t="s">
        <v>13</v>
      </c>
      <c r="CU3" s="1"/>
      <c r="CV3" s="11" t="s">
        <v>13</v>
      </c>
      <c r="CW3" s="11" t="s">
        <v>14</v>
      </c>
      <c r="CX3" s="11" t="s">
        <v>15</v>
      </c>
      <c r="CY3" s="11" t="s">
        <v>16</v>
      </c>
      <c r="CZ3" s="11" t="s">
        <v>17</v>
      </c>
      <c r="DA3" s="12" t="s">
        <v>18</v>
      </c>
      <c r="DB3" s="2" t="s">
        <v>19</v>
      </c>
      <c r="FX3" s="28">
        <v>0</v>
      </c>
    </row>
    <row r="4" spans="1:180" ht="16" customHeight="1" x14ac:dyDescent="0.2">
      <c r="A4" s="131"/>
      <c r="B4" s="137" t="s">
        <v>46</v>
      </c>
      <c r="C4" s="137"/>
      <c r="D4" s="138"/>
      <c r="E4" s="1"/>
      <c r="F4" s="67" t="s">
        <v>13</v>
      </c>
      <c r="G4" s="67" t="s">
        <v>14</v>
      </c>
      <c r="H4" s="8"/>
      <c r="I4" s="67" t="s">
        <v>13</v>
      </c>
      <c r="J4" s="67" t="s">
        <v>14</v>
      </c>
      <c r="K4" s="8"/>
      <c r="L4" s="8"/>
      <c r="M4" s="8"/>
      <c r="N4" s="1"/>
      <c r="O4" s="38"/>
      <c r="P4" s="37" t="str">
        <f>IF(AND(O4&lt;&gt;"", R4&lt;&gt;""), 1, "")</f>
        <v/>
      </c>
      <c r="Q4" s="164" t="str">
        <f>IF(AND(O4&lt;&gt;"", R4&lt;&gt;""), ROUND(100*(1-(0+T4)/2/U$1), $B$39), "")</f>
        <v/>
      </c>
      <c r="R4" s="43"/>
      <c r="S4" s="16" t="str">
        <f t="shared" ref="S4:S35" si="0">IF(AND(O4&lt;&gt;"", R4&lt;&gt;""), R4/U$1, "")</f>
        <v/>
      </c>
      <c r="T4" s="17" t="str">
        <f>IF(AND(O4&lt;&gt;"", R4&lt;&gt;""), SUM(R$4:R4), "")</f>
        <v/>
      </c>
      <c r="U4" s="18" t="str">
        <f t="shared" ref="U4:U35" si="1">IF(AND(O4&lt;&gt;"", R4&lt;&gt;""), T4/U$1, "")</f>
        <v/>
      </c>
      <c r="W4" s="38">
        <v>147</v>
      </c>
      <c r="X4" s="37">
        <f>IF(AND(W4&lt;&gt;"", Z4&lt;&gt;""), 1, "")</f>
        <v>1</v>
      </c>
      <c r="Y4" s="164">
        <f>IF(AND(W4&lt;&gt;"", Z4&lt;&gt;""), ROUND(100*(1-(0+AB4)/2/AC$1), $B$39), "")</f>
        <v>100</v>
      </c>
      <c r="Z4" s="43">
        <v>13</v>
      </c>
      <c r="AA4" s="16">
        <f t="shared" ref="AA4:AA35" si="2">IF(AND(W4&lt;&gt;"", Z4&lt;&gt;""), Z4/AC$1, "")</f>
        <v>3.3541895117074113E-5</v>
      </c>
      <c r="AB4" s="17">
        <f>IF(AND(W4&lt;&gt;"", Z4&lt;&gt;""), SUM(Z$4:Z4), "")</f>
        <v>13</v>
      </c>
      <c r="AC4" s="16">
        <f t="shared" ref="AC4:AC35" si="3">IF(AND(W4&lt;&gt;"", Z4&lt;&gt;""), AB4/AC$1, "")</f>
        <v>3.3541895117074113E-5</v>
      </c>
      <c r="AD4" s="1"/>
      <c r="AE4" s="19">
        <v>50</v>
      </c>
      <c r="AF4" s="20" t="e" cm="1">
        <f t="array" aca="1" ref="AF4" ca="1">(AE4-INDIRECT(SUBSTITUTE(ADDRESS(1,COLUMN($C$9),4),"1","")&amp;SUMPRODUCT(($B$10:$D$26=INDIRECT(SUBSTITUTE(ADDRESS(1,COLUMN()-1,4),"1","")&amp;ROW()-3))*ROW($B$10:$D$26))))/INDIRECT(SUBSTITUTE(ADDRESS(1,COLUMN($D$9),4),"1","")&amp;SUMPRODUCT(($B$10:$D$26=INDIRECT(SUBSTITUTE(ADDRESS(1,COLUMN()-1,4),"1","")&amp;ROW()-3))*ROW($B$10:$D$26)))*10+50</f>
        <v>#DIV/0!</v>
      </c>
      <c r="AG4" s="8"/>
      <c r="AH4" s="45">
        <v>66</v>
      </c>
      <c r="AI4" s="37">
        <f>IF(AND(AH4&lt;&gt;"", AK4&lt;&gt;""), 1, "")</f>
        <v>1</v>
      </c>
      <c r="AJ4" s="165">
        <f>IF(AND(AH4&lt;&gt;"", AK4&lt;&gt;""), ROUND(100*(1-(0+AM4)/2/AN$1), $B$39), "")</f>
        <v>95</v>
      </c>
      <c r="AK4" s="50">
        <v>5003</v>
      </c>
      <c r="AL4" s="22">
        <f t="shared" ref="AL4:AL35" si="4">IF(AND(AH4&lt;&gt;"", AK4&lt;&gt;""), AK4/AN$1, "")</f>
        <v>0.10781398155331437</v>
      </c>
      <c r="AM4" s="23">
        <f>IF(AND(AH4&lt;&gt;"", AK4&lt;&gt;""), SUM(AK$4:AK4), "")</f>
        <v>5003</v>
      </c>
      <c r="AN4" s="22">
        <f t="shared" ref="AN4:AN35" si="5">IF(AND(AH4&lt;&gt;"", AK4&lt;&gt;""), AM4/AN$1, "")</f>
        <v>0.10781398155331437</v>
      </c>
      <c r="AO4" s="14"/>
      <c r="AP4" s="10">
        <v>50</v>
      </c>
      <c r="AQ4" s="24" t="e" cm="1">
        <f t="array" aca="1" ref="AQ4" ca="1">(AP4-INDIRECT(SUBSTITUTE(ADDRESS(1,COLUMN($C$9),4),"1","")&amp;SUMPRODUCT(($B$10:$D$26=INDIRECT(SUBSTITUTE(ADDRESS(1,COLUMN()-1,4),"1","")&amp;ROW()-3))*ROW($B$10:$D$26))))/INDIRECT(SUBSTITUTE(ADDRESS(1,COLUMN($D$9),4),"1","")&amp;SUMPRODUCT(($B$10:$D$26=INDIRECT(SUBSTITUTE(ADDRESS(1,COLUMN()-1,4),"1","")&amp;ROW()-3))*ROW($B$10:$D$26)))*10+50</f>
        <v>#DIV/0!</v>
      </c>
      <c r="AR4" s="8"/>
      <c r="AS4" s="48">
        <v>74</v>
      </c>
      <c r="AT4" s="37">
        <f>IF(AND(AS4&lt;&gt;"", AV4&lt;&gt;""), 1, "")</f>
        <v>1</v>
      </c>
      <c r="AU4" s="166">
        <f>IF(AND(AS4&lt;&gt;"", AV4&lt;&gt;""), ROUND(100*(1-(0+AX4)/2/AY$1), $B$39), "")</f>
        <v>99</v>
      </c>
      <c r="AV4" s="51">
        <v>312</v>
      </c>
      <c r="AW4" s="18">
        <f t="shared" ref="AW4:AW35" si="6">IF(AND(AS4&lt;&gt;"", AV4&lt;&gt;""), AV4/AY$1, "")</f>
        <v>1.0160218835482611E-2</v>
      </c>
      <c r="AX4" s="26">
        <f>IF(AND(AS4&lt;&gt;"", AV4&lt;&gt;""), SUM(AV$4:AV4), "")</f>
        <v>312</v>
      </c>
      <c r="AY4" s="18">
        <f t="shared" ref="AY4:AY35" si="7">IF(AND(AS4&lt;&gt;"", AV4&lt;&gt;""), AX4/AY$1, "")</f>
        <v>1.0160218835482611E-2</v>
      </c>
      <c r="AZ4" s="14"/>
      <c r="BA4" s="10">
        <v>50</v>
      </c>
      <c r="BB4" s="24" t="e" cm="1">
        <f t="array" aca="1" ref="BB4" ca="1">(BA4-INDIRECT(SUBSTITUTE(ADDRESS(1,COLUMN($C$9),4),"1","")&amp;SUMPRODUCT(($B$10:$D$26=INDIRECT(SUBSTITUTE(ADDRESS(1,COLUMN()-1,4),"1","")&amp;ROW()-3))*ROW($B$10:$D$26))))/INDIRECT(SUBSTITUTE(ADDRESS(1,COLUMN($D$9),4),"1","")&amp;SUMPRODUCT(($B$10:$D$26=INDIRECT(SUBSTITUTE(ADDRESS(1,COLUMN()-1,4),"1","")&amp;ROW()-3))*ROW($B$10:$D$26)))*10+50</f>
        <v>#DIV/0!</v>
      </c>
      <c r="BC4" s="8"/>
      <c r="BD4" s="48">
        <v>70</v>
      </c>
      <c r="BE4" s="37">
        <f>IF(AND(BD4&lt;&gt;"", BG4&lt;&gt;""), 1, "")</f>
        <v>1</v>
      </c>
      <c r="BF4" s="166">
        <f>IF(AND(BD4&lt;&gt;"", BG4&lt;&gt;""), ROUND(100*(1-(0+BI4)/2/BJ$1), $B$39), "")</f>
        <v>98</v>
      </c>
      <c r="BG4" s="51">
        <v>1042</v>
      </c>
      <c r="BH4" s="18">
        <f t="shared" ref="BH4:BH35" si="8">IF(AND(BD4&lt;&gt;"", BG4&lt;&gt;""), BG4/BJ$1, "")</f>
        <v>3.2117868261258203E-2</v>
      </c>
      <c r="BI4" s="26">
        <f>IF(AND(BD4&lt;&gt;"", BG4&lt;&gt;""), SUM(BG$4:BG4), "")</f>
        <v>1042</v>
      </c>
      <c r="BJ4" s="18">
        <f t="shared" ref="BJ4:BJ35" si="9">IF(AND(BD4&lt;&gt;"", BG4&lt;&gt;""), BI4/BJ$1, "")</f>
        <v>3.2117868261258203E-2</v>
      </c>
      <c r="BK4" s="14"/>
      <c r="BL4" s="10">
        <v>50</v>
      </c>
      <c r="BM4" s="24" t="e" cm="1">
        <f t="array" aca="1" ref="BM4" ca="1">(BL4-INDIRECT(SUBSTITUTE(ADDRESS(1,COLUMN($C$9),4),"1","")&amp;SUMPRODUCT(($B$10:$D$26=INDIRECT(SUBSTITUTE(ADDRESS(1,COLUMN()-1,4),"1","")&amp;ROW()-3))*ROW($B$10:$D$26))))/INDIRECT(SUBSTITUTE(ADDRESS(1,COLUMN($D$9),4),"1","")&amp;SUMPRODUCT(($B$10:$D$26=INDIRECT(SUBSTITUTE(ADDRESS(1,COLUMN()-1,4),"1","")&amp;ROW()-3))*ROW($B$10:$D$26)))*10+50</f>
        <v>#DIV/0!</v>
      </c>
      <c r="BN4" s="8"/>
      <c r="BO4" s="45">
        <v>67</v>
      </c>
      <c r="BP4" s="37">
        <f>IF(AND(BO4&lt;&gt;"", BR4&lt;&gt;""), 1, "")</f>
        <v>1</v>
      </c>
      <c r="BQ4" s="165">
        <f>IF(AND(BO4&lt;&gt;"", BR4&lt;&gt;""), ROUND(100*(1-(0+BT4)/2/BU$1), $B$39), "")</f>
        <v>99</v>
      </c>
      <c r="BR4" s="50">
        <v>1364</v>
      </c>
      <c r="BS4" s="22">
        <f t="shared" ref="BS4:BS35" si="10">IF(AND(BO4&lt;&gt;"", BR4&lt;&gt;""), BR4/BU$1, "")</f>
        <v>2.447602641401091E-2</v>
      </c>
      <c r="BT4" s="23">
        <f>IF(AND(BO4&lt;&gt;"", BR4&lt;&gt;""), SUM(BR$4:BR4), "")</f>
        <v>1364</v>
      </c>
      <c r="BU4" s="22">
        <f t="shared" ref="BU4:BU35" si="11">IF(AND(BO4&lt;&gt;"", BR4&lt;&gt;""), BT4/BU$1, "")</f>
        <v>2.447602641401091E-2</v>
      </c>
      <c r="BV4" s="14"/>
      <c r="BW4" s="10">
        <v>50</v>
      </c>
      <c r="BX4" s="24" cm="1">
        <f t="array" aca="1" ref="BX4" ca="1">(BW4-INDIRECT(SUBSTITUTE(ADDRESS(1,COLUMN($C$9),4),"1","")&amp;SUMPRODUCT(($B$10:$D$26=INDIRECT(SUBSTITUTE(ADDRESS(1,COLUMN()-1,4),"1","")&amp;ROW()-3))*ROW($B$10:$D$26))))/INDIRECT(SUBSTITUTE(ADDRESS(1,COLUMN($D$9),4),"1","")&amp;SUMPRODUCT(($B$10:$D$26=INDIRECT(SUBSTITUTE(ADDRESS(1,COLUMN()-1,4),"1","")&amp;ROW()-3))*ROW($B$10:$D$26)))*10+50</f>
        <v>74.967622571692871</v>
      </c>
      <c r="BY4" s="8"/>
      <c r="BZ4" s="48">
        <v>75</v>
      </c>
      <c r="CA4" s="37">
        <f>IF(AND(BZ4&lt;&gt;"", CC4&lt;&gt;""), 1, "")</f>
        <v>1</v>
      </c>
      <c r="CB4" s="165">
        <f>IF(AND(BZ4&lt;&gt;"", CC4&lt;&gt;""), ROUND(100*(1-(0+CE4)/2/CF$1), $B$39), "")</f>
        <v>100</v>
      </c>
      <c r="CC4" s="51">
        <v>217</v>
      </c>
      <c r="CD4" s="18">
        <f t="shared" ref="CD4:CD35" si="12">IF(AND(BZ4&lt;&gt;"", CC4&lt;&gt;""), CC4/CF$1, "")</f>
        <v>4.0337571566659231E-3</v>
      </c>
      <c r="CE4" s="26">
        <f>IF(AND(BZ4&lt;&gt;"", CC4&lt;&gt;""), SUM(CC$4:CC4), "")</f>
        <v>217</v>
      </c>
      <c r="CF4" s="18">
        <f t="shared" ref="CF4:CF35" si="13">IF(AND(BZ4&lt;&gt;"", CC4&lt;&gt;""), CE4/CF$1, "")</f>
        <v>4.0337571566659231E-3</v>
      </c>
      <c r="CG4" s="14"/>
      <c r="CH4" s="10">
        <v>50</v>
      </c>
      <c r="CI4" s="24" t="e" cm="1">
        <f t="array" aca="1" ref="CI4" ca="1">(CH4-INDIRECT(SUBSTITUTE(ADDRESS(1,COLUMN($C$9),4),"1","")&amp;SUMPRODUCT(($B$10:$D$26=INDIRECT(SUBSTITUTE(ADDRESS(1,COLUMN()-1,4),"1","")&amp;ROW()-3))*ROW($B$10:$D$26))))/INDIRECT(SUBSTITUTE(ADDRESS(1,COLUMN($D$9),4),"1","")&amp;SUMPRODUCT(($B$10:$D$26=INDIRECT(SUBSTITUTE(ADDRESS(1,COLUMN()-1,4),"1","")&amp;ROW()-3))*ROW($B$10:$D$26)))*10+50</f>
        <v>#DIV/0!</v>
      </c>
      <c r="CJ4" s="8"/>
      <c r="CK4" s="48">
        <v>71</v>
      </c>
      <c r="CL4" s="37">
        <f>IF(AND(CK4&lt;&gt;"", CN4&lt;&gt;""), 1, "")</f>
        <v>1</v>
      </c>
      <c r="CM4" s="165">
        <f>IF(AND(CK4&lt;&gt;"", CN4&lt;&gt;""), ROUND(100*(1-(0+CP4)/2/CQ$1), $B$39), "")</f>
        <v>99</v>
      </c>
      <c r="CN4" s="51">
        <v>2788</v>
      </c>
      <c r="CO4" s="18">
        <f t="shared" ref="CO4:CO35" si="14">IF(AND(CK4&lt;&gt;"", CN4&lt;&gt;""), CN4/CQ$1, "")</f>
        <v>2.3299153441806438E-2</v>
      </c>
      <c r="CP4" s="26">
        <f>IF(AND(CK4&lt;&gt;"", CN4&lt;&gt;""), SUM(CN$4:CN4), "")</f>
        <v>2788</v>
      </c>
      <c r="CQ4" s="18">
        <f t="shared" ref="CQ4:CQ35" si="15">IF(AND(CK4&lt;&gt;"", CN4&lt;&gt;""), CP4/CQ$1, "")</f>
        <v>2.3299153441806438E-2</v>
      </c>
      <c r="CR4" s="14"/>
      <c r="CS4" s="10">
        <v>50</v>
      </c>
      <c r="CT4" s="24" t="e" cm="1">
        <f t="array" aca="1" ref="CT4" ca="1">(CS4-INDIRECT(SUBSTITUTE(ADDRESS(1,COLUMN($C$9),4),"1","")&amp;SUMPRODUCT(($B$10:$D$26=INDIRECT(SUBSTITUTE(ADDRESS(1,COLUMN()-1,4),"1","")&amp;ROW()-3))*ROW($B$10:$D$26))))/INDIRECT(SUBSTITUTE(ADDRESS(1,COLUMN($D$9),4),"1","")&amp;SUMPRODUCT(($B$10:$D$26=INDIRECT(SUBSTITUTE(ADDRESS(1,COLUMN()-1,4),"1","")&amp;ROW()-3))*ROW($B$10:$D$26)))*10+50</f>
        <v>#DIV/0!</v>
      </c>
      <c r="CU4" s="8"/>
      <c r="CV4" s="48">
        <v>70</v>
      </c>
      <c r="CW4" s="37">
        <f>IF(AND(CV4&lt;&gt;"", CY4&lt;&gt;""), 1, "")</f>
        <v>1</v>
      </c>
      <c r="CX4" s="165">
        <f>IF(AND(CV4&lt;&gt;"", CY4&lt;&gt;""), ROUND(100*(1-(0+DA4)/2/DB$1), $B$39), "")</f>
        <v>99</v>
      </c>
      <c r="CY4" s="51">
        <v>2474</v>
      </c>
      <c r="CZ4" s="18">
        <f t="shared" ref="CZ4:CZ35" si="16">IF(AND(CV4&lt;&gt;"", CY4&lt;&gt;""), CY4/DB$1, "")</f>
        <v>2.0442733079382918E-2</v>
      </c>
      <c r="DA4" s="26">
        <f>IF(AND(CV4&lt;&gt;"", CY4&lt;&gt;""), SUM(CY$4:CY4), "")</f>
        <v>2474</v>
      </c>
      <c r="DB4" s="18">
        <f t="shared" ref="DB4:DB35" si="17">IF(AND(CV4&lt;&gt;"", CY4&lt;&gt;""), DA4/DB$1, "")</f>
        <v>2.0442733079382918E-2</v>
      </c>
      <c r="FX4" s="28">
        <v>0</v>
      </c>
    </row>
    <row r="5" spans="1:180" ht="16" customHeight="1" thickBot="1" x14ac:dyDescent="0.25">
      <c r="A5" s="73" t="s">
        <v>38</v>
      </c>
      <c r="B5" s="122" t="s">
        <v>45</v>
      </c>
      <c r="C5" s="122"/>
      <c r="D5" s="123"/>
      <c r="E5" s="1"/>
      <c r="F5" s="68"/>
      <c r="G5" s="67">
        <v>1</v>
      </c>
      <c r="H5" s="1"/>
      <c r="I5" s="68"/>
      <c r="J5" s="67">
        <v>1</v>
      </c>
      <c r="K5" s="1"/>
      <c r="L5" s="1"/>
      <c r="M5" s="1"/>
      <c r="N5" s="1"/>
      <c r="O5" s="38"/>
      <c r="P5" s="83" t="str">
        <f>IF(AND(O5&lt;&gt;"", R5&lt;&gt;""), IF(U4 &gt; $A$36, $B$37, IF(U4 &gt; $A$35, $B$36, IF(U4 &gt; $A$34, $B$35, IF(U4 &gt; $A$33, $B$34, IF(U4 &gt; $A$32, $B$33,IF(U4 &gt; $A$31, $B$32, IF(U4 &gt; $A$30, $B$31, IF(U4 &gt; $A$29, $B$30, $B$29)))))))), "")</f>
        <v/>
      </c>
      <c r="Q5" s="164" t="str">
        <f t="shared" ref="Q5:Q68" si="18">IF(AND(O5&lt;&gt;"", R5&lt;&gt;""), ROUND(100*(1-(T4+T5)/2/U$1), $B$39), "")</f>
        <v/>
      </c>
      <c r="R5" s="43"/>
      <c r="S5" s="16" t="str">
        <f t="shared" si="0"/>
        <v/>
      </c>
      <c r="T5" s="17" t="str">
        <f>IF(AND(O5&lt;&gt;"", R5&lt;&gt;""), SUM(R$4:R5), "")</f>
        <v/>
      </c>
      <c r="U5" s="16" t="str">
        <f t="shared" si="1"/>
        <v/>
      </c>
      <c r="W5" s="38">
        <v>146</v>
      </c>
      <c r="X5" s="83">
        <f>IF(AND(W5&lt;&gt;"", Z5&lt;&gt;""), IF(AC4 &gt; $A$36, $B$37, IF(AC4 &gt; $A$35, $B$36, IF(AC4 &gt; $A$34, $B$35, IF(AC4 &gt; $A$33, $B$34, IF(AC4 &gt; $A$32, $B$33,IF(AC4 &gt; $A$31, $B$32, IF(AC4 &gt; $A$30, $B$31, IF(AC4 &gt; $A$29, $B$30, $B$29)))))))), "")</f>
        <v>1</v>
      </c>
      <c r="Y5" s="164">
        <f t="shared" ref="Y5:Y68" si="19">IF(AND(W5&lt;&gt;"", Z5&lt;&gt;""), ROUND(100*(1-(AB4+AB5)/2/AC$1), $B$39), "")</f>
        <v>100</v>
      </c>
      <c r="Z5" s="43">
        <v>682</v>
      </c>
      <c r="AA5" s="16">
        <f t="shared" si="2"/>
        <v>1.7596594207572728E-3</v>
      </c>
      <c r="AB5" s="17">
        <f>IF(AND(W5&lt;&gt;"", Z5&lt;&gt;""), SUM(Z$4:Z5), "")</f>
        <v>695</v>
      </c>
      <c r="AC5" s="16">
        <f t="shared" si="3"/>
        <v>1.793201315874347E-3</v>
      </c>
      <c r="AD5" s="1"/>
      <c r="AE5" s="19">
        <v>48</v>
      </c>
      <c r="AF5" s="20" t="e" cm="1">
        <f t="array" aca="1" ref="AF5" ca="1">(AE5-INDIRECT(SUBSTITUTE(ADDRESS(1,COLUMN($C$9),4),"1","")&amp;SUMPRODUCT(($B$10:$D$26=INDIRECT(SUBSTITUTE(ADDRESS(1,COLUMN()-1,4),"1","")&amp;ROW()-4))*ROW($B$10:$D$26))))/INDIRECT(SUBSTITUTE(ADDRESS(1,COLUMN($D$9),4),"1","")&amp;SUMPRODUCT(($B$10:$D$26=INDIRECT(SUBSTITUTE(ADDRESS(1,COLUMN()-1,4),"1","")&amp;ROW()-4))*ROW($B$10:$D$26)))*10+50</f>
        <v>#DIV/0!</v>
      </c>
      <c r="AG5" s="8"/>
      <c r="AH5" s="48">
        <v>64</v>
      </c>
      <c r="AI5" s="83">
        <f>IF(AND(AH5&lt;&gt;"", AK5&lt;&gt;""), IF(AN4 &gt; $A$36, $B$37, IF(AN4 &gt; $A$35, $B$36, IF(AN4 &gt; $A$34, $B$35, IF(AN4 &gt; $A$33, $B$34, IF(AN4 &gt; $A$32, $B$33,IF(AN4 &gt; $A$31, $B$32, IF(AN4 &gt; $A$30, $B$31, IF(AN4 &gt; $A$29, $B$30, $B$29)))))))), "")</f>
        <v>2</v>
      </c>
      <c r="AJ5" s="166">
        <f t="shared" ref="AJ5:AJ52" si="20">IF(AND(AH5&lt;&gt;"", AK5&lt;&gt;""), ROUND(100*(1-(AM4+AM5)/2/AN$1), $B$39), "")</f>
        <v>81</v>
      </c>
      <c r="AK5" s="51">
        <v>7397</v>
      </c>
      <c r="AL5" s="18">
        <f t="shared" si="4"/>
        <v>0.15940436169295749</v>
      </c>
      <c r="AM5" s="26">
        <f>IF(AND(AH5&lt;&gt;"", AK5&lt;&gt;""), SUM(AK$4:AK5), "")</f>
        <v>12400</v>
      </c>
      <c r="AN5" s="18">
        <f t="shared" si="5"/>
        <v>0.26721834324627186</v>
      </c>
      <c r="AO5" s="14"/>
      <c r="AP5" s="27">
        <v>48</v>
      </c>
      <c r="AQ5" s="20" t="e" cm="1">
        <f t="array" aca="1" ref="AQ5" ca="1">(AP5-INDIRECT(SUBSTITUTE(ADDRESS(1,COLUMN($C$9),4),"1","")&amp;SUMPRODUCT(($B$10:$D$26=INDIRECT(SUBSTITUTE(ADDRESS(1,COLUMN()-1,4),"1","")&amp;ROW()-4))*ROW($B$10:$D$26))))/INDIRECT(SUBSTITUTE(ADDRESS(1,COLUMN($D$9),4),"1","")&amp;SUMPRODUCT(($B$10:$D$26=INDIRECT(SUBSTITUTE(ADDRESS(1,COLUMN()-1,4),"1","")&amp;ROW()-4))*ROW($B$10:$D$26)))*10+50</f>
        <v>#DIV/0!</v>
      </c>
      <c r="AR5" s="8"/>
      <c r="AS5" s="49">
        <v>72</v>
      </c>
      <c r="AT5" s="83">
        <f>IF(AND(AS5&lt;&gt;"", AV5&lt;&gt;""), IF(AY4 &gt; $A$36, $B$37, IF(AY4 &gt; $A$35, $B$36, IF(AY4 &gt; $A$34, $B$35, IF(AY4 &gt; $A$33, $B$34, IF(AY4 &gt; $A$32, $B$33,IF(AY4 &gt; $A$31, $B$32, IF(AY4 &gt; $A$30, $B$31, IF(AY4 &gt; $A$29, $B$30, $B$29)))))))), "")</f>
        <v>1</v>
      </c>
      <c r="AU5" s="164">
        <f t="shared" ref="AU5:AU52" si="21">IF(AND(AS5&lt;&gt;"", AV5&lt;&gt;""), ROUND(100*(1-(AX4+AX5)/2/AY$1), $B$39), "")</f>
        <v>99</v>
      </c>
      <c r="AV5" s="52">
        <v>146</v>
      </c>
      <c r="AW5" s="16">
        <f t="shared" si="6"/>
        <v>4.7544613781425032E-3</v>
      </c>
      <c r="AX5" s="17">
        <f>IF(AND(AS5&lt;&gt;"", AV5&lt;&gt;""), SUM(AV$4:AV5), "")</f>
        <v>458</v>
      </c>
      <c r="AY5" s="16">
        <f t="shared" si="7"/>
        <v>1.4914680213625114E-2</v>
      </c>
      <c r="AZ5" s="14"/>
      <c r="BA5" s="27">
        <v>48</v>
      </c>
      <c r="BB5" s="20" t="e" cm="1">
        <f t="array" aca="1" ref="BB5" ca="1">(BA5-INDIRECT(SUBSTITUTE(ADDRESS(1,COLUMN($C$9),4),"1","")&amp;SUMPRODUCT(($B$10:$D$26=INDIRECT(SUBSTITUTE(ADDRESS(1,COLUMN()-1,4),"1","")&amp;ROW()-4))*ROW($B$10:$D$26))))/INDIRECT(SUBSTITUTE(ADDRESS(1,COLUMN($D$9),4),"1","")&amp;SUMPRODUCT(($B$10:$D$26=INDIRECT(SUBSTITUTE(ADDRESS(1,COLUMN()-1,4),"1","")&amp;ROW()-4))*ROW($B$10:$D$26)))*10+50</f>
        <v>#DIV/0!</v>
      </c>
      <c r="BC5" s="8"/>
      <c r="BD5" s="49">
        <v>68</v>
      </c>
      <c r="BE5" s="83">
        <f>IF(AND(BD5&lt;&gt;"", BG5&lt;&gt;""), IF(BJ4 &gt; $A$36, $B$37, IF(BJ4 &gt; $A$35, $B$36, IF(BJ4 &gt; $A$34, $B$35, IF(BJ4 &gt; $A$33, $B$34, IF(BJ4 &gt; $A$32, $B$33,IF(BJ4 &gt; $A$31, $B$32, IF(BJ4 &gt; $A$30, $B$31, IF(BJ4 &gt; $A$29, $B$30, $B$29)))))))), "")</f>
        <v>1</v>
      </c>
      <c r="BF5" s="164">
        <f t="shared" ref="BF5:BF52" si="22">IF(AND(BD5&lt;&gt;"", BG5&lt;&gt;""), ROUND(100*(1-(BI4+BI5)/2/BJ$1), $B$39), "")</f>
        <v>96</v>
      </c>
      <c r="BG5" s="52">
        <v>309</v>
      </c>
      <c r="BH5" s="16">
        <f t="shared" si="8"/>
        <v>9.524396634096724E-3</v>
      </c>
      <c r="BI5" s="17">
        <f>IF(AND(BD5&lt;&gt;"", BG5&lt;&gt;""), SUM(BG$4:BG5), "")</f>
        <v>1351</v>
      </c>
      <c r="BJ5" s="16">
        <f t="shared" si="9"/>
        <v>4.1642264895354927E-2</v>
      </c>
      <c r="BK5" s="14"/>
      <c r="BL5" s="27">
        <v>48</v>
      </c>
      <c r="BM5" s="20" t="e" cm="1">
        <f t="array" aca="1" ref="BM5" ca="1">(BL5-INDIRECT(SUBSTITUTE(ADDRESS(1,COLUMN($C$9),4),"1","")&amp;SUMPRODUCT(($B$10:$D$26=INDIRECT(SUBSTITUTE(ADDRESS(1,COLUMN()-1,4),"1","")&amp;ROW()-4))*ROW($B$10:$D$26))))/INDIRECT(SUBSTITUTE(ADDRESS(1,COLUMN($D$9),4),"1","")&amp;SUMPRODUCT(($B$10:$D$26=INDIRECT(SUBSTITUTE(ADDRESS(1,COLUMN()-1,4),"1","")&amp;ROW()-4))*ROW($B$10:$D$26)))*10+50</f>
        <v>#DIV/0!</v>
      </c>
      <c r="BN5" s="8"/>
      <c r="BO5" s="48">
        <v>66</v>
      </c>
      <c r="BP5" s="83">
        <f>IF(AND(BO5&lt;&gt;"", BR5&lt;&gt;""), IF(BU4 &gt; $A$36, $B$37, IF(BU4 &gt; $A$35, $B$36, IF(BU4 &gt; $A$34, $B$35, IF(BU4 &gt; $A$33, $B$34, IF(BU4 &gt; $A$32, $B$33,IF(BU4 &gt; $A$31, $B$32, IF(BU4 &gt; $A$30, $B$31, IF(BU4 &gt; $A$29, $B$30, $B$29)))))))), "")</f>
        <v>1</v>
      </c>
      <c r="BQ5" s="166">
        <f t="shared" ref="BQ5:BQ52" si="23">IF(AND(BO5&lt;&gt;"", BR5&lt;&gt;""), ROUND(100*(1-(BT4+BT5)/2/BU$1), $B$39), "")</f>
        <v>96</v>
      </c>
      <c r="BR5" s="51">
        <v>1827</v>
      </c>
      <c r="BS5" s="18">
        <f t="shared" si="10"/>
        <v>3.2784237726098189E-2</v>
      </c>
      <c r="BT5" s="26">
        <f>IF(AND(BO5&lt;&gt;"", BR5&lt;&gt;""), SUM(BR$4:BR5), "")</f>
        <v>3191</v>
      </c>
      <c r="BU5" s="18">
        <f t="shared" si="11"/>
        <v>5.7260264140109103E-2</v>
      </c>
      <c r="BV5" s="14"/>
      <c r="BW5" s="27">
        <v>48</v>
      </c>
      <c r="BX5" s="20" cm="1">
        <f t="array" aca="1" ref="BX5" ca="1">(BW5-INDIRECT(SUBSTITUTE(ADDRESS(1,COLUMN($C$9),4),"1","")&amp;SUMPRODUCT(($B$10:$D$26=INDIRECT(SUBSTITUTE(ADDRESS(1,COLUMN()-1,4),"1","")&amp;ROW()-4))*ROW($B$10:$D$26))))/INDIRECT(SUBSTITUTE(ADDRESS(1,COLUMN($D$9),4),"1","")&amp;SUMPRODUCT(($B$10:$D$26=INDIRECT(SUBSTITUTE(ADDRESS(1,COLUMN()-1,4),"1","")&amp;ROW()-4))*ROW($B$10:$D$26)))*10+50</f>
        <v>73.117483811285837</v>
      </c>
      <c r="BY5" s="8"/>
      <c r="BZ5" s="49">
        <v>73</v>
      </c>
      <c r="CA5" s="83">
        <f>IF(AND(BZ5&lt;&gt;"", CC5&lt;&gt;""), IF(CF4 &gt; $A$36, $B$37, IF(CF4 &gt; $A$35, $B$36, IF(CF4 &gt; $A$34, $B$35, IF(CF4 &gt; $A$33, $B$34, IF(CF4 &gt; $A$32, $B$33,IF(CF4 &gt; $A$31, $B$32, IF(CF4 &gt; $A$30, $B$31, IF(CF4 &gt; $A$29, $B$30, $B$29)))))))), "")</f>
        <v>1</v>
      </c>
      <c r="CB5" s="166">
        <f t="shared" ref="CB5:CB52" si="24">IF(AND(BZ5&lt;&gt;"", CC5&lt;&gt;""), ROUND(100*(1-(CE4+CE5)/2/CF$1), $B$39), "")</f>
        <v>99</v>
      </c>
      <c r="CC5" s="52">
        <v>152</v>
      </c>
      <c r="CD5" s="16">
        <f t="shared" si="12"/>
        <v>2.8254888839318909E-3</v>
      </c>
      <c r="CE5" s="17">
        <f>IF(AND(BZ5&lt;&gt;"", CC5&lt;&gt;""), SUM(CC$4:CC5), "")</f>
        <v>369</v>
      </c>
      <c r="CF5" s="16">
        <f t="shared" si="13"/>
        <v>6.8592460405978136E-3</v>
      </c>
      <c r="CG5" s="14"/>
      <c r="CH5" s="27">
        <v>48</v>
      </c>
      <c r="CI5" s="20" t="e" cm="1">
        <f t="array" aca="1" ref="CI5" ca="1">(CH5-INDIRECT(SUBSTITUTE(ADDRESS(1,COLUMN($C$9),4),"1","")&amp;SUMPRODUCT(($B$10:$D$26=INDIRECT(SUBSTITUTE(ADDRESS(1,COLUMN()-1,4),"1","")&amp;ROW()-4))*ROW($B$10:$D$26))))/INDIRECT(SUBSTITUTE(ADDRESS(1,COLUMN($D$9),4),"1","")&amp;SUMPRODUCT(($B$10:$D$26=INDIRECT(SUBSTITUTE(ADDRESS(1,COLUMN()-1,4),"1","")&amp;ROW()-4))*ROW($B$10:$D$26)))*10+50</f>
        <v>#DIV/0!</v>
      </c>
      <c r="CJ5" s="8"/>
      <c r="CK5" s="49">
        <v>69</v>
      </c>
      <c r="CL5" s="83">
        <f>IF(AND(CK5&lt;&gt;"", CN5&lt;&gt;""), IF(CQ4 &gt; $A$36, $B$37, IF(CQ4 &gt; $A$35, $B$36, IF(CQ4 &gt; $A$34, $B$35, IF(CQ4 &gt; $A$33, $B$34, IF(CQ4 &gt; $A$32, $B$33,IF(CQ4 &gt; $A$31, $B$32, IF(CQ4 &gt; $A$30, $B$31, IF(CQ4 &gt; $A$29, $B$30, $B$29)))))))), "")</f>
        <v>1</v>
      </c>
      <c r="CM5" s="166">
        <f t="shared" ref="CM5:CM52" si="25">IF(AND(CK5&lt;&gt;"", CN5&lt;&gt;""), ROUND(100*(1-(CP4+CP5)/2/CQ$1), $B$39), "")</f>
        <v>97</v>
      </c>
      <c r="CN5" s="52">
        <v>1042</v>
      </c>
      <c r="CO5" s="16">
        <f t="shared" si="14"/>
        <v>8.707933244749751E-3</v>
      </c>
      <c r="CP5" s="17">
        <f>IF(AND(CK5&lt;&gt;"", CN5&lt;&gt;""), SUM(CN$4:CN5), "")</f>
        <v>3830</v>
      </c>
      <c r="CQ5" s="16">
        <f t="shared" si="15"/>
        <v>3.2007086686556191E-2</v>
      </c>
      <c r="CR5" s="14"/>
      <c r="CS5" s="27">
        <v>48</v>
      </c>
      <c r="CT5" s="20" t="e" cm="1">
        <f t="array" aca="1" ref="CT5" ca="1">(CS5-INDIRECT(SUBSTITUTE(ADDRESS(1,COLUMN($C$9),4),"1","")&amp;SUMPRODUCT(($B$10:$D$26=INDIRECT(SUBSTITUTE(ADDRESS(1,COLUMN()-1,4),"1","")&amp;ROW()-4))*ROW($B$10:$D$26))))/INDIRECT(SUBSTITUTE(ADDRESS(1,COLUMN($D$9),4),"1","")&amp;SUMPRODUCT(($B$10:$D$26=INDIRECT(SUBSTITUTE(ADDRESS(1,COLUMN()-1,4),"1","")&amp;ROW()-4))*ROW($B$10:$D$26)))*10+50</f>
        <v>#DIV/0!</v>
      </c>
      <c r="CU5" s="8"/>
      <c r="CV5" s="49">
        <v>68</v>
      </c>
      <c r="CW5" s="83">
        <f>IF(AND(CV5&lt;&gt;"", CY5&lt;&gt;""), IF(DB4 &gt; $A$36, $B$37, IF(DB4 &gt; $A$35, $B$36, IF(DB4 &gt; $A$34, $B$35, IF(DB4 &gt; $A$33, $B$34, IF(DB4 &gt; $A$32, $B$33,IF(DB4 &gt; $A$31, $B$32, IF(DB4 &gt; $A$30, $B$31, IF(DB4 &gt; $A$29, $B$30, $B$29)))))))), "")</f>
        <v>1</v>
      </c>
      <c r="CX5" s="166">
        <f t="shared" ref="CX5:CX52" si="26">IF(AND(CV5&lt;&gt;"", CY5&lt;&gt;""), ROUND(100*(1-(DA4+DA5)/2/DB$1), $B$39), "")</f>
        <v>97</v>
      </c>
      <c r="CY5" s="52">
        <v>1944</v>
      </c>
      <c r="CZ5" s="16">
        <f t="shared" si="16"/>
        <v>1.6063327852190942E-2</v>
      </c>
      <c r="DA5" s="17">
        <f>IF(AND(CV5&lt;&gt;"", CY5&lt;&gt;""), SUM(CY$4:CY5), "")</f>
        <v>4418</v>
      </c>
      <c r="DB5" s="16">
        <f t="shared" si="17"/>
        <v>3.650606093157386E-2</v>
      </c>
      <c r="FX5" s="28">
        <v>0</v>
      </c>
    </row>
    <row r="6" spans="1:180" ht="16" customHeight="1" x14ac:dyDescent="0.2">
      <c r="A6"/>
      <c r="B6"/>
      <c r="C6"/>
      <c r="D6"/>
      <c r="E6" s="1"/>
      <c r="F6" s="68"/>
      <c r="G6" s="67">
        <v>2</v>
      </c>
      <c r="H6" s="1"/>
      <c r="I6" s="68"/>
      <c r="J6" s="67">
        <v>2</v>
      </c>
      <c r="K6" s="1"/>
      <c r="L6" s="1"/>
      <c r="M6" s="1"/>
      <c r="N6" s="1"/>
      <c r="O6" s="38"/>
      <c r="P6" s="83" t="str">
        <f>IF(AND(O6&lt;&gt;"", R6&lt;&gt;""), IF(U5 &gt; $A$36, $B$37, IF(U5 &gt; $A$35, $B$36, IF(U5 &gt; $A$34, $B$35, IF(U5 &gt; $A$33, $B$34, IF(U5 &gt; $A$32, $B$33,IF(U5 &gt; $A$31, $B$32, IF(U5 &gt; $A$30, $B$31, IF(U5 &gt; $A$29, $B$30, $B$29)))))))), "")</f>
        <v/>
      </c>
      <c r="Q6" s="164" t="str">
        <f t="shared" si="18"/>
        <v/>
      </c>
      <c r="R6" s="43"/>
      <c r="S6" s="16" t="str">
        <f t="shared" si="0"/>
        <v/>
      </c>
      <c r="T6" s="17" t="str">
        <f>IF(AND(O6&lt;&gt;"", R6&lt;&gt;""), SUM(R$4:R6), "")</f>
        <v/>
      </c>
      <c r="U6" s="16" t="str">
        <f t="shared" si="1"/>
        <v/>
      </c>
      <c r="W6" s="38">
        <v>145</v>
      </c>
      <c r="X6" s="83">
        <f>IF(AND(W6&lt;&gt;"", Z6&lt;&gt;""), IF(AC5 &gt; $A$36, $B$37, IF(AC5 &gt; $A$35, $B$36, IF(AC5 &gt; $A$34, $B$35, IF(AC5 &gt; $A$33, $B$34, IF(AC5 &gt; $A$32, $B$33,IF(AC5 &gt; $A$31, $B$32, IF(AC5 &gt; $A$30, $B$31, IF(AC5 &gt; $A$29, $B$30, $B$29)))))))), "")</f>
        <v>1</v>
      </c>
      <c r="Y6" s="164">
        <f t="shared" si="19"/>
        <v>100</v>
      </c>
      <c r="Z6" s="43">
        <v>2</v>
      </c>
      <c r="AA6" s="16">
        <f t="shared" si="2"/>
        <v>5.1602915564729407E-6</v>
      </c>
      <c r="AB6" s="17">
        <f>IF(AND(W6&lt;&gt;"", Z6&lt;&gt;""), SUM(Z$4:Z6), "")</f>
        <v>697</v>
      </c>
      <c r="AC6" s="16">
        <f t="shared" si="3"/>
        <v>1.7983616074308199E-3</v>
      </c>
      <c r="AD6" s="1"/>
      <c r="AE6" s="19">
        <v>47</v>
      </c>
      <c r="AF6" s="20" t="e" cm="1">
        <f t="array" aca="1" ref="AF6" ca="1">(AE6-INDIRECT(SUBSTITUTE(ADDRESS(1,COLUMN($C$9),4),"1","")&amp;SUMPRODUCT(($B$10:$D$26=INDIRECT(SUBSTITUTE(ADDRESS(1,COLUMN()-1,4),"1","")&amp;ROW()-5))*ROW($B$10:$D$26))))/INDIRECT(SUBSTITUTE(ADDRESS(1,COLUMN($D$9),4),"1","")&amp;SUMPRODUCT(($B$10:$D$26=INDIRECT(SUBSTITUTE(ADDRESS(1,COLUMN()-1,4),"1","")&amp;ROW()-5))*ROW($B$10:$D$26)))*10+50</f>
        <v>#DIV/0!</v>
      </c>
      <c r="AG6" s="8"/>
      <c r="AH6" s="49">
        <v>63</v>
      </c>
      <c r="AI6" s="83">
        <f>IF(AND(AH6&lt;&gt;"", AK6&lt;&gt;""), IF(AN5 &gt; $A$36, $B$37, IF(AN5 &gt; $A$35, $B$36, IF(AN5 &gt; $A$34, $B$35, IF(AN5 &gt; $A$33, $B$34, IF(AN5 &gt; $A$32, $B$33,IF(AN5 &gt; $A$31, $B$32, IF(AN5 &gt; $A$30, $B$31, IF(AN5 &gt; $A$29, $B$30, $B$29)))))))), "")</f>
        <v>4</v>
      </c>
      <c r="AJ6" s="164">
        <f t="shared" si="20"/>
        <v>71</v>
      </c>
      <c r="AK6" s="52">
        <v>1741</v>
      </c>
      <c r="AL6" s="16">
        <f t="shared" si="4"/>
        <v>3.7518317386432201E-2</v>
      </c>
      <c r="AM6" s="17">
        <f>IF(AND(AH6&lt;&gt;"", AK6&lt;&gt;""), SUM(AK$4:AK6), "")</f>
        <v>14141</v>
      </c>
      <c r="AN6" s="16">
        <f t="shared" si="5"/>
        <v>0.3047366606327041</v>
      </c>
      <c r="AO6" s="14"/>
      <c r="AP6" s="27">
        <v>47</v>
      </c>
      <c r="AQ6" s="20" t="e" cm="1">
        <f t="array" aca="1" ref="AQ6" ca="1">(AP6-INDIRECT(SUBSTITUTE(ADDRESS(1,COLUMN($C$9),4),"1","")&amp;SUMPRODUCT(($B$10:$D$26=INDIRECT(SUBSTITUTE(ADDRESS(1,COLUMN()-1,4),"1","")&amp;ROW()-5))*ROW($B$10:$D$26))))/INDIRECT(SUBSTITUTE(ADDRESS(1,COLUMN($D$9),4),"1","")&amp;SUMPRODUCT(($B$10:$D$26=INDIRECT(SUBSTITUTE(ADDRESS(1,COLUMN()-1,4),"1","")&amp;ROW()-5))*ROW($B$10:$D$26)))*10+50</f>
        <v>#DIV/0!</v>
      </c>
      <c r="AR6" s="8"/>
      <c r="AS6" s="49">
        <v>71</v>
      </c>
      <c r="AT6" s="83">
        <f>IF(AND(AS6&lt;&gt;"", AV6&lt;&gt;""), IF(AY5 &gt; $A$36, $B$37, IF(AY5 &gt; $A$35, $B$36, IF(AY5 &gt; $A$34, $B$35, IF(AY5 &gt; $A$33, $B$34, IF(AY5 &gt; $A$32, $B$33,IF(AY5 &gt; $A$31, $B$32, IF(AY5 &gt; $A$30, $B$31, IF(AY5 &gt; $A$29, $B$30, $B$29)))))))), "")</f>
        <v>1</v>
      </c>
      <c r="AU6" s="164">
        <f t="shared" si="21"/>
        <v>97</v>
      </c>
      <c r="AV6" s="52">
        <v>628</v>
      </c>
      <c r="AW6" s="16">
        <f t="shared" si="6"/>
        <v>2.0450696886804742E-2</v>
      </c>
      <c r="AX6" s="17">
        <f>IF(AND(AS6&lt;&gt;"", AV6&lt;&gt;""), SUM(AV$4:AV6), "")</f>
        <v>1086</v>
      </c>
      <c r="AY6" s="16">
        <f t="shared" si="7"/>
        <v>3.5365377100429855E-2</v>
      </c>
      <c r="AZ6" s="14"/>
      <c r="BA6" s="27">
        <v>47</v>
      </c>
      <c r="BB6" s="20" t="e" cm="1">
        <f t="array" aca="1" ref="BB6" ca="1">(BA6-INDIRECT(SUBSTITUTE(ADDRESS(1,COLUMN($C$9),4),"1","")&amp;SUMPRODUCT(($B$10:$D$26=INDIRECT(SUBSTITUTE(ADDRESS(1,COLUMN()-1,4),"1","")&amp;ROW()-5))*ROW($B$10:$D$26))))/INDIRECT(SUBSTITUTE(ADDRESS(1,COLUMN($D$9),4),"1","")&amp;SUMPRODUCT(($B$10:$D$26=INDIRECT(SUBSTITUTE(ADDRESS(1,COLUMN()-1,4),"1","")&amp;ROW()-5))*ROW($B$10:$D$26)))*10+50</f>
        <v>#DIV/0!</v>
      </c>
      <c r="BC6" s="8"/>
      <c r="BD6" s="49">
        <v>67</v>
      </c>
      <c r="BE6" s="83">
        <f>IF(AND(BD6&lt;&gt;"", BG6&lt;&gt;""), IF(BJ5 &gt; $A$36, $B$37, IF(BJ5 &gt; $A$35, $B$36, IF(BJ5 &gt; $A$34, $B$35, IF(BJ5 &gt; $A$33, $B$34, IF(BJ5 &gt; $A$32, $B$33,IF(BJ5 &gt; $A$31, $B$32, IF(BJ5 &gt; $A$30, $B$31, IF(BJ5 &gt; $A$29, $B$30, $B$29)))))))), "")</f>
        <v>2</v>
      </c>
      <c r="BF6" s="164">
        <f t="shared" si="22"/>
        <v>94</v>
      </c>
      <c r="BG6" s="52">
        <v>1188</v>
      </c>
      <c r="BH6" s="16">
        <f t="shared" si="8"/>
        <v>3.661806861264371E-2</v>
      </c>
      <c r="BI6" s="17">
        <f>IF(AND(BD6&lt;&gt;"", BG6&lt;&gt;""), SUM(BG$4:BG6), "")</f>
        <v>2539</v>
      </c>
      <c r="BJ6" s="16">
        <f t="shared" si="9"/>
        <v>7.8260333507998645E-2</v>
      </c>
      <c r="BK6" s="14"/>
      <c r="BL6" s="27">
        <v>47</v>
      </c>
      <c r="BM6" s="20" t="e" cm="1">
        <f t="array" aca="1" ref="BM6" ca="1">(BL6-INDIRECT(SUBSTITUTE(ADDRESS(1,COLUMN($C$9),4),"1","")&amp;SUMPRODUCT(($B$10:$D$26=INDIRECT(SUBSTITUTE(ADDRESS(1,COLUMN()-1,4),"1","")&amp;ROW()-5))*ROW($B$10:$D$26))))/INDIRECT(SUBSTITUTE(ADDRESS(1,COLUMN($D$9),4),"1","")&amp;SUMPRODUCT(($B$10:$D$26=INDIRECT(SUBSTITUTE(ADDRESS(1,COLUMN()-1,4),"1","")&amp;ROW()-5))*ROW($B$10:$D$26)))*10+50</f>
        <v>#DIV/0!</v>
      </c>
      <c r="BN6" s="8"/>
      <c r="BO6" s="49">
        <v>65</v>
      </c>
      <c r="BP6" s="83">
        <f>IF(AND(BO6&lt;&gt;"", BR6&lt;&gt;""), IF(BU5 &gt; $A$36, $B$37, IF(BU5 &gt; $A$35, $B$36, IF(BU5 &gt; $A$34, $B$35, IF(BU5 &gt; $A$33, $B$34, IF(BU5 &gt; $A$32, $B$33,IF(BU5 &gt; $A$31, $B$32, IF(BU5 &gt; $A$30, $B$31, IF(BU5 &gt; $A$29, $B$30, $B$29)))))))), "")</f>
        <v>2</v>
      </c>
      <c r="BQ6" s="164">
        <f t="shared" si="23"/>
        <v>94</v>
      </c>
      <c r="BR6" s="52">
        <v>703</v>
      </c>
      <c r="BS6" s="16">
        <f t="shared" si="10"/>
        <v>1.2614843525696239E-2</v>
      </c>
      <c r="BT6" s="17">
        <f>IF(AND(BO6&lt;&gt;"", BR6&lt;&gt;""), SUM(BR$4:BR6), "")</f>
        <v>3894</v>
      </c>
      <c r="BU6" s="16">
        <f t="shared" si="11"/>
        <v>6.9875107665805347E-2</v>
      </c>
      <c r="BV6" s="14"/>
      <c r="BW6" s="27">
        <v>47</v>
      </c>
      <c r="BX6" s="20" cm="1">
        <f t="array" aca="1" ref="BX6" ca="1">(BW6-INDIRECT(SUBSTITUTE(ADDRESS(1,COLUMN($C$9),4),"1","")&amp;SUMPRODUCT(($B$10:$D$26=INDIRECT(SUBSTITUTE(ADDRESS(1,COLUMN()-1,4),"1","")&amp;ROW()-5))*ROW($B$10:$D$26))))/INDIRECT(SUBSTITUTE(ADDRESS(1,COLUMN($D$9),4),"1","")&amp;SUMPRODUCT(($B$10:$D$26=INDIRECT(SUBSTITUTE(ADDRESS(1,COLUMN()-1,4),"1","")&amp;ROW()-5))*ROW($B$10:$D$26)))*10+50</f>
        <v>72.192414431082327</v>
      </c>
      <c r="BY6" s="8"/>
      <c r="BZ6" s="49">
        <v>72</v>
      </c>
      <c r="CA6" s="83">
        <f>IF(AND(BZ6&lt;&gt;"", CC6&lt;&gt;""), IF(CF5 &gt; $A$36, $B$37, IF(CF5 &gt; $A$35, $B$36, IF(CF5 &gt; $A$34, $B$35, IF(CF5 &gt; $A$33, $B$34, IF(CF5 &gt; $A$32, $B$33,IF(CF5 &gt; $A$31, $B$32, IF(CF5 &gt; $A$30, $B$31, IF(CF5 &gt; $A$29, $B$30, $B$29)))))))), "")</f>
        <v>1</v>
      </c>
      <c r="CB6" s="164">
        <f t="shared" si="24"/>
        <v>99</v>
      </c>
      <c r="CC6" s="52">
        <v>729</v>
      </c>
      <c r="CD6" s="16">
        <f t="shared" si="12"/>
        <v>1.3551193397278609E-2</v>
      </c>
      <c r="CE6" s="17">
        <f>IF(AND(BZ6&lt;&gt;"", CC6&lt;&gt;""), SUM(CC$4:CC6), "")</f>
        <v>1098</v>
      </c>
      <c r="CF6" s="16">
        <f t="shared" si="13"/>
        <v>2.0410439437876422E-2</v>
      </c>
      <c r="CG6" s="14"/>
      <c r="CH6" s="27">
        <v>47</v>
      </c>
      <c r="CI6" s="20" t="e" cm="1">
        <f t="array" aca="1" ref="CI6" ca="1">(CH6-INDIRECT(SUBSTITUTE(ADDRESS(1,COLUMN($C$9),4),"1","")&amp;SUMPRODUCT(($B$10:$D$26=INDIRECT(SUBSTITUTE(ADDRESS(1,COLUMN()-1,4),"1","")&amp;ROW()-5))*ROW($B$10:$D$26))))/INDIRECT(SUBSTITUTE(ADDRESS(1,COLUMN($D$9),4),"1","")&amp;SUMPRODUCT(($B$10:$D$26=INDIRECT(SUBSTITUTE(ADDRESS(1,COLUMN()-1,4),"1","")&amp;ROW()-5))*ROW($B$10:$D$26)))*10+50</f>
        <v>#DIV/0!</v>
      </c>
      <c r="CJ6" s="8"/>
      <c r="CK6" s="49"/>
      <c r="CL6" s="83" t="str">
        <f>IF(AND(CK6&lt;&gt;"", CN6&lt;&gt;""), IF(CQ5 &gt; $A$36, $B$37, IF(CQ5 &gt; $A$35, $B$36, IF(CQ5 &gt; $A$34, $B$35, IF(CQ5 &gt; $A$33, $B$34, IF(CQ5 &gt; $A$32, $B$33,IF(CQ5 &gt; $A$31, $B$32, IF(CQ5 &gt; $A$30, $B$31, IF(CQ5 &gt; $A$29, $B$30, $B$29)))))))), "")</f>
        <v/>
      </c>
      <c r="CM6" s="164" t="str">
        <f t="shared" si="25"/>
        <v/>
      </c>
      <c r="CN6" s="52">
        <v>3175</v>
      </c>
      <c r="CO6" s="16" t="str">
        <f t="shared" si="14"/>
        <v/>
      </c>
      <c r="CP6" s="17" t="str">
        <f>IF(AND(CK6&lt;&gt;"", CN6&lt;&gt;""), SUM(CN$4:CN6), "")</f>
        <v/>
      </c>
      <c r="CQ6" s="16" t="str">
        <f t="shared" si="15"/>
        <v/>
      </c>
      <c r="CR6" s="14"/>
      <c r="CS6" s="27">
        <v>47</v>
      </c>
      <c r="CT6" s="20" t="e" cm="1">
        <f t="array" aca="1" ref="CT6" ca="1">(CS6-INDIRECT(SUBSTITUTE(ADDRESS(1,COLUMN($C$9),4),"1","")&amp;SUMPRODUCT(($B$10:$D$26=INDIRECT(SUBSTITUTE(ADDRESS(1,COLUMN()-1,4),"1","")&amp;ROW()-5))*ROW($B$10:$D$26))))/INDIRECT(SUBSTITUTE(ADDRESS(1,COLUMN($D$9),4),"1","")&amp;SUMPRODUCT(($B$10:$D$26=INDIRECT(SUBSTITUTE(ADDRESS(1,COLUMN()-1,4),"1","")&amp;ROW()-5))*ROW($B$10:$D$26)))*10+50</f>
        <v>#DIV/0!</v>
      </c>
      <c r="CU6" s="8"/>
      <c r="CV6" s="49">
        <v>67</v>
      </c>
      <c r="CW6" s="83">
        <f>IF(AND(CV6&lt;&gt;"", CY6&lt;&gt;""), IF(DB5 &gt; $A$36, $B$37, IF(DB5 &gt; $A$35, $B$36, IF(DB5 &gt; $A$34, $B$35, IF(DB5 &gt; $A$33, $B$34, IF(DB5 &gt; $A$32, $B$33,IF(DB5 &gt; $A$31, $B$32, IF(DB5 &gt; $A$30, $B$31, IF(DB5 &gt; $A$29, $B$30, $B$29)))))))), "")</f>
        <v>1</v>
      </c>
      <c r="CX6" s="164">
        <f t="shared" si="26"/>
        <v>95</v>
      </c>
      <c r="CY6" s="52">
        <v>2405</v>
      </c>
      <c r="CZ6" s="16">
        <f t="shared" si="16"/>
        <v>1.9872584096974906E-2</v>
      </c>
      <c r="DA6" s="17">
        <f>IF(AND(CV6&lt;&gt;"", CY6&lt;&gt;""), SUM(CY$4:CY6), "")</f>
        <v>6823</v>
      </c>
      <c r="DB6" s="16">
        <f t="shared" si="17"/>
        <v>5.6378645028548766E-2</v>
      </c>
      <c r="FX6" s="28">
        <v>0</v>
      </c>
    </row>
    <row r="7" spans="1:180" ht="16" customHeight="1" thickBot="1" x14ac:dyDescent="0.25">
      <c r="A7" s="141" t="s">
        <v>44</v>
      </c>
      <c r="B7" s="141"/>
      <c r="C7" s="141"/>
      <c r="D7" s="141"/>
      <c r="E7" s="1"/>
      <c r="F7" s="68"/>
      <c r="G7" s="67">
        <v>3</v>
      </c>
      <c r="H7" s="1"/>
      <c r="I7" s="68"/>
      <c r="J7" s="67">
        <v>3</v>
      </c>
      <c r="K7" s="1"/>
      <c r="L7" s="1"/>
      <c r="M7" s="1"/>
      <c r="N7" s="1"/>
      <c r="O7" s="38"/>
      <c r="P7" s="83" t="str">
        <f t="shared" ref="P7:P70" si="27">IF(AND(O7&lt;&gt;"", R7&lt;&gt;""), IF(U6 &gt; $A$36, $B$37, IF(U6 &gt; $A$35, $B$36, IF(U6 &gt; $A$34, $B$35, IF(U6 &gt; $A$33, $B$34, IF(U6 &gt; $A$32, $B$33,IF(U6 &gt; $A$31, $B$32, IF(U6 &gt; $A$30, $B$31, IF(U6 &gt; $A$29, $B$30, $B$29)))))))), "")</f>
        <v/>
      </c>
      <c r="Q7" s="164" t="str">
        <f t="shared" si="18"/>
        <v/>
      </c>
      <c r="R7" s="43"/>
      <c r="S7" s="16" t="str">
        <f t="shared" si="0"/>
        <v/>
      </c>
      <c r="T7" s="17" t="str">
        <f>IF(AND(O7&lt;&gt;"", R7&lt;&gt;""), SUM(R$4:R7), "")</f>
        <v/>
      </c>
      <c r="U7" s="16" t="str">
        <f t="shared" si="1"/>
        <v/>
      </c>
      <c r="W7" s="38">
        <v>144</v>
      </c>
      <c r="X7" s="83">
        <f t="shared" ref="X7:X70" si="28">IF(AND(W7&lt;&gt;"", Z7&lt;&gt;""), IF(AC6 &gt; $A$36, $B$37, IF(AC6 &gt; $A$35, $B$36, IF(AC6 &gt; $A$34, $B$35, IF(AC6 &gt; $A$33, $B$34, IF(AC6 &gt; $A$32, $B$33,IF(AC6 &gt; $A$31, $B$32, IF(AC6 &gt; $A$30, $B$31, IF(AC6 &gt; $A$29, $B$30, $B$29)))))))), "")</f>
        <v>1</v>
      </c>
      <c r="Y7" s="164">
        <f t="shared" si="19"/>
        <v>100</v>
      </c>
      <c r="Z7" s="43">
        <v>133</v>
      </c>
      <c r="AA7" s="16">
        <f t="shared" si="2"/>
        <v>3.4315938850545057E-4</v>
      </c>
      <c r="AB7" s="17">
        <f>IF(AND(W7&lt;&gt;"", Z7&lt;&gt;""), SUM(Z$4:Z7), "")</f>
        <v>830</v>
      </c>
      <c r="AC7" s="16">
        <f t="shared" si="3"/>
        <v>2.1415209959362706E-3</v>
      </c>
      <c r="AD7" s="1"/>
      <c r="AE7" s="19">
        <v>46</v>
      </c>
      <c r="AF7" s="20" t="e" cm="1">
        <f t="array" aca="1" ref="AF7" ca="1">(AE7-INDIRECT(SUBSTITUTE(ADDRESS(1,COLUMN($C$9),4),"1","")&amp;SUMPRODUCT(($B$10:$D$26=INDIRECT(SUBSTITUTE(ADDRESS(1,COLUMN()-1,4),"1","")&amp;ROW()-6))*ROW($B$10:$D$26))))/INDIRECT(SUBSTITUTE(ADDRESS(1,COLUMN($D$9),4),"1","")&amp;SUMPRODUCT(($B$10:$D$26=INDIRECT(SUBSTITUTE(ADDRESS(1,COLUMN()-1,4),"1","")&amp;ROW()-6))*ROW($B$10:$D$26)))*10+50</f>
        <v>#DIV/0!</v>
      </c>
      <c r="AG7" s="8"/>
      <c r="AH7" s="49">
        <v>62</v>
      </c>
      <c r="AI7" s="83">
        <f t="shared" ref="AI7:AI52" si="29">IF(AND(AH7&lt;&gt;"", AK7&lt;&gt;""), IF(AN6 &gt; $A$36, $B$37, IF(AN6 &gt; $A$35, $B$36, IF(AN6 &gt; $A$34, $B$35, IF(AN6 &gt; $A$33, $B$34, IF(AN6 &gt; $A$32, $B$33,IF(AN6 &gt; $A$31, $B$32, IF(AN6 &gt; $A$30, $B$31, IF(AN6 &gt; $A$29, $B$30, $B$29)))))))), "")</f>
        <v>4</v>
      </c>
      <c r="AJ7" s="164">
        <f t="shared" si="20"/>
        <v>65</v>
      </c>
      <c r="AK7" s="52">
        <v>4561</v>
      </c>
      <c r="AL7" s="16">
        <f t="shared" si="4"/>
        <v>9.8288940608568229E-2</v>
      </c>
      <c r="AM7" s="17">
        <f>IF(AND(AH7&lt;&gt;"", AK7&lt;&gt;""), SUM(AK$4:AK7), "")</f>
        <v>18702</v>
      </c>
      <c r="AN7" s="16">
        <f t="shared" si="5"/>
        <v>0.40302560124127229</v>
      </c>
      <c r="AO7" s="14"/>
      <c r="AP7" s="27">
        <v>46</v>
      </c>
      <c r="AQ7" s="20" t="e" cm="1">
        <f t="array" aca="1" ref="AQ7" ca="1">(AP7-INDIRECT(SUBSTITUTE(ADDRESS(1,COLUMN($C$9),4),"1","")&amp;SUMPRODUCT(($B$10:$D$26=INDIRECT(SUBSTITUTE(ADDRESS(1,COLUMN()-1,4),"1","")&amp;ROW()-6))*ROW($B$10:$D$26))))/INDIRECT(SUBSTITUTE(ADDRESS(1,COLUMN($D$9),4),"1","")&amp;SUMPRODUCT(($B$10:$D$26=INDIRECT(SUBSTITUTE(ADDRESS(1,COLUMN()-1,4),"1","")&amp;ROW()-6))*ROW($B$10:$D$26)))*10+50</f>
        <v>#DIV/0!</v>
      </c>
      <c r="AR7" s="8"/>
      <c r="AS7" s="49">
        <v>70</v>
      </c>
      <c r="AT7" s="83">
        <f t="shared" ref="AT7:AT52" si="30">IF(AND(AS7&lt;&gt;"", AV7&lt;&gt;""), IF(AY6 &gt; $A$36, $B$37, IF(AY6 &gt; $A$35, $B$36, IF(AY6 &gt; $A$34, $B$35, IF(AY6 &gt; $A$33, $B$34, IF(AY6 &gt; $A$32, $B$33,IF(AY6 &gt; $A$31, $B$32, IF(AY6 &gt; $A$30, $B$31, IF(AY6 &gt; $A$29, $B$30, $B$29)))))))), "")</f>
        <v>1</v>
      </c>
      <c r="AU7" s="164">
        <f t="shared" si="21"/>
        <v>96</v>
      </c>
      <c r="AV7" s="52">
        <v>453</v>
      </c>
      <c r="AW7" s="16">
        <f t="shared" si="6"/>
        <v>1.4751856193825713E-2</v>
      </c>
      <c r="AX7" s="17">
        <f>IF(AND(AS7&lt;&gt;"", AV7&lt;&gt;""), SUM(AV$4:AV7), "")</f>
        <v>1539</v>
      </c>
      <c r="AY7" s="16">
        <f t="shared" si="7"/>
        <v>5.0117233294255568E-2</v>
      </c>
      <c r="AZ7" s="14"/>
      <c r="BA7" s="27">
        <v>46</v>
      </c>
      <c r="BB7" s="20" t="e" cm="1">
        <f t="array" aca="1" ref="BB7" ca="1">(BA7-INDIRECT(SUBSTITUTE(ADDRESS(1,COLUMN($C$9),4),"1","")&amp;SUMPRODUCT(($B$10:$D$26=INDIRECT(SUBSTITUTE(ADDRESS(1,COLUMN()-1,4),"1","")&amp;ROW()-6))*ROW($B$10:$D$26))))/INDIRECT(SUBSTITUTE(ADDRESS(1,COLUMN($D$9),4),"1","")&amp;SUMPRODUCT(($B$10:$D$26=INDIRECT(SUBSTITUTE(ADDRESS(1,COLUMN()-1,4),"1","")&amp;ROW()-6))*ROW($B$10:$D$26)))*10+50</f>
        <v>#DIV/0!</v>
      </c>
      <c r="BC7" s="8"/>
      <c r="BD7" s="49">
        <v>66</v>
      </c>
      <c r="BE7" s="83">
        <f t="shared" ref="BE7:BE52" si="31">IF(AND(BD7&lt;&gt;"", BG7&lt;&gt;""), IF(BJ6 &gt; $A$36, $B$37, IF(BJ6 &gt; $A$35, $B$36, IF(BJ6 &gt; $A$34, $B$35, IF(BJ6 &gt; $A$33, $B$34, IF(BJ6 &gt; $A$32, $B$33,IF(BJ6 &gt; $A$31, $B$32, IF(BJ6 &gt; $A$30, $B$31, IF(BJ6 &gt; $A$29, $B$30, $B$29)))))))), "")</f>
        <v>2</v>
      </c>
      <c r="BF7" s="164">
        <f t="shared" si="22"/>
        <v>91</v>
      </c>
      <c r="BG7" s="52">
        <v>595</v>
      </c>
      <c r="BH7" s="16">
        <f t="shared" si="8"/>
        <v>1.833985759639984E-2</v>
      </c>
      <c r="BI7" s="17">
        <f>IF(AND(BD7&lt;&gt;"", BG7&lt;&gt;""), SUM(BG$4:BG7), "")</f>
        <v>3134</v>
      </c>
      <c r="BJ7" s="16">
        <f t="shared" si="9"/>
        <v>9.6600191104398478E-2</v>
      </c>
      <c r="BK7" s="14"/>
      <c r="BL7" s="27">
        <v>46</v>
      </c>
      <c r="BM7" s="20" t="e" cm="1">
        <f t="array" aca="1" ref="BM7" ca="1">(BL7-INDIRECT(SUBSTITUTE(ADDRESS(1,COLUMN($C$9),4),"1","")&amp;SUMPRODUCT(($B$10:$D$26=INDIRECT(SUBSTITUTE(ADDRESS(1,COLUMN()-1,4),"1","")&amp;ROW()-6))*ROW($B$10:$D$26))))/INDIRECT(SUBSTITUTE(ADDRESS(1,COLUMN($D$9),4),"1","")&amp;SUMPRODUCT(($B$10:$D$26=INDIRECT(SUBSTITUTE(ADDRESS(1,COLUMN()-1,4),"1","")&amp;ROW()-6))*ROW($B$10:$D$26)))*10+50</f>
        <v>#DIV/0!</v>
      </c>
      <c r="BN7" s="8"/>
      <c r="BO7" s="49">
        <v>64</v>
      </c>
      <c r="BP7" s="83">
        <f t="shared" ref="BP7:BP52" si="32">IF(AND(BO7&lt;&gt;"", BR7&lt;&gt;""), IF(BU6 &gt; $A$36, $B$37, IF(BU6 &gt; $A$35, $B$36, IF(BU6 &gt; $A$34, $B$35, IF(BU6 &gt; $A$33, $B$34, IF(BU6 &gt; $A$32, $B$33,IF(BU6 &gt; $A$31, $B$32, IF(BU6 &gt; $A$30, $B$31, IF(BU6 &gt; $A$29, $B$30, $B$29)))))))), "")</f>
        <v>2</v>
      </c>
      <c r="BQ7" s="164">
        <f t="shared" si="23"/>
        <v>92</v>
      </c>
      <c r="BR7" s="52">
        <v>883</v>
      </c>
      <c r="BS7" s="16">
        <f t="shared" si="10"/>
        <v>1.5844817685902957E-2</v>
      </c>
      <c r="BT7" s="17">
        <f>IF(AND(BO7&lt;&gt;"", BR7&lt;&gt;""), SUM(BR$4:BR7), "")</f>
        <v>4777</v>
      </c>
      <c r="BU7" s="16">
        <f t="shared" si="11"/>
        <v>8.5719925351708304E-2</v>
      </c>
      <c r="BV7" s="14"/>
      <c r="BW7" s="27">
        <v>46</v>
      </c>
      <c r="BX7" s="20" cm="1">
        <f t="array" aca="1" ref="BX7" ca="1">(BW7-INDIRECT(SUBSTITUTE(ADDRESS(1,COLUMN($C$9),4),"1","")&amp;SUMPRODUCT(($B$10:$D$26=INDIRECT(SUBSTITUTE(ADDRESS(1,COLUMN()-1,4),"1","")&amp;ROW()-6))*ROW($B$10:$D$26))))/INDIRECT(SUBSTITUTE(ADDRESS(1,COLUMN($D$9),4),"1","")&amp;SUMPRODUCT(($B$10:$D$26=INDIRECT(SUBSTITUTE(ADDRESS(1,COLUMN()-1,4),"1","")&amp;ROW()-6))*ROW($B$10:$D$26)))*10+50</f>
        <v>71.267345050878816</v>
      </c>
      <c r="BY7" s="8"/>
      <c r="BZ7" s="49">
        <v>71</v>
      </c>
      <c r="CA7" s="83">
        <f t="shared" ref="CA7:CA52" si="33">IF(AND(BZ7&lt;&gt;"", CC7&lt;&gt;""), IF(CF6 &gt; $A$36, $B$37, IF(CF6 &gt; $A$35, $B$36, IF(CF6 &gt; $A$34, $B$35, IF(CF6 &gt; $A$33, $B$34, IF(CF6 &gt; $A$32, $B$33,IF(CF6 &gt; $A$31, $B$32, IF(CF6 &gt; $A$30, $B$31, IF(CF6 &gt; $A$29, $B$30, $B$29)))))))), "")</f>
        <v>1</v>
      </c>
      <c r="CB7" s="164">
        <f t="shared" si="24"/>
        <v>98</v>
      </c>
      <c r="CC7" s="52">
        <v>83</v>
      </c>
      <c r="CD7" s="16">
        <f t="shared" si="12"/>
        <v>1.5428656405680719E-3</v>
      </c>
      <c r="CE7" s="17">
        <f>IF(AND(BZ7&lt;&gt;"", CC7&lt;&gt;""), SUM(CC$4:CC7), "")</f>
        <v>1181</v>
      </c>
      <c r="CF7" s="16">
        <f t="shared" si="13"/>
        <v>2.1953305078444493E-2</v>
      </c>
      <c r="CG7" s="14"/>
      <c r="CH7" s="27">
        <v>46</v>
      </c>
      <c r="CI7" s="20" t="e" cm="1">
        <f t="array" aca="1" ref="CI7" ca="1">(CH7-INDIRECT(SUBSTITUTE(ADDRESS(1,COLUMN($C$9),4),"1","")&amp;SUMPRODUCT(($B$10:$D$26=INDIRECT(SUBSTITUTE(ADDRESS(1,COLUMN()-1,4),"1","")&amp;ROW()-6))*ROW($B$10:$D$26))))/INDIRECT(SUBSTITUTE(ADDRESS(1,COLUMN($D$9),4),"1","")&amp;SUMPRODUCT(($B$10:$D$26=INDIRECT(SUBSTITUTE(ADDRESS(1,COLUMN()-1,4),"1","")&amp;ROW()-6))*ROW($B$10:$D$26)))*10+50</f>
        <v>#DIV/0!</v>
      </c>
      <c r="CJ7" s="8"/>
      <c r="CK7" s="49">
        <v>65</v>
      </c>
      <c r="CL7" s="83">
        <f t="shared" ref="CL7:CL52" si="34">IF(AND(CK7&lt;&gt;"", CN7&lt;&gt;""), IF(CQ6 &gt; $A$36, $B$37, IF(CQ6 &gt; $A$35, $B$36, IF(CQ6 &gt; $A$34, $B$35, IF(CQ6 &gt; $A$33, $B$34, IF(CQ6 &gt; $A$32, $B$33,IF(CQ6 &gt; $A$31, $B$32, IF(CQ6 &gt; $A$30, $B$31, IF(CQ6 &gt; $A$29, $B$30, $B$29)))))))), "")</f>
        <v>9</v>
      </c>
      <c r="CM7" s="164" t="e">
        <f t="shared" si="25"/>
        <v>#VALUE!</v>
      </c>
      <c r="CN7" s="52">
        <v>267</v>
      </c>
      <c r="CO7" s="16">
        <f t="shared" si="14"/>
        <v>2.2313034321959535E-3</v>
      </c>
      <c r="CP7" s="17">
        <f>IF(AND(CK7&lt;&gt;"", CN7&lt;&gt;""), SUM(CN$4:CN7), "")</f>
        <v>7272</v>
      </c>
      <c r="CQ7" s="16">
        <f t="shared" si="15"/>
        <v>6.0771679995988669E-2</v>
      </c>
      <c r="CR7" s="14"/>
      <c r="CS7" s="27">
        <v>46</v>
      </c>
      <c r="CT7" s="20" t="e" cm="1">
        <f t="array" aca="1" ref="CT7" ca="1">(CS7-INDIRECT(SUBSTITUTE(ADDRESS(1,COLUMN($C$9),4),"1","")&amp;SUMPRODUCT(($B$10:$D$26=INDIRECT(SUBSTITUTE(ADDRESS(1,COLUMN()-1,4),"1","")&amp;ROW()-6))*ROW($B$10:$D$26))))/INDIRECT(SUBSTITUTE(ADDRESS(1,COLUMN($D$9),4),"1","")&amp;SUMPRODUCT(($B$10:$D$26=INDIRECT(SUBSTITUTE(ADDRESS(1,COLUMN()-1,4),"1","")&amp;ROW()-6))*ROW($B$10:$D$26)))*10+50</f>
        <v>#DIV/0!</v>
      </c>
      <c r="CU7" s="8"/>
      <c r="CV7" s="49">
        <v>66</v>
      </c>
      <c r="CW7" s="83">
        <f t="shared" ref="CW7:CW52" si="35">IF(AND(CV7&lt;&gt;"", CY7&lt;&gt;""), IF(DB6 &gt; $A$36, $B$37, IF(DB6 &gt; $A$35, $B$36, IF(DB6 &gt; $A$34, $B$35, IF(DB6 &gt; $A$33, $B$34, IF(DB6 &gt; $A$32, $B$33,IF(DB6 &gt; $A$31, $B$32, IF(DB6 &gt; $A$30, $B$31, IF(DB6 &gt; $A$29, $B$30, $B$29)))))))), "")</f>
        <v>2</v>
      </c>
      <c r="CX7" s="164">
        <f t="shared" si="26"/>
        <v>93</v>
      </c>
      <c r="CY7" s="52">
        <v>4004</v>
      </c>
      <c r="CZ7" s="16">
        <f t="shared" si="16"/>
        <v>3.3085167037125787E-2</v>
      </c>
      <c r="DA7" s="17">
        <f>IF(AND(CV7&lt;&gt;"", CY7&lt;&gt;""), SUM(CY$4:CY7), "")</f>
        <v>10827</v>
      </c>
      <c r="DB7" s="16">
        <f t="shared" si="17"/>
        <v>8.9463812065674553E-2</v>
      </c>
      <c r="FX7" s="28">
        <v>0</v>
      </c>
    </row>
    <row r="8" spans="1:180" ht="16" customHeight="1" thickTop="1" x14ac:dyDescent="0.2">
      <c r="E8" s="1"/>
      <c r="F8" s="68"/>
      <c r="G8" s="67">
        <v>4</v>
      </c>
      <c r="H8" s="1"/>
      <c r="I8" s="68"/>
      <c r="J8" s="67">
        <v>4</v>
      </c>
      <c r="K8" s="1"/>
      <c r="L8" s="1"/>
      <c r="M8" s="1"/>
      <c r="N8" s="1"/>
      <c r="O8" s="38"/>
      <c r="P8" s="83" t="str">
        <f t="shared" si="27"/>
        <v/>
      </c>
      <c r="Q8" s="164" t="str">
        <f t="shared" si="18"/>
        <v/>
      </c>
      <c r="R8" s="43"/>
      <c r="S8" s="16" t="str">
        <f t="shared" si="0"/>
        <v/>
      </c>
      <c r="T8" s="17" t="str">
        <f>IF(AND(O8&lt;&gt;"", R8&lt;&gt;""), SUM(R$4:R8), "")</f>
        <v/>
      </c>
      <c r="U8" s="16" t="str">
        <f t="shared" si="1"/>
        <v/>
      </c>
      <c r="W8" s="38">
        <v>143</v>
      </c>
      <c r="X8" s="83">
        <f t="shared" si="28"/>
        <v>1</v>
      </c>
      <c r="Y8" s="164">
        <f t="shared" si="19"/>
        <v>100</v>
      </c>
      <c r="Z8" s="43">
        <v>1316</v>
      </c>
      <c r="AA8" s="16">
        <f t="shared" si="2"/>
        <v>3.395471844159195E-3</v>
      </c>
      <c r="AB8" s="17">
        <f>IF(AND(W8&lt;&gt;"", Z8&lt;&gt;""), SUM(Z$4:Z8), "")</f>
        <v>2146</v>
      </c>
      <c r="AC8" s="16">
        <f t="shared" si="3"/>
        <v>5.5369928400954655E-3</v>
      </c>
      <c r="AD8" s="1"/>
      <c r="AE8" s="19">
        <v>45</v>
      </c>
      <c r="AF8" s="20" t="e" cm="1">
        <f t="array" aca="1" ref="AF8" ca="1">(AE8-INDIRECT(SUBSTITUTE(ADDRESS(1,COLUMN($C$9),4),"1","")&amp;SUMPRODUCT(($B$10:$D$26=INDIRECT(SUBSTITUTE(ADDRESS(1,COLUMN()-1,4),"1","")&amp;ROW()-7))*ROW($B$10:$D$26))))/INDIRECT(SUBSTITUTE(ADDRESS(1,COLUMN($D$9),4),"1","")&amp;SUMPRODUCT(($B$10:$D$26=INDIRECT(SUBSTITUTE(ADDRESS(1,COLUMN()-1,4),"1","")&amp;ROW()-7))*ROW($B$10:$D$26)))*10+50</f>
        <v>#DIV/0!</v>
      </c>
      <c r="AG8" s="8"/>
      <c r="AH8" s="49">
        <v>61</v>
      </c>
      <c r="AI8" s="83">
        <f t="shared" si="29"/>
        <v>5</v>
      </c>
      <c r="AJ8" s="164">
        <f t="shared" si="20"/>
        <v>57</v>
      </c>
      <c r="AK8" s="52">
        <v>2431</v>
      </c>
      <c r="AL8" s="16">
        <f t="shared" si="4"/>
        <v>5.2387725196103782E-2</v>
      </c>
      <c r="AM8" s="17">
        <f>IF(AND(AH8&lt;&gt;"", AK8&lt;&gt;""), SUM(AK$4:AK8), "")</f>
        <v>21133</v>
      </c>
      <c r="AN8" s="16">
        <f t="shared" si="5"/>
        <v>0.45541332643737609</v>
      </c>
      <c r="AO8" s="14"/>
      <c r="AP8" s="27">
        <v>45</v>
      </c>
      <c r="AQ8" s="20" t="e" cm="1">
        <f t="array" aca="1" ref="AQ8" ca="1">(AP8-INDIRECT(SUBSTITUTE(ADDRESS(1,COLUMN($C$9),4),"1","")&amp;SUMPRODUCT(($B$10:$D$26=INDIRECT(SUBSTITUTE(ADDRESS(1,COLUMN()-1,4),"1","")&amp;ROW()-7))*ROW($B$10:$D$26))))/INDIRECT(SUBSTITUTE(ADDRESS(1,COLUMN($D$9),4),"1","")&amp;SUMPRODUCT(($B$10:$D$26=INDIRECT(SUBSTITUTE(ADDRESS(1,COLUMN()-1,4),"1","")&amp;ROW()-7))*ROW($B$10:$D$26)))*10+50</f>
        <v>#DIV/0!</v>
      </c>
      <c r="AR8" s="8"/>
      <c r="AS8" s="49">
        <v>69</v>
      </c>
      <c r="AT8" s="83">
        <f t="shared" si="30"/>
        <v>2</v>
      </c>
      <c r="AU8" s="164">
        <f t="shared" si="21"/>
        <v>94</v>
      </c>
      <c r="AV8" s="52">
        <v>484</v>
      </c>
      <c r="AW8" s="16">
        <f t="shared" si="6"/>
        <v>1.5761365116581997E-2</v>
      </c>
      <c r="AX8" s="17">
        <f>IF(AND(AS8&lt;&gt;"", AV8&lt;&gt;""), SUM(AV$4:AV8), "")</f>
        <v>2023</v>
      </c>
      <c r="AY8" s="16">
        <f t="shared" si="7"/>
        <v>6.5878598410837569E-2</v>
      </c>
      <c r="AZ8" s="14"/>
      <c r="BA8" s="27">
        <v>45</v>
      </c>
      <c r="BB8" s="20" t="e" cm="1">
        <f t="array" aca="1" ref="BB8" ca="1">(BA8-INDIRECT(SUBSTITUTE(ADDRESS(1,COLUMN($C$9),4),"1","")&amp;SUMPRODUCT(($B$10:$D$26=INDIRECT(SUBSTITUTE(ADDRESS(1,COLUMN()-1,4),"1","")&amp;ROW()-7))*ROW($B$10:$D$26))))/INDIRECT(SUBSTITUTE(ADDRESS(1,COLUMN($D$9),4),"1","")&amp;SUMPRODUCT(($B$10:$D$26=INDIRECT(SUBSTITUTE(ADDRESS(1,COLUMN()-1,4),"1","")&amp;ROW()-7))*ROW($B$10:$D$26)))*10+50</f>
        <v>#DIV/0!</v>
      </c>
      <c r="BC8" s="8"/>
      <c r="BD8" s="49">
        <v>65</v>
      </c>
      <c r="BE8" s="83">
        <f t="shared" si="31"/>
        <v>2</v>
      </c>
      <c r="BF8" s="164">
        <f t="shared" si="22"/>
        <v>89</v>
      </c>
      <c r="BG8" s="52">
        <v>659</v>
      </c>
      <c r="BH8" s="16">
        <f t="shared" si="8"/>
        <v>2.0312548161390748E-2</v>
      </c>
      <c r="BI8" s="17">
        <f>IF(AND(BD8&lt;&gt;"", BG8&lt;&gt;""), SUM(BG$4:BG8), "")</f>
        <v>3793</v>
      </c>
      <c r="BJ8" s="16">
        <f t="shared" si="9"/>
        <v>0.11691273926578923</v>
      </c>
      <c r="BK8" s="14"/>
      <c r="BL8" s="27">
        <v>45</v>
      </c>
      <c r="BM8" s="20" t="e" cm="1">
        <f t="array" aca="1" ref="BM8" ca="1">(BL8-INDIRECT(SUBSTITUTE(ADDRESS(1,COLUMN($C$9),4),"1","")&amp;SUMPRODUCT(($B$10:$D$26=INDIRECT(SUBSTITUTE(ADDRESS(1,COLUMN()-1,4),"1","")&amp;ROW()-7))*ROW($B$10:$D$26))))/INDIRECT(SUBSTITUTE(ADDRESS(1,COLUMN($D$9),4),"1","")&amp;SUMPRODUCT(($B$10:$D$26=INDIRECT(SUBSTITUTE(ADDRESS(1,COLUMN()-1,4),"1","")&amp;ROW()-7))*ROW($B$10:$D$26)))*10+50</f>
        <v>#DIV/0!</v>
      </c>
      <c r="BN8" s="8"/>
      <c r="BO8" s="49">
        <v>63</v>
      </c>
      <c r="BP8" s="83">
        <f t="shared" si="32"/>
        <v>2</v>
      </c>
      <c r="BQ8" s="164">
        <f t="shared" si="23"/>
        <v>89</v>
      </c>
      <c r="BR8" s="52">
        <v>2354</v>
      </c>
      <c r="BS8" s="16">
        <f t="shared" si="10"/>
        <v>4.2240884295147864E-2</v>
      </c>
      <c r="BT8" s="17">
        <f>IF(AND(BO8&lt;&gt;"", BR8&lt;&gt;""), SUM(BR$4:BR8), "")</f>
        <v>7131</v>
      </c>
      <c r="BU8" s="16">
        <f t="shared" si="11"/>
        <v>0.12796080964685616</v>
      </c>
      <c r="BV8" s="14"/>
      <c r="BW8" s="27">
        <v>45</v>
      </c>
      <c r="BX8" s="20" cm="1">
        <f t="array" aca="1" ref="BX8" ca="1">(BW8-INDIRECT(SUBSTITUTE(ADDRESS(1,COLUMN($C$9),4),"1","")&amp;SUMPRODUCT(($B$10:$D$26=INDIRECT(SUBSTITUTE(ADDRESS(1,COLUMN()-1,4),"1","")&amp;ROW()-7))*ROW($B$10:$D$26))))/INDIRECT(SUBSTITUTE(ADDRESS(1,COLUMN($D$9),4),"1","")&amp;SUMPRODUCT(($B$10:$D$26=INDIRECT(SUBSTITUTE(ADDRESS(1,COLUMN()-1,4),"1","")&amp;ROW()-7))*ROW($B$10:$D$26)))*10+50</f>
        <v>70.342275670675292</v>
      </c>
      <c r="BY8" s="8"/>
      <c r="BZ8" s="49">
        <v>70</v>
      </c>
      <c r="CA8" s="83">
        <f t="shared" si="33"/>
        <v>1</v>
      </c>
      <c r="CB8" s="164">
        <f t="shared" si="24"/>
        <v>97</v>
      </c>
      <c r="CC8" s="52">
        <v>607</v>
      </c>
      <c r="CD8" s="16">
        <f t="shared" si="12"/>
        <v>1.1283366793070116E-2</v>
      </c>
      <c r="CE8" s="17">
        <f>IF(AND(BZ8&lt;&gt;"", CC8&lt;&gt;""), SUM(CC$4:CC8), "")</f>
        <v>1788</v>
      </c>
      <c r="CF8" s="16">
        <f t="shared" si="13"/>
        <v>3.3236671871514613E-2</v>
      </c>
      <c r="CG8" s="14"/>
      <c r="CH8" s="27">
        <v>45</v>
      </c>
      <c r="CI8" s="20" t="e" cm="1">
        <f t="array" aca="1" ref="CI8" ca="1">(CH8-INDIRECT(SUBSTITUTE(ADDRESS(1,COLUMN($C$9),4),"1","")&amp;SUMPRODUCT(($B$10:$D$26=INDIRECT(SUBSTITUTE(ADDRESS(1,COLUMN()-1,4),"1","")&amp;ROW()-7))*ROW($B$10:$D$26))))/INDIRECT(SUBSTITUTE(ADDRESS(1,COLUMN($D$9),4),"1","")&amp;SUMPRODUCT(($B$10:$D$26=INDIRECT(SUBSTITUTE(ADDRESS(1,COLUMN()-1,4),"1","")&amp;ROW()-7))*ROW($B$10:$D$26)))*10+50</f>
        <v>#DIV/0!</v>
      </c>
      <c r="CJ8" s="8"/>
      <c r="CK8" s="49">
        <v>64</v>
      </c>
      <c r="CL8" s="83">
        <f t="shared" si="34"/>
        <v>2</v>
      </c>
      <c r="CM8" s="164">
        <f t="shared" si="25"/>
        <v>92</v>
      </c>
      <c r="CN8" s="52">
        <v>3796</v>
      </c>
      <c r="CO8" s="16">
        <f t="shared" si="14"/>
        <v>3.1722950668973182E-2</v>
      </c>
      <c r="CP8" s="17">
        <f>IF(AND(CK8&lt;&gt;"", CN8&lt;&gt;""), SUM(CN$4:CN8), "")</f>
        <v>11068</v>
      </c>
      <c r="CQ8" s="16">
        <f t="shared" si="15"/>
        <v>9.2494630664961844E-2</v>
      </c>
      <c r="CR8" s="14"/>
      <c r="CS8" s="27">
        <v>45</v>
      </c>
      <c r="CT8" s="20" t="e" cm="1">
        <f t="array" aca="1" ref="CT8" ca="1">(CS8-INDIRECT(SUBSTITUTE(ADDRESS(1,COLUMN($C$9),4),"1","")&amp;SUMPRODUCT(($B$10:$D$26=INDIRECT(SUBSTITUTE(ADDRESS(1,COLUMN()-1,4),"1","")&amp;ROW()-7))*ROW($B$10:$D$26))))/INDIRECT(SUBSTITUTE(ADDRESS(1,COLUMN($D$9),4),"1","")&amp;SUMPRODUCT(($B$10:$D$26=INDIRECT(SUBSTITUTE(ADDRESS(1,COLUMN()-1,4),"1","")&amp;ROW()-7))*ROW($B$10:$D$26)))*10+50</f>
        <v>#DIV/0!</v>
      </c>
      <c r="CU8" s="8"/>
      <c r="CV8" s="49">
        <v>65</v>
      </c>
      <c r="CW8" s="83">
        <f t="shared" si="35"/>
        <v>2</v>
      </c>
      <c r="CX8" s="164">
        <f t="shared" si="26"/>
        <v>90</v>
      </c>
      <c r="CY8" s="52">
        <v>1752</v>
      </c>
      <c r="CZ8" s="16">
        <f t="shared" si="16"/>
        <v>1.447682633592517E-2</v>
      </c>
      <c r="DA8" s="17">
        <f>IF(AND(CV8&lt;&gt;"", CY8&lt;&gt;""), SUM(CY$4:CY8), "")</f>
        <v>12579</v>
      </c>
      <c r="DB8" s="16">
        <f t="shared" si="17"/>
        <v>0.10394063840159973</v>
      </c>
      <c r="FX8" s="28">
        <v>0</v>
      </c>
    </row>
    <row r="9" spans="1:180" ht="16" customHeight="1" x14ac:dyDescent="0.2">
      <c r="A9" s="74" t="s">
        <v>0</v>
      </c>
      <c r="B9" s="74" t="s">
        <v>1</v>
      </c>
      <c r="C9" s="74" t="s">
        <v>2</v>
      </c>
      <c r="D9" s="74" t="s">
        <v>3</v>
      </c>
      <c r="E9" s="1"/>
      <c r="F9" s="68"/>
      <c r="G9" s="67">
        <v>5</v>
      </c>
      <c r="H9" s="1"/>
      <c r="I9" s="68"/>
      <c r="J9" s="67">
        <v>5</v>
      </c>
      <c r="K9" s="1"/>
      <c r="L9" s="1"/>
      <c r="M9" s="1"/>
      <c r="N9" s="1"/>
      <c r="O9" s="38"/>
      <c r="P9" s="83" t="str">
        <f t="shared" si="27"/>
        <v/>
      </c>
      <c r="Q9" s="164" t="str">
        <f t="shared" si="18"/>
        <v/>
      </c>
      <c r="R9" s="43"/>
      <c r="S9" s="16" t="str">
        <f t="shared" si="0"/>
        <v/>
      </c>
      <c r="T9" s="17" t="str">
        <f>IF(AND(O9&lt;&gt;"", R9&lt;&gt;""), SUM(R$4:R9), "")</f>
        <v/>
      </c>
      <c r="U9" s="16" t="str">
        <f t="shared" si="1"/>
        <v/>
      </c>
      <c r="W9" s="38">
        <v>142</v>
      </c>
      <c r="X9" s="83">
        <f t="shared" si="28"/>
        <v>1</v>
      </c>
      <c r="Y9" s="164">
        <f t="shared" si="19"/>
        <v>99</v>
      </c>
      <c r="Z9" s="43">
        <v>27</v>
      </c>
      <c r="AA9" s="16">
        <f t="shared" si="2"/>
        <v>6.9663936012384693E-5</v>
      </c>
      <c r="AB9" s="17">
        <f>IF(AND(W9&lt;&gt;"", Z9&lt;&gt;""), SUM(Z$4:Z9), "")</f>
        <v>2173</v>
      </c>
      <c r="AC9" s="16">
        <f t="shared" si="3"/>
        <v>5.6066567761078505E-3</v>
      </c>
      <c r="AD9" s="1"/>
      <c r="AE9" s="19">
        <v>44</v>
      </c>
      <c r="AF9" s="20" t="e" cm="1">
        <f t="array" aca="1" ref="AF9" ca="1">(AE9-INDIRECT(SUBSTITUTE(ADDRESS(1,COLUMN($C$9),4),"1","")&amp;SUMPRODUCT(($B$10:$D$26=INDIRECT(SUBSTITUTE(ADDRESS(1,COLUMN()-1,4),"1","")&amp;ROW()-8))*ROW($B$10:$D$26))))/INDIRECT(SUBSTITUTE(ADDRESS(1,COLUMN($D$9),4),"1","")&amp;SUMPRODUCT(($B$10:$D$26=INDIRECT(SUBSTITUTE(ADDRESS(1,COLUMN()-1,4),"1","")&amp;ROW()-8))*ROW($B$10:$D$26)))*10+50</f>
        <v>#DIV/0!</v>
      </c>
      <c r="AG9" s="8"/>
      <c r="AH9" s="49">
        <v>60</v>
      </c>
      <c r="AI9" s="83">
        <f t="shared" si="29"/>
        <v>5</v>
      </c>
      <c r="AJ9" s="164">
        <f t="shared" si="20"/>
        <v>53</v>
      </c>
      <c r="AK9" s="52">
        <v>1147</v>
      </c>
      <c r="AL9" s="16">
        <f t="shared" si="4"/>
        <v>2.4717696750280148E-2</v>
      </c>
      <c r="AM9" s="17">
        <f>IF(AND(AH9&lt;&gt;"", AK9&lt;&gt;""), SUM(AK$4:AK9), "")</f>
        <v>22280</v>
      </c>
      <c r="AN9" s="16">
        <f t="shared" si="5"/>
        <v>0.48013102318765621</v>
      </c>
      <c r="AO9" s="14"/>
      <c r="AP9" s="27">
        <v>44</v>
      </c>
      <c r="AQ9" s="20" t="e" cm="1">
        <f t="array" aca="1" ref="AQ9" ca="1">(AP9-INDIRECT(SUBSTITUTE(ADDRESS(1,COLUMN($C$9),4),"1","")&amp;SUMPRODUCT(($B$10:$D$26=INDIRECT(SUBSTITUTE(ADDRESS(1,COLUMN()-1,4),"1","")&amp;ROW()-8))*ROW($B$10:$D$26))))/INDIRECT(SUBSTITUTE(ADDRESS(1,COLUMN($D$9),4),"1","")&amp;SUMPRODUCT(($B$10:$D$26=INDIRECT(SUBSTITUTE(ADDRESS(1,COLUMN()-1,4),"1","")&amp;ROW()-8))*ROW($B$10:$D$26)))*10+50</f>
        <v>#DIV/0!</v>
      </c>
      <c r="AR9" s="8"/>
      <c r="AS9" s="49">
        <v>68</v>
      </c>
      <c r="AT9" s="83">
        <f t="shared" si="30"/>
        <v>2</v>
      </c>
      <c r="AU9" s="164">
        <f t="shared" si="21"/>
        <v>93</v>
      </c>
      <c r="AV9" s="52">
        <v>223</v>
      </c>
      <c r="AW9" s="16">
        <f t="shared" si="6"/>
        <v>7.2619512830532761E-3</v>
      </c>
      <c r="AX9" s="17">
        <f>IF(AND(AS9&lt;&gt;"", AV9&lt;&gt;""), SUM(AV$4:AV9), "")</f>
        <v>2246</v>
      </c>
      <c r="AY9" s="16">
        <f t="shared" si="7"/>
        <v>7.3140549693890847E-2</v>
      </c>
      <c r="AZ9" s="14"/>
      <c r="BA9" s="27">
        <v>44</v>
      </c>
      <c r="BB9" s="20" t="e" cm="1">
        <f t="array" aca="1" ref="BB9" ca="1">(BA9-INDIRECT(SUBSTITUTE(ADDRESS(1,COLUMN($C$9),4),"1","")&amp;SUMPRODUCT(($B$10:$D$26=INDIRECT(SUBSTITUTE(ADDRESS(1,COLUMN()-1,4),"1","")&amp;ROW()-8))*ROW($B$10:$D$26))))/INDIRECT(SUBSTITUTE(ADDRESS(1,COLUMN($D$9),4),"1","")&amp;SUMPRODUCT(($B$10:$D$26=INDIRECT(SUBSTITUTE(ADDRESS(1,COLUMN()-1,4),"1","")&amp;ROW()-8))*ROW($B$10:$D$26)))*10+50</f>
        <v>#DIV/0!</v>
      </c>
      <c r="BC9" s="8"/>
      <c r="BD9" s="49">
        <v>64</v>
      </c>
      <c r="BE9" s="83">
        <f t="shared" si="31"/>
        <v>3</v>
      </c>
      <c r="BF9" s="164">
        <f t="shared" si="22"/>
        <v>88</v>
      </c>
      <c r="BG9" s="52">
        <v>187</v>
      </c>
      <c r="BH9" s="16">
        <f t="shared" si="8"/>
        <v>5.7639552445828066E-3</v>
      </c>
      <c r="BI9" s="17">
        <f>IF(AND(BD9&lt;&gt;"", BG9&lt;&gt;""), SUM(BG$4:BG9), "")</f>
        <v>3980</v>
      </c>
      <c r="BJ9" s="16">
        <f t="shared" si="9"/>
        <v>0.12267669451037204</v>
      </c>
      <c r="BK9" s="14"/>
      <c r="BL9" s="27">
        <v>44</v>
      </c>
      <c r="BM9" s="20" t="e" cm="1">
        <f t="array" aca="1" ref="BM9" ca="1">(BL9-INDIRECT(SUBSTITUTE(ADDRESS(1,COLUMN($C$9),4),"1","")&amp;SUMPRODUCT(($B$10:$D$26=INDIRECT(SUBSTITUTE(ADDRESS(1,COLUMN()-1,4),"1","")&amp;ROW()-8))*ROW($B$10:$D$26))))/INDIRECT(SUBSTITUTE(ADDRESS(1,COLUMN($D$9),4),"1","")&amp;SUMPRODUCT(($B$10:$D$26=INDIRECT(SUBSTITUTE(ADDRESS(1,COLUMN()-1,4),"1","")&amp;ROW()-8))*ROW($B$10:$D$26)))*10+50</f>
        <v>#DIV/0!</v>
      </c>
      <c r="BN9" s="8"/>
      <c r="BO9" s="49">
        <v>62</v>
      </c>
      <c r="BP9" s="83">
        <f t="shared" si="32"/>
        <v>3</v>
      </c>
      <c r="BQ9" s="164">
        <f t="shared" si="23"/>
        <v>86</v>
      </c>
      <c r="BR9" s="52">
        <v>1502</v>
      </c>
      <c r="BS9" s="16">
        <f t="shared" si="10"/>
        <v>2.6952339936836062E-2</v>
      </c>
      <c r="BT9" s="17">
        <f>IF(AND(BO9&lt;&gt;"", BR9&lt;&gt;""), SUM(BR$4:BR9), "")</f>
        <v>8633</v>
      </c>
      <c r="BU9" s="16">
        <f t="shared" si="11"/>
        <v>0.15491314958369221</v>
      </c>
      <c r="BV9" s="14"/>
      <c r="BW9" s="27">
        <v>44</v>
      </c>
      <c r="BX9" s="20" cm="1">
        <f t="array" aca="1" ref="BX9" ca="1">(BW9-INDIRECT(SUBSTITUTE(ADDRESS(1,COLUMN($C$9),4),"1","")&amp;SUMPRODUCT(($B$10:$D$26=INDIRECT(SUBSTITUTE(ADDRESS(1,COLUMN()-1,4),"1","")&amp;ROW()-8))*ROW($B$10:$D$26))))/INDIRECT(SUBSTITUTE(ADDRESS(1,COLUMN($D$9),4),"1","")&amp;SUMPRODUCT(($B$10:$D$26=INDIRECT(SUBSTITUTE(ADDRESS(1,COLUMN()-1,4),"1","")&amp;ROW()-8))*ROW($B$10:$D$26)))*10+50</f>
        <v>69.417206290471782</v>
      </c>
      <c r="BY9" s="8"/>
      <c r="BZ9" s="49">
        <v>69</v>
      </c>
      <c r="CA9" s="83">
        <f t="shared" si="33"/>
        <v>1</v>
      </c>
      <c r="CB9" s="164">
        <f t="shared" si="24"/>
        <v>96</v>
      </c>
      <c r="CC9" s="52">
        <v>894</v>
      </c>
      <c r="CD9" s="16">
        <f t="shared" si="12"/>
        <v>1.6618335935757306E-2</v>
      </c>
      <c r="CE9" s="17">
        <f>IF(AND(BZ9&lt;&gt;"", CC9&lt;&gt;""), SUM(CC$4:CC9), "")</f>
        <v>2682</v>
      </c>
      <c r="CF9" s="16">
        <f t="shared" si="13"/>
        <v>4.9855007807271916E-2</v>
      </c>
      <c r="CG9" s="14"/>
      <c r="CH9" s="27">
        <v>44</v>
      </c>
      <c r="CI9" s="20" t="e" cm="1">
        <f t="array" aca="1" ref="CI9" ca="1">(CH9-INDIRECT(SUBSTITUTE(ADDRESS(1,COLUMN($C$9),4),"1","")&amp;SUMPRODUCT(($B$10:$D$26=INDIRECT(SUBSTITUTE(ADDRESS(1,COLUMN()-1,4),"1","")&amp;ROW()-8))*ROW($B$10:$D$26))))/INDIRECT(SUBSTITUTE(ADDRESS(1,COLUMN($D$9),4),"1","")&amp;SUMPRODUCT(($B$10:$D$26=INDIRECT(SUBSTITUTE(ADDRESS(1,COLUMN()-1,4),"1","")&amp;ROW()-8))*ROW($B$10:$D$26)))*10+50</f>
        <v>#DIV/0!</v>
      </c>
      <c r="CJ9" s="8"/>
      <c r="CK9" s="49">
        <v>63</v>
      </c>
      <c r="CL9" s="83">
        <f t="shared" si="34"/>
        <v>2</v>
      </c>
      <c r="CM9" s="164">
        <f t="shared" si="25"/>
        <v>89</v>
      </c>
      <c r="CN9" s="52">
        <v>3779</v>
      </c>
      <c r="CO9" s="16">
        <f t="shared" si="14"/>
        <v>3.1580882660181678E-2</v>
      </c>
      <c r="CP9" s="17">
        <f>IF(AND(CK9&lt;&gt;"", CN9&lt;&gt;""), SUM(CN$4:CN9), "")</f>
        <v>14847</v>
      </c>
      <c r="CQ9" s="16">
        <f t="shared" si="15"/>
        <v>0.12407551332514354</v>
      </c>
      <c r="CR9" s="14"/>
      <c r="CS9" s="27">
        <v>44</v>
      </c>
      <c r="CT9" s="20" t="e" cm="1">
        <f t="array" aca="1" ref="CT9" ca="1">(CS9-INDIRECT(SUBSTITUTE(ADDRESS(1,COLUMN($C$9),4),"1","")&amp;SUMPRODUCT(($B$10:$D$26=INDIRECT(SUBSTITUTE(ADDRESS(1,COLUMN()-1,4),"1","")&amp;ROW()-8))*ROW($B$10:$D$26))))/INDIRECT(SUBSTITUTE(ADDRESS(1,COLUMN($D$9),4),"1","")&amp;SUMPRODUCT(($B$10:$D$26=INDIRECT(SUBSTITUTE(ADDRESS(1,COLUMN()-1,4),"1","")&amp;ROW()-8))*ROW($B$10:$D$26)))*10+50</f>
        <v>#DIV/0!</v>
      </c>
      <c r="CU9" s="8"/>
      <c r="CV9" s="49">
        <v>64</v>
      </c>
      <c r="CW9" s="83">
        <f t="shared" si="35"/>
        <v>2</v>
      </c>
      <c r="CX9" s="164">
        <f t="shared" si="26"/>
        <v>89</v>
      </c>
      <c r="CY9" s="52">
        <v>2010</v>
      </c>
      <c r="CZ9" s="16">
        <f t="shared" si="16"/>
        <v>1.6608687748407302E-2</v>
      </c>
      <c r="DA9" s="17">
        <f>IF(AND(CV9&lt;&gt;"", CY9&lt;&gt;""), SUM(CY$4:CY9), "")</f>
        <v>14589</v>
      </c>
      <c r="DB9" s="16">
        <f t="shared" si="17"/>
        <v>0.12054932615000702</v>
      </c>
      <c r="FX9" s="28">
        <v>0</v>
      </c>
    </row>
    <row r="10" spans="1:180" ht="16" customHeight="1" x14ac:dyDescent="0.2">
      <c r="A10" s="140" t="s">
        <v>40</v>
      </c>
      <c r="B10" s="75" t="s">
        <v>5</v>
      </c>
      <c r="C10" s="76"/>
      <c r="D10" s="76"/>
      <c r="E10" s="1"/>
      <c r="F10" s="68"/>
      <c r="G10" s="67">
        <v>6</v>
      </c>
      <c r="H10" s="1"/>
      <c r="I10" s="68"/>
      <c r="J10" s="67">
        <v>6</v>
      </c>
      <c r="K10" s="1"/>
      <c r="L10" s="1"/>
      <c r="M10" s="1"/>
      <c r="N10" s="1"/>
      <c r="O10" s="38"/>
      <c r="P10" s="83" t="str">
        <f t="shared" si="27"/>
        <v/>
      </c>
      <c r="Q10" s="164" t="str">
        <f t="shared" si="18"/>
        <v/>
      </c>
      <c r="R10" s="43"/>
      <c r="S10" s="16" t="str">
        <f t="shared" si="0"/>
        <v/>
      </c>
      <c r="T10" s="17" t="str">
        <f>IF(AND(O10&lt;&gt;"", R10&lt;&gt;""), SUM(R$4:R10), "")</f>
        <v/>
      </c>
      <c r="U10" s="16" t="str">
        <f t="shared" si="1"/>
        <v/>
      </c>
      <c r="W10" s="38">
        <v>141</v>
      </c>
      <c r="X10" s="83">
        <f t="shared" si="28"/>
        <v>1</v>
      </c>
      <c r="Y10" s="164">
        <f t="shared" si="19"/>
        <v>99</v>
      </c>
      <c r="Z10" s="43">
        <v>231</v>
      </c>
      <c r="AA10" s="16">
        <f t="shared" si="2"/>
        <v>5.9601367477262466E-4</v>
      </c>
      <c r="AB10" s="17">
        <f>IF(AND(W10&lt;&gt;"", Z10&lt;&gt;""), SUM(Z$4:Z10), "")</f>
        <v>2404</v>
      </c>
      <c r="AC10" s="16">
        <f t="shared" si="3"/>
        <v>6.2026704508804749E-3</v>
      </c>
      <c r="AD10" s="1"/>
      <c r="AE10" s="19">
        <v>43</v>
      </c>
      <c r="AF10" s="20" t="e" cm="1">
        <f t="array" aca="1" ref="AF10" ca="1">(AE10-INDIRECT(SUBSTITUTE(ADDRESS(1,COLUMN($C$9),4),"1","")&amp;SUMPRODUCT(($B$10:$D$26=INDIRECT(SUBSTITUTE(ADDRESS(1,COLUMN()-1,4),"1","")&amp;ROW()-9))*ROW($B$10:$D$26))))/INDIRECT(SUBSTITUTE(ADDRESS(1,COLUMN($D$9),4),"1","")&amp;SUMPRODUCT(($B$10:$D$26=INDIRECT(SUBSTITUTE(ADDRESS(1,COLUMN()-1,4),"1","")&amp;ROW()-9))*ROW($B$10:$D$26)))*10+50</f>
        <v>#DIV/0!</v>
      </c>
      <c r="AG10" s="8"/>
      <c r="AH10" s="49">
        <v>59</v>
      </c>
      <c r="AI10" s="83">
        <f t="shared" si="29"/>
        <v>5</v>
      </c>
      <c r="AJ10" s="164">
        <f t="shared" si="20"/>
        <v>51</v>
      </c>
      <c r="AK10" s="52">
        <v>1206</v>
      </c>
      <c r="AL10" s="16">
        <f t="shared" si="4"/>
        <v>2.5989138867339022E-2</v>
      </c>
      <c r="AM10" s="17">
        <f>IF(AND(AH10&lt;&gt;"", AK10&lt;&gt;""), SUM(AK$4:AK10), "")</f>
        <v>23486</v>
      </c>
      <c r="AN10" s="16">
        <f t="shared" si="5"/>
        <v>0.50612016205499522</v>
      </c>
      <c r="AO10" s="14"/>
      <c r="AP10" s="27">
        <v>43</v>
      </c>
      <c r="AQ10" s="20" t="e" cm="1">
        <f t="array" aca="1" ref="AQ10" ca="1">(AP10-INDIRECT(SUBSTITUTE(ADDRESS(1,COLUMN($C$9),4),"1","")&amp;SUMPRODUCT(($B$10:$D$26=INDIRECT(SUBSTITUTE(ADDRESS(1,COLUMN()-1,4),"1","")&amp;ROW()-9))*ROW($B$10:$D$26))))/INDIRECT(SUBSTITUTE(ADDRESS(1,COLUMN($D$9),4),"1","")&amp;SUMPRODUCT(($B$10:$D$26=INDIRECT(SUBSTITUTE(ADDRESS(1,COLUMN()-1,4),"1","")&amp;ROW()-9))*ROW($B$10:$D$26)))*10+50</f>
        <v>#DIV/0!</v>
      </c>
      <c r="AR10" s="8"/>
      <c r="AS10" s="49">
        <v>67</v>
      </c>
      <c r="AT10" s="83">
        <f t="shared" si="30"/>
        <v>2</v>
      </c>
      <c r="AU10" s="164">
        <f t="shared" si="21"/>
        <v>92</v>
      </c>
      <c r="AV10" s="52">
        <v>523</v>
      </c>
      <c r="AW10" s="16">
        <f t="shared" si="6"/>
        <v>1.7031392471017325E-2</v>
      </c>
      <c r="AX10" s="17">
        <f>IF(AND(AS10&lt;&gt;"", AV10&lt;&gt;""), SUM(AV$4:AV10), "")</f>
        <v>2769</v>
      </c>
      <c r="AY10" s="16">
        <f t="shared" si="7"/>
        <v>9.0171942164908161E-2</v>
      </c>
      <c r="AZ10" s="14"/>
      <c r="BA10" s="27">
        <v>43</v>
      </c>
      <c r="BB10" s="20" t="e" cm="1">
        <f t="array" aca="1" ref="BB10" ca="1">(BA10-INDIRECT(SUBSTITUTE(ADDRESS(1,COLUMN($C$9),4),"1","")&amp;SUMPRODUCT(($B$10:$D$26=INDIRECT(SUBSTITUTE(ADDRESS(1,COLUMN()-1,4),"1","")&amp;ROW()-9))*ROW($B$10:$D$26))))/INDIRECT(SUBSTITUTE(ADDRESS(1,COLUMN($D$9),4),"1","")&amp;SUMPRODUCT(($B$10:$D$26=INDIRECT(SUBSTITUTE(ADDRESS(1,COLUMN()-1,4),"1","")&amp;ROW()-9))*ROW($B$10:$D$26)))*10+50</f>
        <v>#DIV/0!</v>
      </c>
      <c r="BC10" s="8"/>
      <c r="BD10" s="49">
        <v>63</v>
      </c>
      <c r="BE10" s="83">
        <f t="shared" si="31"/>
        <v>3</v>
      </c>
      <c r="BF10" s="164">
        <f t="shared" si="22"/>
        <v>87</v>
      </c>
      <c r="BG10" s="52">
        <v>645</v>
      </c>
      <c r="BH10" s="16">
        <f t="shared" si="8"/>
        <v>1.9881022100298986E-2</v>
      </c>
      <c r="BI10" s="17">
        <f>IF(AND(BD10&lt;&gt;"", BG10&lt;&gt;""), SUM(BG$4:BG10), "")</f>
        <v>4625</v>
      </c>
      <c r="BJ10" s="16">
        <f t="shared" si="9"/>
        <v>0.14255771661067101</v>
      </c>
      <c r="BK10" s="14"/>
      <c r="BL10" s="27">
        <v>43</v>
      </c>
      <c r="BM10" s="20" t="e" cm="1">
        <f t="array" aca="1" ref="BM10" ca="1">(BL10-INDIRECT(SUBSTITUTE(ADDRESS(1,COLUMN($C$9),4),"1","")&amp;SUMPRODUCT(($B$10:$D$26=INDIRECT(SUBSTITUTE(ADDRESS(1,COLUMN()-1,4),"1","")&amp;ROW()-9))*ROW($B$10:$D$26))))/INDIRECT(SUBSTITUTE(ADDRESS(1,COLUMN($D$9),4),"1","")&amp;SUMPRODUCT(($B$10:$D$26=INDIRECT(SUBSTITUTE(ADDRESS(1,COLUMN()-1,4),"1","")&amp;ROW()-9))*ROW($B$10:$D$26)))*10+50</f>
        <v>#DIV/0!</v>
      </c>
      <c r="BN10" s="8"/>
      <c r="BO10" s="49">
        <v>61</v>
      </c>
      <c r="BP10" s="83">
        <f t="shared" si="32"/>
        <v>3</v>
      </c>
      <c r="BQ10" s="164">
        <f t="shared" si="23"/>
        <v>82</v>
      </c>
      <c r="BR10" s="52">
        <v>2319</v>
      </c>
      <c r="BS10" s="16">
        <f t="shared" si="10"/>
        <v>4.1612833763996555E-2</v>
      </c>
      <c r="BT10" s="17">
        <f>IF(AND(BO10&lt;&gt;"", BR10&lt;&gt;""), SUM(BR$4:BR10), "")</f>
        <v>10952</v>
      </c>
      <c r="BU10" s="16">
        <f t="shared" si="11"/>
        <v>0.19652598334768878</v>
      </c>
      <c r="BV10" s="14"/>
      <c r="BW10" s="27">
        <v>43</v>
      </c>
      <c r="BX10" s="20" cm="1">
        <f t="array" aca="1" ref="BX10" ca="1">(BW10-INDIRECT(SUBSTITUTE(ADDRESS(1,COLUMN($C$9),4),"1","")&amp;SUMPRODUCT(($B$10:$D$26=INDIRECT(SUBSTITUTE(ADDRESS(1,COLUMN()-1,4),"1","")&amp;ROW()-9))*ROW($B$10:$D$26))))/INDIRECT(SUBSTITUTE(ADDRESS(1,COLUMN($D$9),4),"1","")&amp;SUMPRODUCT(($B$10:$D$26=INDIRECT(SUBSTITUTE(ADDRESS(1,COLUMN()-1,4),"1","")&amp;ROW()-9))*ROW($B$10:$D$26)))*10+50</f>
        <v>68.492136910268272</v>
      </c>
      <c r="BY10" s="8"/>
      <c r="BZ10" s="49">
        <v>68</v>
      </c>
      <c r="CA10" s="83">
        <f t="shared" si="33"/>
        <v>2</v>
      </c>
      <c r="CB10" s="164">
        <f t="shared" si="24"/>
        <v>95</v>
      </c>
      <c r="CC10" s="52">
        <v>355</v>
      </c>
      <c r="CD10" s="16">
        <f t="shared" si="12"/>
        <v>6.5990036433935606E-3</v>
      </c>
      <c r="CE10" s="17">
        <f>IF(AND(BZ10&lt;&gt;"", CC10&lt;&gt;""), SUM(CC$4:CC10), "")</f>
        <v>3037</v>
      </c>
      <c r="CF10" s="16">
        <f t="shared" si="13"/>
        <v>5.6454011450665476E-2</v>
      </c>
      <c r="CG10" s="14"/>
      <c r="CH10" s="27">
        <v>43</v>
      </c>
      <c r="CI10" s="20" t="e" cm="1">
        <f t="array" aca="1" ref="CI10" ca="1">(CH10-INDIRECT(SUBSTITUTE(ADDRESS(1,COLUMN($C$9),4),"1","")&amp;SUMPRODUCT(($B$10:$D$26=INDIRECT(SUBSTITUTE(ADDRESS(1,COLUMN()-1,4),"1","")&amp;ROW()-9))*ROW($B$10:$D$26))))/INDIRECT(SUBSTITUTE(ADDRESS(1,COLUMN($D$9),4),"1","")&amp;SUMPRODUCT(($B$10:$D$26=INDIRECT(SUBSTITUTE(ADDRESS(1,COLUMN()-1,4),"1","")&amp;ROW()-9))*ROW($B$10:$D$26)))*10+50</f>
        <v>#DIV/0!</v>
      </c>
      <c r="CJ10" s="8"/>
      <c r="CK10" s="49">
        <v>62</v>
      </c>
      <c r="CL10" s="83">
        <f t="shared" si="34"/>
        <v>3</v>
      </c>
      <c r="CM10" s="164">
        <f t="shared" si="25"/>
        <v>86</v>
      </c>
      <c r="CN10" s="52">
        <v>4667</v>
      </c>
      <c r="CO10" s="16">
        <f t="shared" si="14"/>
        <v>3.9001846884114288E-2</v>
      </c>
      <c r="CP10" s="17">
        <f>IF(AND(CK10&lt;&gt;"", CN10&lt;&gt;""), SUM(CN$4:CN10), "")</f>
        <v>19514</v>
      </c>
      <c r="CQ10" s="16">
        <f t="shared" si="15"/>
        <v>0.16307736020925781</v>
      </c>
      <c r="CR10" s="14"/>
      <c r="CS10" s="27">
        <v>43</v>
      </c>
      <c r="CT10" s="20" t="e" cm="1">
        <f t="array" aca="1" ref="CT10" ca="1">(CS10-INDIRECT(SUBSTITUTE(ADDRESS(1,COLUMN($C$9),4),"1","")&amp;SUMPRODUCT(($B$10:$D$26=INDIRECT(SUBSTITUTE(ADDRESS(1,COLUMN()-1,4),"1","")&amp;ROW()-9))*ROW($B$10:$D$26))))/INDIRECT(SUBSTITUTE(ADDRESS(1,COLUMN($D$9),4),"1","")&amp;SUMPRODUCT(($B$10:$D$26=INDIRECT(SUBSTITUTE(ADDRESS(1,COLUMN()-1,4),"1","")&amp;ROW()-9))*ROW($B$10:$D$26)))*10+50</f>
        <v>#DIV/0!</v>
      </c>
      <c r="CU10" s="8"/>
      <c r="CV10" s="49">
        <v>63</v>
      </c>
      <c r="CW10" s="83">
        <f t="shared" si="35"/>
        <v>3</v>
      </c>
      <c r="CX10" s="164">
        <f t="shared" si="26"/>
        <v>87</v>
      </c>
      <c r="CY10" s="52">
        <v>3039</v>
      </c>
      <c r="CZ10" s="16">
        <f t="shared" si="16"/>
        <v>2.5111344312144172E-2</v>
      </c>
      <c r="DA10" s="17">
        <f>IF(AND(CV10&lt;&gt;"", CY10&lt;&gt;""), SUM(CY$4:CY10), "")</f>
        <v>17628</v>
      </c>
      <c r="DB10" s="16">
        <f t="shared" si="17"/>
        <v>0.1456606704621512</v>
      </c>
      <c r="FX10" s="28">
        <v>0</v>
      </c>
    </row>
    <row r="11" spans="1:180" ht="16" customHeight="1" x14ac:dyDescent="0.2">
      <c r="A11" s="139"/>
      <c r="B11" s="7" t="s">
        <v>20</v>
      </c>
      <c r="C11" s="44"/>
      <c r="D11" s="44"/>
      <c r="E11" s="1"/>
      <c r="F11" s="68"/>
      <c r="G11" s="67">
        <v>7</v>
      </c>
      <c r="H11" s="1"/>
      <c r="I11" s="68"/>
      <c r="J11" s="67">
        <v>7</v>
      </c>
      <c r="K11" s="1"/>
      <c r="L11" s="1"/>
      <c r="M11" s="1"/>
      <c r="N11" s="1"/>
      <c r="O11" s="38"/>
      <c r="P11" s="83" t="str">
        <f t="shared" si="27"/>
        <v/>
      </c>
      <c r="Q11" s="164" t="str">
        <f t="shared" si="18"/>
        <v/>
      </c>
      <c r="R11" s="43"/>
      <c r="S11" s="16" t="str">
        <f t="shared" si="0"/>
        <v/>
      </c>
      <c r="T11" s="17" t="str">
        <f>IF(AND(O11&lt;&gt;"", R11&lt;&gt;""), SUM(R$4:R11), "")</f>
        <v/>
      </c>
      <c r="U11" s="16" t="str">
        <f t="shared" si="1"/>
        <v/>
      </c>
      <c r="W11" s="38">
        <v>140</v>
      </c>
      <c r="X11" s="83">
        <f t="shared" si="28"/>
        <v>1</v>
      </c>
      <c r="Y11" s="164">
        <f t="shared" si="19"/>
        <v>99</v>
      </c>
      <c r="Z11" s="43">
        <v>2465</v>
      </c>
      <c r="AA11" s="16">
        <f t="shared" si="2"/>
        <v>6.3600593433528994E-3</v>
      </c>
      <c r="AB11" s="17">
        <f>IF(AND(W11&lt;&gt;"", Z11&lt;&gt;""), SUM(Z$4:Z11), "")</f>
        <v>4869</v>
      </c>
      <c r="AC11" s="16">
        <f t="shared" si="3"/>
        <v>1.2562729794233373E-2</v>
      </c>
      <c r="AD11" s="1"/>
      <c r="AE11" s="19">
        <v>42</v>
      </c>
      <c r="AF11" s="20" t="e" cm="1">
        <f t="array" aca="1" ref="AF11" ca="1">(AE11-INDIRECT(SUBSTITUTE(ADDRESS(1,COLUMN($C$9),4),"1","")&amp;SUMPRODUCT(($B$10:$D$26=INDIRECT(SUBSTITUTE(ADDRESS(1,COLUMN()-1,4),"1","")&amp;ROW()-10))*ROW($B$10:$D$26))))/INDIRECT(SUBSTITUTE(ADDRESS(1,COLUMN($D$9),4),"1","")&amp;SUMPRODUCT(($B$10:$D$26=INDIRECT(SUBSTITUTE(ADDRESS(1,COLUMN()-1,4),"1","")&amp;ROW()-10))*ROW($B$10:$D$26)))*10+50</f>
        <v>#DIV/0!</v>
      </c>
      <c r="AG11" s="8"/>
      <c r="AH11" s="49">
        <v>58</v>
      </c>
      <c r="AI11" s="83">
        <f t="shared" si="29"/>
        <v>5</v>
      </c>
      <c r="AJ11" s="164">
        <f t="shared" si="20"/>
        <v>49</v>
      </c>
      <c r="AK11" s="52">
        <v>391</v>
      </c>
      <c r="AL11" s="16">
        <f t="shared" si="4"/>
        <v>8.4259977588138947E-3</v>
      </c>
      <c r="AM11" s="17">
        <f>IF(AND(AH11&lt;&gt;"", AK11&lt;&gt;""), SUM(AK$4:AK11), "")</f>
        <v>23877</v>
      </c>
      <c r="AN11" s="16">
        <f t="shared" si="5"/>
        <v>0.51454615981380913</v>
      </c>
      <c r="AO11" s="14"/>
      <c r="AP11" s="27">
        <v>42</v>
      </c>
      <c r="AQ11" s="20" t="e" cm="1">
        <f t="array" aca="1" ref="AQ11" ca="1">(AP11-INDIRECT(SUBSTITUTE(ADDRESS(1,COLUMN($C$9),4),"1","")&amp;SUMPRODUCT(($B$10:$D$26=INDIRECT(SUBSTITUTE(ADDRESS(1,COLUMN()-1,4),"1","")&amp;ROW()-10))*ROW($B$10:$D$26))))/INDIRECT(SUBSTITUTE(ADDRESS(1,COLUMN($D$9),4),"1","")&amp;SUMPRODUCT(($B$10:$D$26=INDIRECT(SUBSTITUTE(ADDRESS(1,COLUMN()-1,4),"1","")&amp;ROW()-10))*ROW($B$10:$D$26)))*10+50</f>
        <v>#DIV/0!</v>
      </c>
      <c r="AR11" s="8"/>
      <c r="AS11" s="49">
        <v>66</v>
      </c>
      <c r="AT11" s="83">
        <f t="shared" si="30"/>
        <v>2</v>
      </c>
      <c r="AU11" s="164">
        <f t="shared" si="21"/>
        <v>90</v>
      </c>
      <c r="AV11" s="52">
        <v>740</v>
      </c>
      <c r="AW11" s="16">
        <f t="shared" si="6"/>
        <v>2.4097954930311319E-2</v>
      </c>
      <c r="AX11" s="17">
        <f>IF(AND(AS11&lt;&gt;"", AV11&lt;&gt;""), SUM(AV$4:AV11), "")</f>
        <v>3509</v>
      </c>
      <c r="AY11" s="16">
        <f t="shared" si="7"/>
        <v>0.11426989709521948</v>
      </c>
      <c r="AZ11" s="14"/>
      <c r="BA11" s="27">
        <v>42</v>
      </c>
      <c r="BB11" s="20" t="e" cm="1">
        <f t="array" aca="1" ref="BB11" ca="1">(BA11-INDIRECT(SUBSTITUTE(ADDRESS(1,COLUMN($C$9),4),"1","")&amp;SUMPRODUCT(($B$10:$D$26=INDIRECT(SUBSTITUTE(ADDRESS(1,COLUMN()-1,4),"1","")&amp;ROW()-10))*ROW($B$10:$D$26))))/INDIRECT(SUBSTITUTE(ADDRESS(1,COLUMN($D$9),4),"1","")&amp;SUMPRODUCT(($B$10:$D$26=INDIRECT(SUBSTITUTE(ADDRESS(1,COLUMN()-1,4),"1","")&amp;ROW()-10))*ROW($B$10:$D$26)))*10+50</f>
        <v>#DIV/0!</v>
      </c>
      <c r="BC11" s="8"/>
      <c r="BD11" s="49">
        <v>62</v>
      </c>
      <c r="BE11" s="83">
        <f t="shared" si="31"/>
        <v>3</v>
      </c>
      <c r="BF11" s="164">
        <f t="shared" si="22"/>
        <v>84</v>
      </c>
      <c r="BG11" s="52">
        <v>849</v>
      </c>
      <c r="BH11" s="16">
        <f t="shared" si="8"/>
        <v>2.6168973276207503E-2</v>
      </c>
      <c r="BI11" s="17">
        <f>IF(AND(BD11&lt;&gt;"", BG11&lt;&gt;""), SUM(BG$4:BG11), "")</f>
        <v>5474</v>
      </c>
      <c r="BJ11" s="16">
        <f t="shared" si="9"/>
        <v>0.16872668988687853</v>
      </c>
      <c r="BK11" s="14"/>
      <c r="BL11" s="27">
        <v>42</v>
      </c>
      <c r="BM11" s="20" t="e" cm="1">
        <f t="array" aca="1" ref="BM11" ca="1">(BL11-INDIRECT(SUBSTITUTE(ADDRESS(1,COLUMN($C$9),4),"1","")&amp;SUMPRODUCT(($B$10:$D$26=INDIRECT(SUBSTITUTE(ADDRESS(1,COLUMN()-1,4),"1","")&amp;ROW()-10))*ROW($B$10:$D$26))))/INDIRECT(SUBSTITUTE(ADDRESS(1,COLUMN($D$9),4),"1","")&amp;SUMPRODUCT(($B$10:$D$26=INDIRECT(SUBSTITUTE(ADDRESS(1,COLUMN()-1,4),"1","")&amp;ROW()-10))*ROW($B$10:$D$26)))*10+50</f>
        <v>#DIV/0!</v>
      </c>
      <c r="BN11" s="8"/>
      <c r="BO11" s="49">
        <v>60</v>
      </c>
      <c r="BP11" s="83">
        <f t="shared" si="32"/>
        <v>3</v>
      </c>
      <c r="BQ11" s="164">
        <f t="shared" si="23"/>
        <v>79</v>
      </c>
      <c r="BR11" s="52">
        <v>1649</v>
      </c>
      <c r="BS11" s="16">
        <f t="shared" si="10"/>
        <v>2.9590152167671548E-2</v>
      </c>
      <c r="BT11" s="17">
        <f>IF(AND(BO11&lt;&gt;"", BR11&lt;&gt;""), SUM(BR$4:BR11), "")</f>
        <v>12601</v>
      </c>
      <c r="BU11" s="16">
        <f t="shared" si="11"/>
        <v>0.22611613551536033</v>
      </c>
      <c r="BV11" s="14"/>
      <c r="BW11" s="27">
        <v>42</v>
      </c>
      <c r="BX11" s="20" cm="1">
        <f t="array" aca="1" ref="BX11" ca="1">(BW11-INDIRECT(SUBSTITUTE(ADDRESS(1,COLUMN($C$9),4),"1","")&amp;SUMPRODUCT(($B$10:$D$26=INDIRECT(SUBSTITUTE(ADDRESS(1,COLUMN()-1,4),"1","")&amp;ROW()-10))*ROW($B$10:$D$26))))/INDIRECT(SUBSTITUTE(ADDRESS(1,COLUMN($D$9),4),"1","")&amp;SUMPRODUCT(($B$10:$D$26=INDIRECT(SUBSTITUTE(ADDRESS(1,COLUMN()-1,4),"1","")&amp;ROW()-10))*ROW($B$10:$D$26)))*10+50</f>
        <v>67.567067530064747</v>
      </c>
      <c r="BY11" s="8"/>
      <c r="BZ11" s="49">
        <v>67</v>
      </c>
      <c r="CA11" s="83">
        <f t="shared" si="33"/>
        <v>2</v>
      </c>
      <c r="CB11" s="164">
        <f t="shared" si="24"/>
        <v>93</v>
      </c>
      <c r="CC11" s="52">
        <v>1016</v>
      </c>
      <c r="CD11" s="16">
        <f t="shared" si="12"/>
        <v>1.8886162539965796E-2</v>
      </c>
      <c r="CE11" s="17">
        <f>IF(AND(BZ11&lt;&gt;"", CC11&lt;&gt;""), SUM(CC$4:CC11), "")</f>
        <v>4053</v>
      </c>
      <c r="CF11" s="16">
        <f t="shared" si="13"/>
        <v>7.5340173990631268E-2</v>
      </c>
      <c r="CG11" s="14"/>
      <c r="CH11" s="27">
        <v>42</v>
      </c>
      <c r="CI11" s="20" t="e" cm="1">
        <f t="array" aca="1" ref="CI11" ca="1">(CH11-INDIRECT(SUBSTITUTE(ADDRESS(1,COLUMN($C$9),4),"1","")&amp;SUMPRODUCT(($B$10:$D$26=INDIRECT(SUBSTITUTE(ADDRESS(1,COLUMN()-1,4),"1","")&amp;ROW()-10))*ROW($B$10:$D$26))))/INDIRECT(SUBSTITUTE(ADDRESS(1,COLUMN($D$9),4),"1","")&amp;SUMPRODUCT(($B$10:$D$26=INDIRECT(SUBSTITUTE(ADDRESS(1,COLUMN()-1,4),"1","")&amp;ROW()-10))*ROW($B$10:$D$26)))*10+50</f>
        <v>#DIV/0!</v>
      </c>
      <c r="CJ11" s="8"/>
      <c r="CK11" s="49">
        <v>61</v>
      </c>
      <c r="CL11" s="83">
        <f t="shared" si="34"/>
        <v>3</v>
      </c>
      <c r="CM11" s="164">
        <f t="shared" si="25"/>
        <v>83</v>
      </c>
      <c r="CN11" s="52">
        <v>1692</v>
      </c>
      <c r="CO11" s="16">
        <f t="shared" si="14"/>
        <v>1.4139945345601325E-2</v>
      </c>
      <c r="CP11" s="17">
        <f>IF(AND(CK11&lt;&gt;"", CN11&lt;&gt;""), SUM(CN$4:CN11), "")</f>
        <v>21206</v>
      </c>
      <c r="CQ11" s="16">
        <f t="shared" si="15"/>
        <v>0.17721730555485915</v>
      </c>
      <c r="CR11" s="14"/>
      <c r="CS11" s="27">
        <v>42</v>
      </c>
      <c r="CT11" s="20" t="e" cm="1">
        <f t="array" aca="1" ref="CT11" ca="1">(CS11-INDIRECT(SUBSTITUTE(ADDRESS(1,COLUMN($C$9),4),"1","")&amp;SUMPRODUCT(($B$10:$D$26=INDIRECT(SUBSTITUTE(ADDRESS(1,COLUMN()-1,4),"1","")&amp;ROW()-10))*ROW($B$10:$D$26))))/INDIRECT(SUBSTITUTE(ADDRESS(1,COLUMN($D$9),4),"1","")&amp;SUMPRODUCT(($B$10:$D$26=INDIRECT(SUBSTITUTE(ADDRESS(1,COLUMN()-1,4),"1","")&amp;ROW()-10))*ROW($B$10:$D$26)))*10+50</f>
        <v>#DIV/0!</v>
      </c>
      <c r="CU11" s="8"/>
      <c r="CV11" s="49">
        <v>62</v>
      </c>
      <c r="CW11" s="83">
        <f t="shared" si="35"/>
        <v>3</v>
      </c>
      <c r="CX11" s="164">
        <f t="shared" si="26"/>
        <v>84</v>
      </c>
      <c r="CY11" s="52">
        <v>4273</v>
      </c>
      <c r="CZ11" s="16">
        <f t="shared" si="16"/>
        <v>3.5307921765643978E-2</v>
      </c>
      <c r="DA11" s="17">
        <f>IF(AND(CV11&lt;&gt;"", CY11&lt;&gt;""), SUM(CY$4:CY11), "")</f>
        <v>21901</v>
      </c>
      <c r="DB11" s="16">
        <f t="shared" si="17"/>
        <v>0.18096859222779518</v>
      </c>
      <c r="FX11" s="28">
        <v>0</v>
      </c>
    </row>
    <row r="12" spans="1:180" ht="16" customHeight="1" x14ac:dyDescent="0.2">
      <c r="A12" s="139"/>
      <c r="B12" s="7" t="s">
        <v>6</v>
      </c>
      <c r="C12" s="44"/>
      <c r="D12" s="44"/>
      <c r="E12" s="1"/>
      <c r="F12" s="68"/>
      <c r="G12" s="67">
        <v>8</v>
      </c>
      <c r="H12" s="1"/>
      <c r="I12" s="68"/>
      <c r="J12" s="67">
        <v>8</v>
      </c>
      <c r="K12" s="1"/>
      <c r="L12" s="1"/>
      <c r="M12" s="1"/>
      <c r="N12" s="1"/>
      <c r="O12" s="38"/>
      <c r="P12" s="83" t="str">
        <f t="shared" si="27"/>
        <v/>
      </c>
      <c r="Q12" s="164" t="str">
        <f t="shared" si="18"/>
        <v/>
      </c>
      <c r="R12" s="43"/>
      <c r="S12" s="16" t="str">
        <f t="shared" si="0"/>
        <v/>
      </c>
      <c r="T12" s="17" t="str">
        <f>IF(AND(O12&lt;&gt;"", R12&lt;&gt;""), SUM(R$4:R12), "")</f>
        <v/>
      </c>
      <c r="U12" s="16" t="str">
        <f t="shared" si="1"/>
        <v/>
      </c>
      <c r="W12" s="38">
        <v>139</v>
      </c>
      <c r="X12" s="83">
        <f t="shared" si="28"/>
        <v>1</v>
      </c>
      <c r="Y12" s="164">
        <f t="shared" si="19"/>
        <v>99</v>
      </c>
      <c r="Z12" s="43">
        <v>27</v>
      </c>
      <c r="AA12" s="16">
        <f t="shared" si="2"/>
        <v>6.9663936012384693E-5</v>
      </c>
      <c r="AB12" s="17">
        <f>IF(AND(W12&lt;&gt;"", Z12&lt;&gt;""), SUM(Z$4:Z12), "")</f>
        <v>4896</v>
      </c>
      <c r="AC12" s="16">
        <f t="shared" si="3"/>
        <v>1.2632393730245758E-2</v>
      </c>
      <c r="AD12" s="1"/>
      <c r="AE12" s="19">
        <v>41</v>
      </c>
      <c r="AF12" s="20" t="e" cm="1">
        <f t="array" aca="1" ref="AF12" ca="1">(AE12-INDIRECT(SUBSTITUTE(ADDRESS(1,COLUMN($C$9),4),"1","")&amp;SUMPRODUCT(($B$10:$D$26=INDIRECT(SUBSTITUTE(ADDRESS(1,COLUMN()-1,4),"1","")&amp;ROW()-11))*ROW($B$10:$D$26))))/INDIRECT(SUBSTITUTE(ADDRESS(1,COLUMN($D$9),4),"1","")&amp;SUMPRODUCT(($B$10:$D$26=INDIRECT(SUBSTITUTE(ADDRESS(1,COLUMN()-1,4),"1","")&amp;ROW()-11))*ROW($B$10:$D$26)))*10+50</f>
        <v>#DIV/0!</v>
      </c>
      <c r="AG12" s="8"/>
      <c r="AH12" s="49">
        <v>57</v>
      </c>
      <c r="AI12" s="83">
        <f t="shared" si="29"/>
        <v>5</v>
      </c>
      <c r="AJ12" s="164">
        <f t="shared" si="20"/>
        <v>48</v>
      </c>
      <c r="AK12" s="52">
        <v>611</v>
      </c>
      <c r="AL12" s="16">
        <f t="shared" si="4"/>
        <v>1.3166968364796139E-2</v>
      </c>
      <c r="AM12" s="17">
        <f>IF(AND(AH12&lt;&gt;"", AK12&lt;&gt;""), SUM(AK$4:AK12), "")</f>
        <v>24488</v>
      </c>
      <c r="AN12" s="16">
        <f t="shared" si="5"/>
        <v>0.52771312817860527</v>
      </c>
      <c r="AO12" s="14"/>
      <c r="AP12" s="27">
        <v>41</v>
      </c>
      <c r="AQ12" s="20" t="e" cm="1">
        <f t="array" aca="1" ref="AQ12" ca="1">(AP12-INDIRECT(SUBSTITUTE(ADDRESS(1,COLUMN($C$9),4),"1","")&amp;SUMPRODUCT(($B$10:$D$26=INDIRECT(SUBSTITUTE(ADDRESS(1,COLUMN()-1,4),"1","")&amp;ROW()-11))*ROW($B$10:$D$26))))/INDIRECT(SUBSTITUTE(ADDRESS(1,COLUMN($D$9),4),"1","")&amp;SUMPRODUCT(($B$10:$D$26=INDIRECT(SUBSTITUTE(ADDRESS(1,COLUMN()-1,4),"1","")&amp;ROW()-11))*ROW($B$10:$D$26)))*10+50</f>
        <v>#DIV/0!</v>
      </c>
      <c r="AR12" s="8"/>
      <c r="AS12" s="49">
        <v>65</v>
      </c>
      <c r="AT12" s="83">
        <f t="shared" si="30"/>
        <v>3</v>
      </c>
      <c r="AU12" s="164">
        <f t="shared" si="21"/>
        <v>88</v>
      </c>
      <c r="AV12" s="52">
        <v>418</v>
      </c>
      <c r="AW12" s="16">
        <f t="shared" si="6"/>
        <v>1.3612088055229907E-2</v>
      </c>
      <c r="AX12" s="17">
        <f>IF(AND(AS12&lt;&gt;"", AV12&lt;&gt;""), SUM(AV$4:AV12), "")</f>
        <v>3927</v>
      </c>
      <c r="AY12" s="16">
        <f t="shared" si="7"/>
        <v>0.12788198515044941</v>
      </c>
      <c r="AZ12" s="14"/>
      <c r="BA12" s="27">
        <v>41</v>
      </c>
      <c r="BB12" s="20" t="e" cm="1">
        <f t="array" aca="1" ref="BB12" ca="1">(BA12-INDIRECT(SUBSTITUTE(ADDRESS(1,COLUMN($C$9),4),"1","")&amp;SUMPRODUCT(($B$10:$D$26=INDIRECT(SUBSTITUTE(ADDRESS(1,COLUMN()-1,4),"1","")&amp;ROW()-11))*ROW($B$10:$D$26))))/INDIRECT(SUBSTITUTE(ADDRESS(1,COLUMN($D$9),4),"1","")&amp;SUMPRODUCT(($B$10:$D$26=INDIRECT(SUBSTITUTE(ADDRESS(1,COLUMN()-1,4),"1","")&amp;ROW()-11))*ROW($B$10:$D$26)))*10+50</f>
        <v>#DIV/0!</v>
      </c>
      <c r="BC12" s="8"/>
      <c r="BD12" s="49">
        <v>61</v>
      </c>
      <c r="BE12" s="83">
        <f t="shared" si="31"/>
        <v>3</v>
      </c>
      <c r="BF12" s="164">
        <f t="shared" si="22"/>
        <v>82</v>
      </c>
      <c r="BG12" s="52">
        <v>638</v>
      </c>
      <c r="BH12" s="16">
        <f t="shared" si="8"/>
        <v>1.9665259069753107E-2</v>
      </c>
      <c r="BI12" s="17">
        <f>IF(AND(BD12&lt;&gt;"", BG12&lt;&gt;""), SUM(BG$4:BG12), "")</f>
        <v>6112</v>
      </c>
      <c r="BJ12" s="16">
        <f t="shared" si="9"/>
        <v>0.18839194895663164</v>
      </c>
      <c r="BK12" s="14"/>
      <c r="BL12" s="27">
        <v>41</v>
      </c>
      <c r="BM12" s="20" t="e" cm="1">
        <f t="array" aca="1" ref="BM12" ca="1">(BL12-INDIRECT(SUBSTITUTE(ADDRESS(1,COLUMN($C$9),4),"1","")&amp;SUMPRODUCT(($B$10:$D$26=INDIRECT(SUBSTITUTE(ADDRESS(1,COLUMN()-1,4),"1","")&amp;ROW()-11))*ROW($B$10:$D$26))))/INDIRECT(SUBSTITUTE(ADDRESS(1,COLUMN($D$9),4),"1","")&amp;SUMPRODUCT(($B$10:$D$26=INDIRECT(SUBSTITUTE(ADDRESS(1,COLUMN()-1,4),"1","")&amp;ROW()-11))*ROW($B$10:$D$26)))*10+50</f>
        <v>#DIV/0!</v>
      </c>
      <c r="BN12" s="8"/>
      <c r="BO12" s="49">
        <v>59</v>
      </c>
      <c r="BP12" s="83">
        <f t="shared" si="32"/>
        <v>3</v>
      </c>
      <c r="BQ12" s="164">
        <f t="shared" si="23"/>
        <v>76</v>
      </c>
      <c r="BR12" s="52">
        <v>1052</v>
      </c>
      <c r="BS12" s="16">
        <f t="shared" si="10"/>
        <v>1.8877404536319264E-2</v>
      </c>
      <c r="BT12" s="17">
        <f>IF(AND(BO12&lt;&gt;"", BR12&lt;&gt;""), SUM(BR$4:BR12), "")</f>
        <v>13653</v>
      </c>
      <c r="BU12" s="16">
        <f t="shared" si="11"/>
        <v>0.24499354005167959</v>
      </c>
      <c r="BV12" s="14"/>
      <c r="BW12" s="27">
        <v>41</v>
      </c>
      <c r="BX12" s="20" cm="1">
        <f t="array" aca="1" ref="BX12" ca="1">(BW12-INDIRECT(SUBSTITUTE(ADDRESS(1,COLUMN($C$9),4),"1","")&amp;SUMPRODUCT(($B$10:$D$26=INDIRECT(SUBSTITUTE(ADDRESS(1,COLUMN()-1,4),"1","")&amp;ROW()-11))*ROW($B$10:$D$26))))/INDIRECT(SUBSTITUTE(ADDRESS(1,COLUMN($D$9),4),"1","")&amp;SUMPRODUCT(($B$10:$D$26=INDIRECT(SUBSTITUTE(ADDRESS(1,COLUMN()-1,4),"1","")&amp;ROW()-11))*ROW($B$10:$D$26)))*10+50</f>
        <v>66.641998149861237</v>
      </c>
      <c r="BY12" s="8"/>
      <c r="BZ12" s="49">
        <v>66</v>
      </c>
      <c r="CA12" s="83">
        <f t="shared" si="33"/>
        <v>2</v>
      </c>
      <c r="CB12" s="164">
        <f t="shared" si="24"/>
        <v>91</v>
      </c>
      <c r="CC12" s="52">
        <v>1640</v>
      </c>
      <c r="CD12" s="16">
        <f t="shared" si="12"/>
        <v>3.0485537958212506E-2</v>
      </c>
      <c r="CE12" s="17">
        <f>IF(AND(BZ12&lt;&gt;"", CC12&lt;&gt;""), SUM(CC$4:CC12), "")</f>
        <v>5693</v>
      </c>
      <c r="CF12" s="16">
        <f t="shared" si="13"/>
        <v>0.10582571194884378</v>
      </c>
      <c r="CG12" s="14"/>
      <c r="CH12" s="27">
        <v>41</v>
      </c>
      <c r="CI12" s="20" t="e" cm="1">
        <f t="array" aca="1" ref="CI12" ca="1">(CH12-INDIRECT(SUBSTITUTE(ADDRESS(1,COLUMN($C$9),4),"1","")&amp;SUMPRODUCT(($B$10:$D$26=INDIRECT(SUBSTITUTE(ADDRESS(1,COLUMN()-1,4),"1","")&amp;ROW()-11))*ROW($B$10:$D$26))))/INDIRECT(SUBSTITUTE(ADDRESS(1,COLUMN($D$9),4),"1","")&amp;SUMPRODUCT(($B$10:$D$26=INDIRECT(SUBSTITUTE(ADDRESS(1,COLUMN()-1,4),"1","")&amp;ROW()-11))*ROW($B$10:$D$26)))*10+50</f>
        <v>#DIV/0!</v>
      </c>
      <c r="CJ12" s="8"/>
      <c r="CK12" s="49">
        <v>60</v>
      </c>
      <c r="CL12" s="83">
        <f t="shared" si="34"/>
        <v>3</v>
      </c>
      <c r="CM12" s="164">
        <f t="shared" si="25"/>
        <v>81</v>
      </c>
      <c r="CN12" s="52">
        <v>3211</v>
      </c>
      <c r="CO12" s="16">
        <f t="shared" si="14"/>
        <v>2.6834139778206766E-2</v>
      </c>
      <c r="CP12" s="17">
        <f>IF(AND(CK12&lt;&gt;"", CN12&lt;&gt;""), SUM(CN$4:CN12), "")</f>
        <v>24417</v>
      </c>
      <c r="CQ12" s="16">
        <f t="shared" si="15"/>
        <v>0.20405144533306591</v>
      </c>
      <c r="CR12" s="14"/>
      <c r="CS12" s="27">
        <v>41</v>
      </c>
      <c r="CT12" s="20" t="e" cm="1">
        <f t="array" aca="1" ref="CT12" ca="1">(CS12-INDIRECT(SUBSTITUTE(ADDRESS(1,COLUMN($C$9),4),"1","")&amp;SUMPRODUCT(($B$10:$D$26=INDIRECT(SUBSTITUTE(ADDRESS(1,COLUMN()-1,4),"1","")&amp;ROW()-11))*ROW($B$10:$D$26))))/INDIRECT(SUBSTITUTE(ADDRESS(1,COLUMN($D$9),4),"1","")&amp;SUMPRODUCT(($B$10:$D$26=INDIRECT(SUBSTITUTE(ADDRESS(1,COLUMN()-1,4),"1","")&amp;ROW()-11))*ROW($B$10:$D$26)))*10+50</f>
        <v>#DIV/0!</v>
      </c>
      <c r="CU12" s="8"/>
      <c r="CV12" s="49">
        <v>61</v>
      </c>
      <c r="CW12" s="83">
        <f t="shared" si="35"/>
        <v>3</v>
      </c>
      <c r="CX12" s="164">
        <f t="shared" si="26"/>
        <v>81</v>
      </c>
      <c r="CY12" s="52">
        <v>2308</v>
      </c>
      <c r="CZ12" s="16">
        <f t="shared" si="16"/>
        <v>1.9071070310111467E-2</v>
      </c>
      <c r="DA12" s="17">
        <f>IF(AND(CV12&lt;&gt;"", CY12&lt;&gt;""), SUM(CY$4:CY12), "")</f>
        <v>24209</v>
      </c>
      <c r="DB12" s="16">
        <f t="shared" si="17"/>
        <v>0.20003966253790664</v>
      </c>
      <c r="FX12" s="28">
        <v>0</v>
      </c>
    </row>
    <row r="13" spans="1:180" ht="16" customHeight="1" x14ac:dyDescent="0.2">
      <c r="A13" s="139"/>
      <c r="B13" s="7" t="s">
        <v>21</v>
      </c>
      <c r="C13" s="44"/>
      <c r="D13" s="44"/>
      <c r="E13" s="1"/>
      <c r="F13" s="68"/>
      <c r="G13" s="67">
        <v>9</v>
      </c>
      <c r="H13" s="1"/>
      <c r="I13" s="68"/>
      <c r="J13" s="67">
        <v>9</v>
      </c>
      <c r="K13" s="1"/>
      <c r="L13" s="1"/>
      <c r="M13" s="1"/>
      <c r="N13" s="1"/>
      <c r="O13" s="38"/>
      <c r="P13" s="83" t="str">
        <f t="shared" si="27"/>
        <v/>
      </c>
      <c r="Q13" s="164" t="str">
        <f t="shared" si="18"/>
        <v/>
      </c>
      <c r="R13" s="43"/>
      <c r="S13" s="16" t="str">
        <f t="shared" si="0"/>
        <v/>
      </c>
      <c r="T13" s="17" t="str">
        <f>IF(AND(O13&lt;&gt;"", R13&lt;&gt;""), SUM(R$4:R13), "")</f>
        <v/>
      </c>
      <c r="U13" s="16" t="str">
        <f t="shared" si="1"/>
        <v/>
      </c>
      <c r="W13" s="38">
        <v>138</v>
      </c>
      <c r="X13" s="83">
        <f t="shared" si="28"/>
        <v>1</v>
      </c>
      <c r="Y13" s="164">
        <f t="shared" si="19"/>
        <v>99</v>
      </c>
      <c r="Z13" s="43">
        <v>376</v>
      </c>
      <c r="AA13" s="16">
        <f t="shared" si="2"/>
        <v>9.7013481261691288E-4</v>
      </c>
      <c r="AB13" s="17">
        <f>IF(AND(W13&lt;&gt;"", Z13&lt;&gt;""), SUM(Z$4:Z13), "")</f>
        <v>5272</v>
      </c>
      <c r="AC13" s="16">
        <f t="shared" si="3"/>
        <v>1.3602528542862672E-2</v>
      </c>
      <c r="AD13" s="1"/>
      <c r="AE13" s="19">
        <v>40</v>
      </c>
      <c r="AF13" s="20" t="e" cm="1">
        <f t="array" aca="1" ref="AF13" ca="1">(AE13-INDIRECT(SUBSTITUTE(ADDRESS(1,COLUMN($C$9),4),"1","")&amp;SUMPRODUCT(($B$10:$D$26=INDIRECT(SUBSTITUTE(ADDRESS(1,COLUMN()-1,4),"1","")&amp;ROW()-12))*ROW($B$10:$D$26))))/INDIRECT(SUBSTITUTE(ADDRESS(1,COLUMN($D$9),4),"1","")&amp;SUMPRODUCT(($B$10:$D$26=INDIRECT(SUBSTITUTE(ADDRESS(1,COLUMN()-1,4),"1","")&amp;ROW()-12))*ROW($B$10:$D$26)))*10+50</f>
        <v>#DIV/0!</v>
      </c>
      <c r="AG13" s="8"/>
      <c r="AH13" s="49">
        <v>56</v>
      </c>
      <c r="AI13" s="83">
        <f t="shared" si="29"/>
        <v>5</v>
      </c>
      <c r="AJ13" s="164">
        <f t="shared" si="20"/>
        <v>46</v>
      </c>
      <c r="AK13" s="52">
        <v>796</v>
      </c>
      <c r="AL13" s="16">
        <f t="shared" si="4"/>
        <v>1.7153693647099389E-2</v>
      </c>
      <c r="AM13" s="17">
        <f>IF(AND(AH13&lt;&gt;"", AK13&lt;&gt;""), SUM(AK$4:AK13), "")</f>
        <v>25284</v>
      </c>
      <c r="AN13" s="16">
        <f t="shared" si="5"/>
        <v>0.54486682182570467</v>
      </c>
      <c r="AO13" s="14"/>
      <c r="AP13" s="27">
        <v>40</v>
      </c>
      <c r="AQ13" s="20" t="e" cm="1">
        <f t="array" aca="1" ref="AQ13" ca="1">(AP13-INDIRECT(SUBSTITUTE(ADDRESS(1,COLUMN($C$9),4),"1","")&amp;SUMPRODUCT(($B$10:$D$26=INDIRECT(SUBSTITUTE(ADDRESS(1,COLUMN()-1,4),"1","")&amp;ROW()-12))*ROW($B$10:$D$26))))/INDIRECT(SUBSTITUTE(ADDRESS(1,COLUMN($D$9),4),"1","")&amp;SUMPRODUCT(($B$10:$D$26=INDIRECT(SUBSTITUTE(ADDRESS(1,COLUMN()-1,4),"1","")&amp;ROW()-12))*ROW($B$10:$D$26)))*10+50</f>
        <v>#DIV/0!</v>
      </c>
      <c r="AR13" s="8"/>
      <c r="AS13" s="49">
        <v>64</v>
      </c>
      <c r="AT13" s="83">
        <f t="shared" si="30"/>
        <v>3</v>
      </c>
      <c r="AU13" s="164">
        <f t="shared" si="21"/>
        <v>87</v>
      </c>
      <c r="AV13" s="52">
        <v>387</v>
      </c>
      <c r="AW13" s="16">
        <f t="shared" si="6"/>
        <v>1.2602579132473623E-2</v>
      </c>
      <c r="AX13" s="17">
        <f>IF(AND(AS13&lt;&gt;"", AV13&lt;&gt;""), SUM(AV$4:AV13), "")</f>
        <v>4314</v>
      </c>
      <c r="AY13" s="16">
        <f t="shared" si="7"/>
        <v>0.14048456428292302</v>
      </c>
      <c r="AZ13" s="14"/>
      <c r="BA13" s="27">
        <v>40</v>
      </c>
      <c r="BB13" s="20" t="e" cm="1">
        <f t="array" aca="1" ref="BB13" ca="1">(BA13-INDIRECT(SUBSTITUTE(ADDRESS(1,COLUMN($C$9),4),"1","")&amp;SUMPRODUCT(($B$10:$D$26=INDIRECT(SUBSTITUTE(ADDRESS(1,COLUMN()-1,4),"1","")&amp;ROW()-12))*ROW($B$10:$D$26))))/INDIRECT(SUBSTITUTE(ADDRESS(1,COLUMN($D$9),4),"1","")&amp;SUMPRODUCT(($B$10:$D$26=INDIRECT(SUBSTITUTE(ADDRESS(1,COLUMN()-1,4),"1","")&amp;ROW()-12))*ROW($B$10:$D$26)))*10+50</f>
        <v>#DIV/0!</v>
      </c>
      <c r="BC13" s="8"/>
      <c r="BD13" s="49">
        <v>60</v>
      </c>
      <c r="BE13" s="83">
        <f t="shared" si="31"/>
        <v>3</v>
      </c>
      <c r="BF13" s="164">
        <f t="shared" si="22"/>
        <v>81</v>
      </c>
      <c r="BG13" s="52">
        <v>427</v>
      </c>
      <c r="BH13" s="16">
        <f t="shared" si="8"/>
        <v>1.3161544863298709E-2</v>
      </c>
      <c r="BI13" s="17">
        <f>IF(AND(BD13&lt;&gt;"", BG13&lt;&gt;""), SUM(BG$4:BG13), "")</f>
        <v>6539</v>
      </c>
      <c r="BJ13" s="16">
        <f t="shared" si="9"/>
        <v>0.20155349381993035</v>
      </c>
      <c r="BK13" s="14"/>
      <c r="BL13" s="27">
        <v>40</v>
      </c>
      <c r="BM13" s="20" t="e" cm="1">
        <f t="array" aca="1" ref="BM13" ca="1">(BL13-INDIRECT(SUBSTITUTE(ADDRESS(1,COLUMN($C$9),4),"1","")&amp;SUMPRODUCT(($B$10:$D$26=INDIRECT(SUBSTITUTE(ADDRESS(1,COLUMN()-1,4),"1","")&amp;ROW()-12))*ROW($B$10:$D$26))))/INDIRECT(SUBSTITUTE(ADDRESS(1,COLUMN($D$9),4),"1","")&amp;SUMPRODUCT(($B$10:$D$26=INDIRECT(SUBSTITUTE(ADDRESS(1,COLUMN()-1,4),"1","")&amp;ROW()-12))*ROW($B$10:$D$26)))*10+50</f>
        <v>#DIV/0!</v>
      </c>
      <c r="BN13" s="8"/>
      <c r="BO13" s="49">
        <v>58</v>
      </c>
      <c r="BP13" s="83">
        <f t="shared" si="32"/>
        <v>4</v>
      </c>
      <c r="BQ13" s="164">
        <f t="shared" si="23"/>
        <v>73</v>
      </c>
      <c r="BR13" s="52">
        <v>2658</v>
      </c>
      <c r="BS13" s="16">
        <f t="shared" si="10"/>
        <v>4.7695951765719211E-2</v>
      </c>
      <c r="BT13" s="17">
        <f>IF(AND(BO13&lt;&gt;"", BR13&lt;&gt;""), SUM(BR$4:BR13), "")</f>
        <v>16311</v>
      </c>
      <c r="BU13" s="16">
        <f t="shared" si="11"/>
        <v>0.29268949181739878</v>
      </c>
      <c r="BV13" s="14"/>
      <c r="BW13" s="27">
        <v>40</v>
      </c>
      <c r="BX13" s="20" cm="1">
        <f t="array" aca="1" ref="BX13" ca="1">(BW13-INDIRECT(SUBSTITUTE(ADDRESS(1,COLUMN($C$9),4),"1","")&amp;SUMPRODUCT(($B$10:$D$26=INDIRECT(SUBSTITUTE(ADDRESS(1,COLUMN()-1,4),"1","")&amp;ROW()-12))*ROW($B$10:$D$26))))/INDIRECT(SUBSTITUTE(ADDRESS(1,COLUMN($D$9),4),"1","")&amp;SUMPRODUCT(($B$10:$D$26=INDIRECT(SUBSTITUTE(ADDRESS(1,COLUMN()-1,4),"1","")&amp;ROW()-12))*ROW($B$10:$D$26)))*10+50</f>
        <v>65.716928769657727</v>
      </c>
      <c r="BY13" s="8"/>
      <c r="BZ13" s="49">
        <v>65</v>
      </c>
      <c r="CA13" s="83">
        <f t="shared" si="33"/>
        <v>2</v>
      </c>
      <c r="CB13" s="164">
        <f t="shared" si="24"/>
        <v>88</v>
      </c>
      <c r="CC13" s="52">
        <v>1134</v>
      </c>
      <c r="CD13" s="16">
        <f t="shared" si="12"/>
        <v>2.1079634173544502E-2</v>
      </c>
      <c r="CE13" s="17">
        <f>IF(AND(BZ13&lt;&gt;"", CC13&lt;&gt;""), SUM(CC$4:CC13), "")</f>
        <v>6827</v>
      </c>
      <c r="CF13" s="16">
        <f t="shared" si="13"/>
        <v>0.12690534612238827</v>
      </c>
      <c r="CG13" s="14"/>
      <c r="CH13" s="27">
        <v>40</v>
      </c>
      <c r="CI13" s="20" t="e" cm="1">
        <f t="array" aca="1" ref="CI13" ca="1">(CH13-INDIRECT(SUBSTITUTE(ADDRESS(1,COLUMN($C$9),4),"1","")&amp;SUMPRODUCT(($B$10:$D$26=INDIRECT(SUBSTITUTE(ADDRESS(1,COLUMN()-1,4),"1","")&amp;ROW()-12))*ROW($B$10:$D$26))))/INDIRECT(SUBSTITUTE(ADDRESS(1,COLUMN($D$9),4),"1","")&amp;SUMPRODUCT(($B$10:$D$26=INDIRECT(SUBSTITUTE(ADDRESS(1,COLUMN()-1,4),"1","")&amp;ROW()-12))*ROW($B$10:$D$26)))*10+50</f>
        <v>#DIV/0!</v>
      </c>
      <c r="CJ13" s="8"/>
      <c r="CK13" s="49">
        <v>59</v>
      </c>
      <c r="CL13" s="83">
        <f t="shared" si="34"/>
        <v>3</v>
      </c>
      <c r="CM13" s="164">
        <f t="shared" si="25"/>
        <v>78</v>
      </c>
      <c r="CN13" s="52">
        <v>3845</v>
      </c>
      <c r="CO13" s="16">
        <f t="shared" si="14"/>
        <v>3.2132440811960455E-2</v>
      </c>
      <c r="CP13" s="17">
        <f>IF(AND(CK13&lt;&gt;"", CN13&lt;&gt;""), SUM(CN$4:CN13), "")</f>
        <v>28262</v>
      </c>
      <c r="CQ13" s="16">
        <f t="shared" si="15"/>
        <v>0.23618388614502636</v>
      </c>
      <c r="CR13" s="14"/>
      <c r="CS13" s="27">
        <v>40</v>
      </c>
      <c r="CT13" s="20" t="e" cm="1">
        <f t="array" aca="1" ref="CT13" ca="1">(CS13-INDIRECT(SUBSTITUTE(ADDRESS(1,COLUMN($C$9),4),"1","")&amp;SUMPRODUCT(($B$10:$D$26=INDIRECT(SUBSTITUTE(ADDRESS(1,COLUMN()-1,4),"1","")&amp;ROW()-12))*ROW($B$10:$D$26))))/INDIRECT(SUBSTITUTE(ADDRESS(1,COLUMN($D$9),4),"1","")&amp;SUMPRODUCT(($B$10:$D$26=INDIRECT(SUBSTITUTE(ADDRESS(1,COLUMN()-1,4),"1","")&amp;ROW()-12))*ROW($B$10:$D$26)))*10+50</f>
        <v>#DIV/0!</v>
      </c>
      <c r="CU13" s="8"/>
      <c r="CV13" s="49">
        <v>60</v>
      </c>
      <c r="CW13" s="83">
        <f t="shared" si="35"/>
        <v>3</v>
      </c>
      <c r="CX13" s="164">
        <f t="shared" si="26"/>
        <v>79</v>
      </c>
      <c r="CY13" s="52">
        <v>1917</v>
      </c>
      <c r="CZ13" s="16">
        <f t="shared" si="16"/>
        <v>1.5840226076466069E-2</v>
      </c>
      <c r="DA13" s="17">
        <f>IF(AND(CV13&lt;&gt;"", CY13&lt;&gt;""), SUM(CY$4:CY13), "")</f>
        <v>26126</v>
      </c>
      <c r="DB13" s="16">
        <f t="shared" si="17"/>
        <v>0.21587988861437271</v>
      </c>
      <c r="FX13" s="28">
        <v>0</v>
      </c>
    </row>
    <row r="14" spans="1:180" ht="16" customHeight="1" x14ac:dyDescent="0.2">
      <c r="A14" s="139"/>
      <c r="B14" s="7" t="s">
        <v>22</v>
      </c>
      <c r="C14" s="44"/>
      <c r="D14" s="44"/>
      <c r="E14" s="1"/>
      <c r="F14" s="1"/>
      <c r="G14" s="1"/>
      <c r="H14" s="1"/>
      <c r="I14" s="1"/>
      <c r="J14" s="1"/>
      <c r="K14" s="1"/>
      <c r="L14" s="1"/>
      <c r="M14" s="1"/>
      <c r="N14"/>
      <c r="O14" s="38"/>
      <c r="P14" s="83" t="str">
        <f t="shared" si="27"/>
        <v/>
      </c>
      <c r="Q14" s="164" t="str">
        <f t="shared" si="18"/>
        <v/>
      </c>
      <c r="R14" s="43"/>
      <c r="S14" s="16" t="str">
        <f t="shared" si="0"/>
        <v/>
      </c>
      <c r="T14" s="17" t="str">
        <f>IF(AND(O14&lt;&gt;"", R14&lt;&gt;""), SUM(R$4:R14), "")</f>
        <v/>
      </c>
      <c r="U14" s="16" t="str">
        <f t="shared" si="1"/>
        <v/>
      </c>
      <c r="W14" s="38">
        <v>137</v>
      </c>
      <c r="X14" s="83">
        <f t="shared" si="28"/>
        <v>1</v>
      </c>
      <c r="Y14" s="164">
        <f t="shared" si="19"/>
        <v>98</v>
      </c>
      <c r="Z14" s="43">
        <v>4536</v>
      </c>
      <c r="AA14" s="16">
        <f t="shared" si="2"/>
        <v>1.1703541250080629E-2</v>
      </c>
      <c r="AB14" s="17">
        <f>IF(AND(W14&lt;&gt;"", Z14&lt;&gt;""), SUM(Z$4:Z14), "")</f>
        <v>9808</v>
      </c>
      <c r="AC14" s="16">
        <f t="shared" si="3"/>
        <v>2.5306069792943302E-2</v>
      </c>
      <c r="AD14" s="1"/>
      <c r="AE14" s="19">
        <v>39</v>
      </c>
      <c r="AF14" s="20" t="e" cm="1">
        <f t="array" aca="1" ref="AF14" ca="1">(AE14-INDIRECT(SUBSTITUTE(ADDRESS(1,COLUMN($C$9),4),"1","")&amp;SUMPRODUCT(($B$10:$D$26=INDIRECT(SUBSTITUTE(ADDRESS(1,COLUMN()-1,4),"1","")&amp;ROW()-13))*ROW($B$10:$D$26))))/INDIRECT(SUBSTITUTE(ADDRESS(1,COLUMN($D$9),4),"1","")&amp;SUMPRODUCT(($B$10:$D$26=INDIRECT(SUBSTITUTE(ADDRESS(1,COLUMN()-1,4),"1","")&amp;ROW()-13))*ROW($B$10:$D$26)))*10+50</f>
        <v>#DIV/0!</v>
      </c>
      <c r="AG14" s="8"/>
      <c r="AH14" s="49">
        <v>55</v>
      </c>
      <c r="AI14" s="83">
        <f t="shared" si="29"/>
        <v>5</v>
      </c>
      <c r="AJ14" s="164">
        <f t="shared" si="20"/>
        <v>45</v>
      </c>
      <c r="AK14" s="52">
        <v>393</v>
      </c>
      <c r="AL14" s="16">
        <f t="shared" si="4"/>
        <v>8.4690974915955525E-3</v>
      </c>
      <c r="AM14" s="17">
        <f>IF(AND(AH14&lt;&gt;"", AK14&lt;&gt;""), SUM(AK$4:AK14), "")</f>
        <v>25677</v>
      </c>
      <c r="AN14" s="16">
        <f t="shared" si="5"/>
        <v>0.5533359193173002</v>
      </c>
      <c r="AO14" s="14"/>
      <c r="AP14" s="27">
        <v>39</v>
      </c>
      <c r="AQ14" s="20" t="e" cm="1">
        <f t="array" aca="1" ref="AQ14" ca="1">(AP14-INDIRECT(SUBSTITUTE(ADDRESS(1,COLUMN($C$9),4),"1","")&amp;SUMPRODUCT(($B$10:$D$26=INDIRECT(SUBSTITUTE(ADDRESS(1,COLUMN()-1,4),"1","")&amp;ROW()-13))*ROW($B$10:$D$26))))/INDIRECT(SUBSTITUTE(ADDRESS(1,COLUMN($D$9),4),"1","")&amp;SUMPRODUCT(($B$10:$D$26=INDIRECT(SUBSTITUTE(ADDRESS(1,COLUMN()-1,4),"1","")&amp;ROW()-13))*ROW($B$10:$D$26)))*10+50</f>
        <v>#DIV/0!</v>
      </c>
      <c r="AR14" s="8"/>
      <c r="AS14" s="49">
        <v>63</v>
      </c>
      <c r="AT14" s="83">
        <f t="shared" si="30"/>
        <v>3</v>
      </c>
      <c r="AU14" s="164">
        <f t="shared" si="21"/>
        <v>85</v>
      </c>
      <c r="AV14" s="52">
        <v>463</v>
      </c>
      <c r="AW14" s="16">
        <f t="shared" si="6"/>
        <v>1.5077504233424514E-2</v>
      </c>
      <c r="AX14" s="17">
        <f>IF(AND(AS14&lt;&gt;"", AV14&lt;&gt;""), SUM(AV$4:AV14), "")</f>
        <v>4777</v>
      </c>
      <c r="AY14" s="16">
        <f t="shared" si="7"/>
        <v>0.15556206851634752</v>
      </c>
      <c r="AZ14" s="14"/>
      <c r="BA14" s="27">
        <v>39</v>
      </c>
      <c r="BB14" s="20" t="e" cm="1">
        <f t="array" aca="1" ref="BB14" ca="1">(BA14-INDIRECT(SUBSTITUTE(ADDRESS(1,COLUMN($C$9),4),"1","")&amp;SUMPRODUCT(($B$10:$D$26=INDIRECT(SUBSTITUTE(ADDRESS(1,COLUMN()-1,4),"1","")&amp;ROW()-13))*ROW($B$10:$D$26))))/INDIRECT(SUBSTITUTE(ADDRESS(1,COLUMN($D$9),4),"1","")&amp;SUMPRODUCT(($B$10:$D$26=INDIRECT(SUBSTITUTE(ADDRESS(1,COLUMN()-1,4),"1","")&amp;ROW()-13))*ROW($B$10:$D$26)))*10+50</f>
        <v>#DIV/0!</v>
      </c>
      <c r="BC14" s="8"/>
      <c r="BD14" s="49">
        <v>59</v>
      </c>
      <c r="BE14" s="83">
        <f t="shared" si="31"/>
        <v>3</v>
      </c>
      <c r="BF14" s="164">
        <f t="shared" si="22"/>
        <v>79</v>
      </c>
      <c r="BG14" s="52">
        <v>508</v>
      </c>
      <c r="BH14" s="16">
        <f t="shared" si="8"/>
        <v>1.5658231359615325E-2</v>
      </c>
      <c r="BI14" s="17">
        <f>IF(AND(BD14&lt;&gt;"", BG14&lt;&gt;""), SUM(BG$4:BG14), "")</f>
        <v>7047</v>
      </c>
      <c r="BJ14" s="16">
        <f t="shared" si="9"/>
        <v>0.21721172517954568</v>
      </c>
      <c r="BK14" s="14"/>
      <c r="BL14" s="27">
        <v>39</v>
      </c>
      <c r="BM14" s="20" t="e" cm="1">
        <f t="array" aca="1" ref="BM14" ca="1">(BL14-INDIRECT(SUBSTITUTE(ADDRESS(1,COLUMN($C$9),4),"1","")&amp;SUMPRODUCT(($B$10:$D$26=INDIRECT(SUBSTITUTE(ADDRESS(1,COLUMN()-1,4),"1","")&amp;ROW()-13))*ROW($B$10:$D$26))))/INDIRECT(SUBSTITUTE(ADDRESS(1,COLUMN($D$9),4),"1","")&amp;SUMPRODUCT(($B$10:$D$26=INDIRECT(SUBSTITUTE(ADDRESS(1,COLUMN()-1,4),"1","")&amp;ROW()-13))*ROW($B$10:$D$26)))*10+50</f>
        <v>#DIV/0!</v>
      </c>
      <c r="BN14" s="8"/>
      <c r="BO14" s="49">
        <v>57</v>
      </c>
      <c r="BP14" s="83">
        <f t="shared" si="32"/>
        <v>4</v>
      </c>
      <c r="BQ14" s="164">
        <f t="shared" si="23"/>
        <v>70</v>
      </c>
      <c r="BR14" s="52">
        <v>876</v>
      </c>
      <c r="BS14" s="16">
        <f t="shared" si="10"/>
        <v>1.5719207579672698E-2</v>
      </c>
      <c r="BT14" s="17">
        <f>IF(AND(BO14&lt;&gt;"", BR14&lt;&gt;""), SUM(BR$4:BR14), "")</f>
        <v>17187</v>
      </c>
      <c r="BU14" s="16">
        <f t="shared" si="11"/>
        <v>0.3084086993970715</v>
      </c>
      <c r="BV14" s="14"/>
      <c r="BW14" s="27">
        <v>39</v>
      </c>
      <c r="BX14" s="20" cm="1">
        <f t="array" aca="1" ref="BX14" ca="1">(BW14-INDIRECT(SUBSTITUTE(ADDRESS(1,COLUMN($C$9),4),"1","")&amp;SUMPRODUCT(($B$10:$D$26=INDIRECT(SUBSTITUTE(ADDRESS(1,COLUMN()-1,4),"1","")&amp;ROW()-13))*ROW($B$10:$D$26))))/INDIRECT(SUBSTITUTE(ADDRESS(1,COLUMN($D$9),4),"1","")&amp;SUMPRODUCT(($B$10:$D$26=INDIRECT(SUBSTITUTE(ADDRESS(1,COLUMN()-1,4),"1","")&amp;ROW()-13))*ROW($B$10:$D$26)))*10+50</f>
        <v>64.791859389454203</v>
      </c>
      <c r="BY14" s="8"/>
      <c r="BZ14" s="49">
        <v>64</v>
      </c>
      <c r="CA14" s="83">
        <f t="shared" si="33"/>
        <v>3</v>
      </c>
      <c r="CB14" s="164">
        <f t="shared" si="24"/>
        <v>87</v>
      </c>
      <c r="CC14" s="52">
        <v>836</v>
      </c>
      <c r="CD14" s="16">
        <f t="shared" si="12"/>
        <v>1.5540188861625399E-2</v>
      </c>
      <c r="CE14" s="17">
        <f>IF(AND(BZ14&lt;&gt;"", CC14&lt;&gt;""), SUM(CC$4:CC14), "")</f>
        <v>7663</v>
      </c>
      <c r="CF14" s="16">
        <f t="shared" si="13"/>
        <v>0.14244553498401369</v>
      </c>
      <c r="CG14" s="14"/>
      <c r="CH14" s="27">
        <v>39</v>
      </c>
      <c r="CI14" s="20" t="e" cm="1">
        <f t="array" aca="1" ref="CI14" ca="1">(CH14-INDIRECT(SUBSTITUTE(ADDRESS(1,COLUMN($C$9),4),"1","")&amp;SUMPRODUCT(($B$10:$D$26=INDIRECT(SUBSTITUTE(ADDRESS(1,COLUMN()-1,4),"1","")&amp;ROW()-13))*ROW($B$10:$D$26))))/INDIRECT(SUBSTITUTE(ADDRESS(1,COLUMN($D$9),4),"1","")&amp;SUMPRODUCT(($B$10:$D$26=INDIRECT(SUBSTITUTE(ADDRESS(1,COLUMN()-1,4),"1","")&amp;ROW()-13))*ROW($B$10:$D$26)))*10+50</f>
        <v>#DIV/0!</v>
      </c>
      <c r="CJ14" s="8"/>
      <c r="CK14" s="49">
        <v>58</v>
      </c>
      <c r="CL14" s="83">
        <f t="shared" si="34"/>
        <v>4</v>
      </c>
      <c r="CM14" s="164">
        <f t="shared" si="25"/>
        <v>74</v>
      </c>
      <c r="CN14" s="52">
        <v>5965</v>
      </c>
      <c r="CO14" s="16">
        <f t="shared" si="14"/>
        <v>4.9849157202430196E-2</v>
      </c>
      <c r="CP14" s="17">
        <f>IF(AND(CK14&lt;&gt;"", CN14&lt;&gt;""), SUM(CN$4:CN14), "")</f>
        <v>34227</v>
      </c>
      <c r="CQ14" s="16">
        <f t="shared" si="15"/>
        <v>0.28603304334745655</v>
      </c>
      <c r="CR14" s="14"/>
      <c r="CS14" s="27">
        <v>39</v>
      </c>
      <c r="CT14" s="20" t="e" cm="1">
        <f t="array" aca="1" ref="CT14" ca="1">(CS14-INDIRECT(SUBSTITUTE(ADDRESS(1,COLUMN($C$9),4),"1","")&amp;SUMPRODUCT(($B$10:$D$26=INDIRECT(SUBSTITUTE(ADDRESS(1,COLUMN()-1,4),"1","")&amp;ROW()-13))*ROW($B$10:$D$26))))/INDIRECT(SUBSTITUTE(ADDRESS(1,COLUMN($D$9),4),"1","")&amp;SUMPRODUCT(($B$10:$D$26=INDIRECT(SUBSTITUTE(ADDRESS(1,COLUMN()-1,4),"1","")&amp;ROW()-13))*ROW($B$10:$D$26)))*10+50</f>
        <v>#DIV/0!</v>
      </c>
      <c r="CU14" s="8"/>
      <c r="CV14" s="49">
        <v>59</v>
      </c>
      <c r="CW14" s="83">
        <f t="shared" si="35"/>
        <v>3</v>
      </c>
      <c r="CX14" s="164">
        <f t="shared" si="26"/>
        <v>77</v>
      </c>
      <c r="CY14" s="52">
        <v>2565</v>
      </c>
      <c r="CZ14" s="16">
        <f t="shared" si="16"/>
        <v>2.119466869386305E-2</v>
      </c>
      <c r="DA14" s="17">
        <f>IF(AND(CV14&lt;&gt;"", CY14&lt;&gt;""), SUM(CY$4:CY14), "")</f>
        <v>28691</v>
      </c>
      <c r="DB14" s="16">
        <f t="shared" si="17"/>
        <v>0.23707455730823576</v>
      </c>
      <c r="FX14" s="28">
        <v>0</v>
      </c>
    </row>
    <row r="15" spans="1:180" ht="16" customHeight="1" thickBot="1" x14ac:dyDescent="0.25">
      <c r="A15" s="139"/>
      <c r="B15" s="7" t="s">
        <v>23</v>
      </c>
      <c r="C15" s="44"/>
      <c r="D15" s="44"/>
      <c r="E15" s="1"/>
      <c r="F15" s="142" t="s">
        <v>27</v>
      </c>
      <c r="G15" s="143"/>
      <c r="H15" s="8"/>
      <c r="I15" s="117" t="s">
        <v>28</v>
      </c>
      <c r="J15" s="118"/>
      <c r="K15" s="36"/>
      <c r="L15" s="36"/>
      <c r="M15" s="36"/>
      <c r="N15"/>
      <c r="O15" s="38"/>
      <c r="P15" s="83" t="str">
        <f t="shared" si="27"/>
        <v/>
      </c>
      <c r="Q15" s="164" t="str">
        <f t="shared" si="18"/>
        <v/>
      </c>
      <c r="R15" s="43"/>
      <c r="S15" s="16" t="str">
        <f t="shared" si="0"/>
        <v/>
      </c>
      <c r="T15" s="17" t="str">
        <f>IF(AND(O15&lt;&gt;"", R15&lt;&gt;""), SUM(R$4:R15), "")</f>
        <v/>
      </c>
      <c r="U15" s="16" t="str">
        <f t="shared" si="1"/>
        <v/>
      </c>
      <c r="W15" s="38">
        <v>136</v>
      </c>
      <c r="X15" s="83">
        <f t="shared" si="28"/>
        <v>1</v>
      </c>
      <c r="Y15" s="164">
        <f t="shared" si="19"/>
        <v>97</v>
      </c>
      <c r="Z15" s="43">
        <v>34</v>
      </c>
      <c r="AA15" s="16">
        <f>IF(AND(W15&lt;&gt;"", Z15&lt;&gt;""), Z15/AC$1, "")</f>
        <v>8.7724956460039996E-5</v>
      </c>
      <c r="AB15" s="17">
        <f>IF(AND(W15&lt;&gt;"", Z15&lt;&gt;""), SUM(Z$4:Z15), "")</f>
        <v>9842</v>
      </c>
      <c r="AC15" s="16">
        <f t="shared" si="3"/>
        <v>2.5393794749403342E-2</v>
      </c>
      <c r="AD15" s="1"/>
      <c r="AE15" s="19">
        <v>38</v>
      </c>
      <c r="AF15" s="20" t="e" cm="1">
        <f t="array" aca="1" ref="AF15" ca="1">(AE15-INDIRECT(SUBSTITUTE(ADDRESS(1,COLUMN($C$9),4),"1","")&amp;SUMPRODUCT(($B$10:$D$26=INDIRECT(SUBSTITUTE(ADDRESS(1,COLUMN()-1,4),"1","")&amp;ROW()-14))*ROW($B$10:$D$26))))/INDIRECT(SUBSTITUTE(ADDRESS(1,COLUMN($D$9),4),"1","")&amp;SUMPRODUCT(($B$10:$D$26=INDIRECT(SUBSTITUTE(ADDRESS(1,COLUMN()-1,4),"1","")&amp;ROW()-14))*ROW($B$10:$D$26)))*10+50</f>
        <v>#DIV/0!</v>
      </c>
      <c r="AG15" s="8"/>
      <c r="AH15" s="49">
        <v>54</v>
      </c>
      <c r="AI15" s="83">
        <f t="shared" si="29"/>
        <v>5</v>
      </c>
      <c r="AJ15" s="164">
        <f t="shared" si="20"/>
        <v>44</v>
      </c>
      <c r="AK15" s="52">
        <v>368</v>
      </c>
      <c r="AL15" s="16">
        <f t="shared" si="4"/>
        <v>7.9303508318248426E-3</v>
      </c>
      <c r="AM15" s="17">
        <f>IF(AND(AH15&lt;&gt;"", AK15&lt;&gt;""), SUM(AK$4:AK15), "")</f>
        <v>26045</v>
      </c>
      <c r="AN15" s="16">
        <f t="shared" si="5"/>
        <v>0.56126627014912511</v>
      </c>
      <c r="AO15" s="14"/>
      <c r="AP15" s="27">
        <v>38</v>
      </c>
      <c r="AQ15" s="20" t="e" cm="1">
        <f t="array" aca="1" ref="AQ15" ca="1">(AP15-INDIRECT(SUBSTITUTE(ADDRESS(1,COLUMN($C$9),4),"1","")&amp;SUMPRODUCT(($B$10:$D$26=INDIRECT(SUBSTITUTE(ADDRESS(1,COLUMN()-1,4),"1","")&amp;ROW()-14))*ROW($B$10:$D$26))))/INDIRECT(SUBSTITUTE(ADDRESS(1,COLUMN($D$9),4),"1","")&amp;SUMPRODUCT(($B$10:$D$26=INDIRECT(SUBSTITUTE(ADDRESS(1,COLUMN()-1,4),"1","")&amp;ROW()-14))*ROW($B$10:$D$26)))*10+50</f>
        <v>#DIV/0!</v>
      </c>
      <c r="AR15" s="8"/>
      <c r="AS15" s="49">
        <v>62</v>
      </c>
      <c r="AT15" s="83">
        <f t="shared" si="30"/>
        <v>3</v>
      </c>
      <c r="AU15" s="164">
        <f t="shared" si="21"/>
        <v>84</v>
      </c>
      <c r="AV15" s="52">
        <v>358</v>
      </c>
      <c r="AW15" s="16">
        <f t="shared" si="6"/>
        <v>1.1658199817637098E-2</v>
      </c>
      <c r="AX15" s="17">
        <f>IF(AND(AS15&lt;&gt;"", AV15&lt;&gt;""), SUM(AV$4:AV15), "")</f>
        <v>5135</v>
      </c>
      <c r="AY15" s="16">
        <f t="shared" si="7"/>
        <v>0.16722026833398462</v>
      </c>
      <c r="AZ15" s="14"/>
      <c r="BA15" s="27">
        <v>38</v>
      </c>
      <c r="BB15" s="20" t="e" cm="1">
        <f t="array" aca="1" ref="BB15" ca="1">(BA15-INDIRECT(SUBSTITUTE(ADDRESS(1,COLUMN($C$9),4),"1","")&amp;SUMPRODUCT(($B$10:$D$26=INDIRECT(SUBSTITUTE(ADDRESS(1,COLUMN()-1,4),"1","")&amp;ROW()-14))*ROW($B$10:$D$26))))/INDIRECT(SUBSTITUTE(ADDRESS(1,COLUMN($D$9),4),"1","")&amp;SUMPRODUCT(($B$10:$D$26=INDIRECT(SUBSTITUTE(ADDRESS(1,COLUMN()-1,4),"1","")&amp;ROW()-14))*ROW($B$10:$D$26)))*10+50</f>
        <v>#DIV/0!</v>
      </c>
      <c r="BC15" s="8"/>
      <c r="BD15" s="49">
        <v>58</v>
      </c>
      <c r="BE15" s="83">
        <f t="shared" si="31"/>
        <v>3</v>
      </c>
      <c r="BF15" s="164">
        <f t="shared" si="22"/>
        <v>77</v>
      </c>
      <c r="BG15" s="52">
        <v>616</v>
      </c>
      <c r="BH15" s="16">
        <f t="shared" si="8"/>
        <v>1.8987146688037481E-2</v>
      </c>
      <c r="BI15" s="17">
        <f>IF(AND(BD15&lt;&gt;"", BG15&lt;&gt;""), SUM(BG$4:BG15), "")</f>
        <v>7663</v>
      </c>
      <c r="BJ15" s="16">
        <f t="shared" si="9"/>
        <v>0.23619887186758315</v>
      </c>
      <c r="BK15" s="14"/>
      <c r="BL15" s="27">
        <v>38</v>
      </c>
      <c r="BM15" s="20" t="e" cm="1">
        <f t="array" aca="1" ref="BM15" ca="1">(BL15-INDIRECT(SUBSTITUTE(ADDRESS(1,COLUMN($C$9),4),"1","")&amp;SUMPRODUCT(($B$10:$D$26=INDIRECT(SUBSTITUTE(ADDRESS(1,COLUMN()-1,4),"1","")&amp;ROW()-14))*ROW($B$10:$D$26))))/INDIRECT(SUBSTITUTE(ADDRESS(1,COLUMN($D$9),4),"1","")&amp;SUMPRODUCT(($B$10:$D$26=INDIRECT(SUBSTITUTE(ADDRESS(1,COLUMN()-1,4),"1","")&amp;ROW()-14))*ROW($B$10:$D$26)))*10+50</f>
        <v>#DIV/0!</v>
      </c>
      <c r="BN15" s="8"/>
      <c r="BO15" s="49">
        <v>56</v>
      </c>
      <c r="BP15" s="83">
        <f t="shared" si="32"/>
        <v>4</v>
      </c>
      <c r="BQ15" s="164">
        <f t="shared" si="23"/>
        <v>68</v>
      </c>
      <c r="BR15" s="52">
        <v>1320</v>
      </c>
      <c r="BS15" s="16">
        <f t="shared" si="10"/>
        <v>2.3686477174849268E-2</v>
      </c>
      <c r="BT15" s="17">
        <f>IF(AND(BO15&lt;&gt;"", BR15&lt;&gt;""), SUM(BR$4:BR15), "")</f>
        <v>18507</v>
      </c>
      <c r="BU15" s="16">
        <f t="shared" si="11"/>
        <v>0.33209517657192078</v>
      </c>
      <c r="BV15" s="14"/>
      <c r="BW15" s="27">
        <v>38</v>
      </c>
      <c r="BX15" s="20" cm="1">
        <f t="array" aca="1" ref="BX15" ca="1">(BW15-INDIRECT(SUBSTITUTE(ADDRESS(1,COLUMN($C$9),4),"1","")&amp;SUMPRODUCT(($B$10:$D$26=INDIRECT(SUBSTITUTE(ADDRESS(1,COLUMN()-1,4),"1","")&amp;ROW()-14))*ROW($B$10:$D$26))))/INDIRECT(SUBSTITUTE(ADDRESS(1,COLUMN($D$9),4),"1","")&amp;SUMPRODUCT(($B$10:$D$26=INDIRECT(SUBSTITUTE(ADDRESS(1,COLUMN()-1,4),"1","")&amp;ROW()-14))*ROW($B$10:$D$26)))*10+50</f>
        <v>63.866790009250693</v>
      </c>
      <c r="BY15" s="8"/>
      <c r="BZ15" s="49">
        <v>63</v>
      </c>
      <c r="CA15" s="83">
        <f t="shared" si="33"/>
        <v>3</v>
      </c>
      <c r="CB15" s="164">
        <f t="shared" si="24"/>
        <v>85</v>
      </c>
      <c r="CC15" s="52">
        <v>1221</v>
      </c>
      <c r="CD15" s="16">
        <f t="shared" si="12"/>
        <v>2.269685478474236E-2</v>
      </c>
      <c r="CE15" s="17">
        <f>IF(AND(BZ15&lt;&gt;"", CC15&lt;&gt;""), SUM(CC$4:CC15), "")</f>
        <v>8884</v>
      </c>
      <c r="CF15" s="16">
        <f t="shared" si="13"/>
        <v>0.16514238976875603</v>
      </c>
      <c r="CG15" s="14"/>
      <c r="CH15" s="27">
        <v>38</v>
      </c>
      <c r="CI15" s="20" t="e" cm="1">
        <f t="array" aca="1" ref="CI15" ca="1">(CH15-INDIRECT(SUBSTITUTE(ADDRESS(1,COLUMN($C$9),4),"1","")&amp;SUMPRODUCT(($B$10:$D$26=INDIRECT(SUBSTITUTE(ADDRESS(1,COLUMN()-1,4),"1","")&amp;ROW()-14))*ROW($B$10:$D$26))))/INDIRECT(SUBSTITUTE(ADDRESS(1,COLUMN($D$9),4),"1","")&amp;SUMPRODUCT(($B$10:$D$26=INDIRECT(SUBSTITUTE(ADDRESS(1,COLUMN()-1,4),"1","")&amp;ROW()-14))*ROW($B$10:$D$26)))*10+50</f>
        <v>#DIV/0!</v>
      </c>
      <c r="CJ15" s="8"/>
      <c r="CK15" s="49">
        <v>57</v>
      </c>
      <c r="CL15" s="83">
        <f t="shared" si="34"/>
        <v>4</v>
      </c>
      <c r="CM15" s="164">
        <f t="shared" si="25"/>
        <v>70</v>
      </c>
      <c r="CN15" s="52">
        <v>3000</v>
      </c>
      <c r="CO15" s="16">
        <f t="shared" si="14"/>
        <v>2.5070825080853412E-2</v>
      </c>
      <c r="CP15" s="17">
        <f>IF(AND(CK15&lt;&gt;"", CN15&lt;&gt;""), SUM(CN$4:CN15), "")</f>
        <v>37227</v>
      </c>
      <c r="CQ15" s="16">
        <f t="shared" si="15"/>
        <v>0.31110386842830995</v>
      </c>
      <c r="CR15" s="14"/>
      <c r="CS15" s="27">
        <v>38</v>
      </c>
      <c r="CT15" s="20" t="e" cm="1">
        <f t="array" aca="1" ref="CT15" ca="1">(CS15-INDIRECT(SUBSTITUTE(ADDRESS(1,COLUMN($C$9),4),"1","")&amp;SUMPRODUCT(($B$10:$D$26=INDIRECT(SUBSTITUTE(ADDRESS(1,COLUMN()-1,4),"1","")&amp;ROW()-14))*ROW($B$10:$D$26))))/INDIRECT(SUBSTITUTE(ADDRESS(1,COLUMN($D$9),4),"1","")&amp;SUMPRODUCT(($B$10:$D$26=INDIRECT(SUBSTITUTE(ADDRESS(1,COLUMN()-1,4),"1","")&amp;ROW()-14))*ROW($B$10:$D$26)))*10+50</f>
        <v>#DIV/0!</v>
      </c>
      <c r="CU15" s="8"/>
      <c r="CV15" s="49">
        <v>58</v>
      </c>
      <c r="CW15" s="83">
        <f t="shared" si="35"/>
        <v>4</v>
      </c>
      <c r="CX15" s="164">
        <f t="shared" si="26"/>
        <v>75</v>
      </c>
      <c r="CY15" s="52">
        <v>4325</v>
      </c>
      <c r="CZ15" s="16">
        <f t="shared" si="16"/>
        <v>3.5737599259632623E-2</v>
      </c>
      <c r="DA15" s="17">
        <f>IF(AND(CV15&lt;&gt;"", CY15&lt;&gt;""), SUM(CY$4:CY15), "")</f>
        <v>33016</v>
      </c>
      <c r="DB15" s="16">
        <f t="shared" si="17"/>
        <v>0.27281215656786839</v>
      </c>
      <c r="FX15" s="28">
        <v>0</v>
      </c>
    </row>
    <row r="16" spans="1:180" ht="16" customHeight="1" x14ac:dyDescent="0.2">
      <c r="A16" s="139"/>
      <c r="B16" s="7" t="s">
        <v>24</v>
      </c>
      <c r="C16" s="44"/>
      <c r="D16" s="44"/>
      <c r="E16" s="1"/>
      <c r="F16" s="10" t="s">
        <v>30</v>
      </c>
      <c r="G16" s="10" t="s">
        <v>14</v>
      </c>
      <c r="H16" s="8"/>
      <c r="I16" s="30" t="s">
        <v>30</v>
      </c>
      <c r="J16" s="30" t="s">
        <v>14</v>
      </c>
      <c r="K16" s="36"/>
      <c r="L16" s="36"/>
      <c r="M16" s="36"/>
      <c r="N16"/>
      <c r="O16" s="38"/>
      <c r="P16" s="83" t="str">
        <f t="shared" si="27"/>
        <v/>
      </c>
      <c r="Q16" s="164" t="str">
        <f t="shared" si="18"/>
        <v/>
      </c>
      <c r="R16" s="43"/>
      <c r="S16" s="16" t="str">
        <f t="shared" si="0"/>
        <v/>
      </c>
      <c r="T16" s="17" t="str">
        <f>IF(AND(O16&lt;&gt;"", R16&lt;&gt;""), SUM(R$4:R16), "")</f>
        <v/>
      </c>
      <c r="U16" s="16" t="str">
        <f t="shared" si="1"/>
        <v/>
      </c>
      <c r="W16" s="38">
        <v>135</v>
      </c>
      <c r="X16" s="83">
        <f t="shared" si="28"/>
        <v>1</v>
      </c>
      <c r="Y16" s="164">
        <f t="shared" si="19"/>
        <v>97</v>
      </c>
      <c r="Z16" s="43">
        <v>665</v>
      </c>
      <c r="AA16" s="16">
        <f t="shared" si="2"/>
        <v>1.7157969425272528E-3</v>
      </c>
      <c r="AB16" s="17">
        <f>IF(AND(W16&lt;&gt;"", Z16&lt;&gt;""), SUM(Z$4:Z16), "")</f>
        <v>10507</v>
      </c>
      <c r="AC16" s="16">
        <f t="shared" si="3"/>
        <v>2.7109591691930595E-2</v>
      </c>
      <c r="AD16" s="1"/>
      <c r="AE16" s="19">
        <v>37</v>
      </c>
      <c r="AF16" s="20" t="e" cm="1">
        <f t="array" aca="1" ref="AF16" ca="1">(AE16-INDIRECT(SUBSTITUTE(ADDRESS(1,COLUMN($C$9),4),"1","")&amp;SUMPRODUCT(($B$10:$D$26=INDIRECT(SUBSTITUTE(ADDRESS(1,COLUMN()-1,4),"1","")&amp;ROW()-15))*ROW($B$10:$D$26))))/INDIRECT(SUBSTITUTE(ADDRESS(1,COLUMN($D$9),4),"1","")&amp;SUMPRODUCT(($B$10:$D$26=INDIRECT(SUBSTITUTE(ADDRESS(1,COLUMN()-1,4),"1","")&amp;ROW()-15))*ROW($B$10:$D$26)))*10+50</f>
        <v>#DIV/0!</v>
      </c>
      <c r="AG16" s="8"/>
      <c r="AH16" s="49">
        <v>53</v>
      </c>
      <c r="AI16" s="83">
        <f t="shared" si="29"/>
        <v>5</v>
      </c>
      <c r="AJ16" s="164">
        <f t="shared" si="20"/>
        <v>43</v>
      </c>
      <c r="AK16" s="52">
        <v>558</v>
      </c>
      <c r="AL16" s="16">
        <f t="shared" si="4"/>
        <v>1.2024825446082235E-2</v>
      </c>
      <c r="AM16" s="17">
        <f>IF(AND(AH16&lt;&gt;"", AK16&lt;&gt;""), SUM(AK$4:AK16), "")</f>
        <v>26603</v>
      </c>
      <c r="AN16" s="16">
        <f t="shared" si="5"/>
        <v>0.5732910955952073</v>
      </c>
      <c r="AO16" s="14"/>
      <c r="AP16" s="27">
        <v>37</v>
      </c>
      <c r="AQ16" s="20" t="e" cm="1">
        <f t="array" aca="1" ref="AQ16" ca="1">(AP16-INDIRECT(SUBSTITUTE(ADDRESS(1,COLUMN($C$9),4),"1","")&amp;SUMPRODUCT(($B$10:$D$26=INDIRECT(SUBSTITUTE(ADDRESS(1,COLUMN()-1,4),"1","")&amp;ROW()-15))*ROW($B$10:$D$26))))/INDIRECT(SUBSTITUTE(ADDRESS(1,COLUMN($D$9),4),"1","")&amp;SUMPRODUCT(($B$10:$D$26=INDIRECT(SUBSTITUTE(ADDRESS(1,COLUMN()-1,4),"1","")&amp;ROW()-15))*ROW($B$10:$D$26)))*10+50</f>
        <v>#DIV/0!</v>
      </c>
      <c r="AR16" s="8"/>
      <c r="AS16" s="49">
        <v>61</v>
      </c>
      <c r="AT16" s="83">
        <f t="shared" si="30"/>
        <v>3</v>
      </c>
      <c r="AU16" s="164">
        <f t="shared" si="21"/>
        <v>83</v>
      </c>
      <c r="AV16" s="52">
        <v>420</v>
      </c>
      <c r="AW16" s="16">
        <f t="shared" si="6"/>
        <v>1.3677217663149667E-2</v>
      </c>
      <c r="AX16" s="17">
        <f>IF(AND(AS16&lt;&gt;"", AV16&lt;&gt;""), SUM(AV$4:AV16), "")</f>
        <v>5555</v>
      </c>
      <c r="AY16" s="16">
        <f t="shared" si="7"/>
        <v>0.18089748599713429</v>
      </c>
      <c r="AZ16" s="14"/>
      <c r="BA16" s="27">
        <v>37</v>
      </c>
      <c r="BB16" s="20" t="e" cm="1">
        <f t="array" aca="1" ref="BB16" ca="1">(BA16-INDIRECT(SUBSTITUTE(ADDRESS(1,COLUMN($C$9),4),"1","")&amp;SUMPRODUCT(($B$10:$D$26=INDIRECT(SUBSTITUTE(ADDRESS(1,COLUMN()-1,4),"1","")&amp;ROW()-15))*ROW($B$10:$D$26))))/INDIRECT(SUBSTITUTE(ADDRESS(1,COLUMN($D$9),4),"1","")&amp;SUMPRODUCT(($B$10:$D$26=INDIRECT(SUBSTITUTE(ADDRESS(1,COLUMN()-1,4),"1","")&amp;ROW()-15))*ROW($B$10:$D$26)))*10+50</f>
        <v>#DIV/0!</v>
      </c>
      <c r="BC16" s="8"/>
      <c r="BD16" s="49">
        <v>57</v>
      </c>
      <c r="BE16" s="83">
        <f t="shared" si="31"/>
        <v>4</v>
      </c>
      <c r="BF16" s="164">
        <f t="shared" si="22"/>
        <v>74</v>
      </c>
      <c r="BG16" s="52">
        <v>1279</v>
      </c>
      <c r="BH16" s="16">
        <f t="shared" si="8"/>
        <v>3.9422988009740159E-2</v>
      </c>
      <c r="BI16" s="17">
        <f>IF(AND(BD16&lt;&gt;"", BG16&lt;&gt;""), SUM(BG$4:BG16), "")</f>
        <v>8942</v>
      </c>
      <c r="BJ16" s="16">
        <f t="shared" si="9"/>
        <v>0.27562185987732329</v>
      </c>
      <c r="BK16" s="14"/>
      <c r="BL16" s="27">
        <v>37</v>
      </c>
      <c r="BM16" s="20" t="e" cm="1">
        <f t="array" aca="1" ref="BM16" ca="1">(BL16-INDIRECT(SUBSTITUTE(ADDRESS(1,COLUMN($C$9),4),"1","")&amp;SUMPRODUCT(($B$10:$D$26=INDIRECT(SUBSTITUTE(ADDRESS(1,COLUMN()-1,4),"1","")&amp;ROW()-15))*ROW($B$10:$D$26))))/INDIRECT(SUBSTITUTE(ADDRESS(1,COLUMN($D$9),4),"1","")&amp;SUMPRODUCT(($B$10:$D$26=INDIRECT(SUBSTITUTE(ADDRESS(1,COLUMN()-1,4),"1","")&amp;ROW()-15))*ROW($B$10:$D$26)))*10+50</f>
        <v>#DIV/0!</v>
      </c>
      <c r="BN16" s="8"/>
      <c r="BO16" s="49">
        <v>55</v>
      </c>
      <c r="BP16" s="83">
        <f t="shared" si="32"/>
        <v>4</v>
      </c>
      <c r="BQ16" s="164">
        <f t="shared" si="23"/>
        <v>65</v>
      </c>
      <c r="BR16" s="52">
        <v>2049</v>
      </c>
      <c r="BS16" s="16">
        <f t="shared" si="10"/>
        <v>3.6767872523686476E-2</v>
      </c>
      <c r="BT16" s="17">
        <f>IF(AND(BO16&lt;&gt;"", BR16&lt;&gt;""), SUM(BR$4:BR16), "")</f>
        <v>20556</v>
      </c>
      <c r="BU16" s="16">
        <f t="shared" si="11"/>
        <v>0.36886304909560724</v>
      </c>
      <c r="BV16" s="14"/>
      <c r="BW16" s="27">
        <v>37</v>
      </c>
      <c r="BX16" s="20" cm="1">
        <f t="array" aca="1" ref="BX16" ca="1">(BW16-INDIRECT(SUBSTITUTE(ADDRESS(1,COLUMN($C$9),4),"1","")&amp;SUMPRODUCT(($B$10:$D$26=INDIRECT(SUBSTITUTE(ADDRESS(1,COLUMN()-1,4),"1","")&amp;ROW()-15))*ROW($B$10:$D$26))))/INDIRECT(SUBSTITUTE(ADDRESS(1,COLUMN($D$9),4),"1","")&amp;SUMPRODUCT(($B$10:$D$26=INDIRECT(SUBSTITUTE(ADDRESS(1,COLUMN()-1,4),"1","")&amp;ROW()-15))*ROW($B$10:$D$26)))*10+50</f>
        <v>62.941720629047175</v>
      </c>
      <c r="BY16" s="8"/>
      <c r="BZ16" s="49">
        <v>62</v>
      </c>
      <c r="CA16" s="83">
        <f t="shared" si="33"/>
        <v>3</v>
      </c>
      <c r="CB16" s="164">
        <f t="shared" si="24"/>
        <v>83</v>
      </c>
      <c r="CC16" s="52">
        <v>1034</v>
      </c>
      <c r="CD16" s="16">
        <f t="shared" si="12"/>
        <v>1.9220759907799836E-2</v>
      </c>
      <c r="CE16" s="17">
        <f>IF(AND(BZ16&lt;&gt;"", CC16&lt;&gt;""), SUM(CC$4:CC16), "")</f>
        <v>9918</v>
      </c>
      <c r="CF16" s="16">
        <f t="shared" si="13"/>
        <v>0.18436314967655587</v>
      </c>
      <c r="CG16" s="14"/>
      <c r="CH16" s="27">
        <v>37</v>
      </c>
      <c r="CI16" s="20" t="e" cm="1">
        <f t="array" aca="1" ref="CI16" ca="1">(CH16-INDIRECT(SUBSTITUTE(ADDRESS(1,COLUMN($C$9),4),"1","")&amp;SUMPRODUCT(($B$10:$D$26=INDIRECT(SUBSTITUTE(ADDRESS(1,COLUMN()-1,4),"1","")&amp;ROW()-15))*ROW($B$10:$D$26))))/INDIRECT(SUBSTITUTE(ADDRESS(1,COLUMN($D$9),4),"1","")&amp;SUMPRODUCT(($B$10:$D$26=INDIRECT(SUBSTITUTE(ADDRESS(1,COLUMN()-1,4),"1","")&amp;ROW()-15))*ROW($B$10:$D$26)))*10+50</f>
        <v>#DIV/0!</v>
      </c>
      <c r="CJ16" s="8"/>
      <c r="CK16" s="49">
        <v>56</v>
      </c>
      <c r="CL16" s="83">
        <f t="shared" si="34"/>
        <v>4</v>
      </c>
      <c r="CM16" s="164">
        <f t="shared" si="25"/>
        <v>68</v>
      </c>
      <c r="CN16" s="52">
        <v>2815</v>
      </c>
      <c r="CO16" s="16">
        <f t="shared" si="14"/>
        <v>2.3524790867534118E-2</v>
      </c>
      <c r="CP16" s="17">
        <f>IF(AND(CK16&lt;&gt;"", CN16&lt;&gt;""), SUM(CN$4:CN16), "")</f>
        <v>40042</v>
      </c>
      <c r="CQ16" s="16">
        <f t="shared" si="15"/>
        <v>0.33462865929584407</v>
      </c>
      <c r="CR16" s="14"/>
      <c r="CS16" s="27">
        <v>37</v>
      </c>
      <c r="CT16" s="20" t="e" cm="1">
        <f t="array" aca="1" ref="CT16" ca="1">(CS16-INDIRECT(SUBSTITUTE(ADDRESS(1,COLUMN($C$9),4),"1","")&amp;SUMPRODUCT(($B$10:$D$26=INDIRECT(SUBSTITUTE(ADDRESS(1,COLUMN()-1,4),"1","")&amp;ROW()-15))*ROW($B$10:$D$26))))/INDIRECT(SUBSTITUTE(ADDRESS(1,COLUMN($D$9),4),"1","")&amp;SUMPRODUCT(($B$10:$D$26=INDIRECT(SUBSTITUTE(ADDRESS(1,COLUMN()-1,4),"1","")&amp;ROW()-15))*ROW($B$10:$D$26)))*10+50</f>
        <v>#DIV/0!</v>
      </c>
      <c r="CU16" s="8"/>
      <c r="CV16" s="49">
        <v>57</v>
      </c>
      <c r="CW16" s="83">
        <f t="shared" si="35"/>
        <v>4</v>
      </c>
      <c r="CX16" s="164">
        <f t="shared" si="26"/>
        <v>72</v>
      </c>
      <c r="CY16" s="52">
        <v>2162</v>
      </c>
      <c r="CZ16" s="16">
        <f t="shared" si="16"/>
        <v>1.7864668115451038E-2</v>
      </c>
      <c r="DA16" s="17">
        <f>IF(AND(CV16&lt;&gt;"", CY16&lt;&gt;""), SUM(CY$4:CY16), "")</f>
        <v>35178</v>
      </c>
      <c r="DB16" s="16">
        <f t="shared" si="17"/>
        <v>0.2906768246833194</v>
      </c>
      <c r="FX16" s="28">
        <v>0</v>
      </c>
    </row>
    <row r="17" spans="1:180" ht="16" customHeight="1" x14ac:dyDescent="0.2">
      <c r="A17" s="139"/>
      <c r="B17" s="7" t="s">
        <v>25</v>
      </c>
      <c r="C17" s="44"/>
      <c r="D17" s="44"/>
      <c r="E17" s="1"/>
      <c r="F17" s="27">
        <v>90</v>
      </c>
      <c r="G17" s="27">
        <v>1</v>
      </c>
      <c r="H17" s="1"/>
      <c r="I17" s="85">
        <v>40</v>
      </c>
      <c r="J17" s="85">
        <v>1</v>
      </c>
      <c r="K17" s="70"/>
      <c r="L17" s="70"/>
      <c r="M17" s="70"/>
      <c r="N17"/>
      <c r="O17" s="38"/>
      <c r="P17" s="83" t="str">
        <f t="shared" si="27"/>
        <v/>
      </c>
      <c r="Q17" s="164" t="str">
        <f t="shared" si="18"/>
        <v/>
      </c>
      <c r="R17" s="43"/>
      <c r="S17" s="16" t="str">
        <f t="shared" si="0"/>
        <v/>
      </c>
      <c r="T17" s="17" t="str">
        <f>IF(AND(O17&lt;&gt;"", R17&lt;&gt;""), SUM(R$4:R17), "")</f>
        <v/>
      </c>
      <c r="U17" s="16" t="str">
        <f t="shared" si="1"/>
        <v/>
      </c>
      <c r="W17" s="38">
        <v>134</v>
      </c>
      <c r="X17" s="83">
        <f t="shared" si="28"/>
        <v>1</v>
      </c>
      <c r="Y17" s="164">
        <f t="shared" si="19"/>
        <v>97</v>
      </c>
      <c r="Z17" s="43">
        <v>5344</v>
      </c>
      <c r="AA17" s="16">
        <f t="shared" si="2"/>
        <v>1.3788299038895698E-2</v>
      </c>
      <c r="AB17" s="17">
        <f>IF(AND(W17&lt;&gt;"", Z17&lt;&gt;""), SUM(Z$4:Z17), "")</f>
        <v>15851</v>
      </c>
      <c r="AC17" s="16">
        <f t="shared" si="3"/>
        <v>4.0897890730826295E-2</v>
      </c>
      <c r="AD17" s="1"/>
      <c r="AE17" s="19">
        <v>36</v>
      </c>
      <c r="AF17" s="20" t="e" cm="1">
        <f t="array" aca="1" ref="AF17" ca="1">(AE17-INDIRECT(SUBSTITUTE(ADDRESS(1,COLUMN($C$9),4),"1","")&amp;SUMPRODUCT(($B$10:$D$26=INDIRECT(SUBSTITUTE(ADDRESS(1,COLUMN()-1,4),"1","")&amp;ROW()-16))*ROW($B$10:$D$26))))/INDIRECT(SUBSTITUTE(ADDRESS(1,COLUMN($D$9),4),"1","")&amp;SUMPRODUCT(($B$10:$D$26=INDIRECT(SUBSTITUTE(ADDRESS(1,COLUMN()-1,4),"1","")&amp;ROW()-16))*ROW($B$10:$D$26)))*10+50</f>
        <v>#DIV/0!</v>
      </c>
      <c r="AG17" s="8"/>
      <c r="AH17" s="49">
        <v>52</v>
      </c>
      <c r="AI17" s="83">
        <f t="shared" si="29"/>
        <v>5</v>
      </c>
      <c r="AJ17" s="164">
        <f t="shared" si="20"/>
        <v>42</v>
      </c>
      <c r="AK17" s="52">
        <v>804</v>
      </c>
      <c r="AL17" s="16">
        <f t="shared" si="4"/>
        <v>1.7326092578226013E-2</v>
      </c>
      <c r="AM17" s="17">
        <f>IF(AND(AH17&lt;&gt;"", AK17&lt;&gt;""), SUM(AK$4:AK17), "")</f>
        <v>27407</v>
      </c>
      <c r="AN17" s="16">
        <f t="shared" si="5"/>
        <v>0.59061718817343334</v>
      </c>
      <c r="AO17" s="14"/>
      <c r="AP17" s="27">
        <v>36</v>
      </c>
      <c r="AQ17" s="20" t="e" cm="1">
        <f t="array" aca="1" ref="AQ17" ca="1">(AP17-INDIRECT(SUBSTITUTE(ADDRESS(1,COLUMN($C$9),4),"1","")&amp;SUMPRODUCT(($B$10:$D$26=INDIRECT(SUBSTITUTE(ADDRESS(1,COLUMN()-1,4),"1","")&amp;ROW()-16))*ROW($B$10:$D$26))))/INDIRECT(SUBSTITUTE(ADDRESS(1,COLUMN($D$9),4),"1","")&amp;SUMPRODUCT(($B$10:$D$26=INDIRECT(SUBSTITUTE(ADDRESS(1,COLUMN()-1,4),"1","")&amp;ROW()-16))*ROW($B$10:$D$26)))*10+50</f>
        <v>#DIV/0!</v>
      </c>
      <c r="AR17" s="8"/>
      <c r="AS17" s="49">
        <v>60</v>
      </c>
      <c r="AT17" s="83">
        <f t="shared" si="30"/>
        <v>3</v>
      </c>
      <c r="AU17" s="164">
        <f t="shared" si="21"/>
        <v>80</v>
      </c>
      <c r="AV17" s="52">
        <v>878</v>
      </c>
      <c r="AW17" s="16">
        <f t="shared" si="6"/>
        <v>2.8591897876774783E-2</v>
      </c>
      <c r="AX17" s="17">
        <f>IF(AND(AS17&lt;&gt;"", AV17&lt;&gt;""), SUM(AV$4:AV17), "")</f>
        <v>6433</v>
      </c>
      <c r="AY17" s="16">
        <f t="shared" si="7"/>
        <v>0.20948938387390909</v>
      </c>
      <c r="AZ17" s="14"/>
      <c r="BA17" s="27">
        <v>36</v>
      </c>
      <c r="BB17" s="20" t="e" cm="1">
        <f t="array" aca="1" ref="BB17" ca="1">(BA17-INDIRECT(SUBSTITUTE(ADDRESS(1,COLUMN($C$9),4),"1","")&amp;SUMPRODUCT(($B$10:$D$26=INDIRECT(SUBSTITUTE(ADDRESS(1,COLUMN()-1,4),"1","")&amp;ROW()-16))*ROW($B$10:$D$26))))/INDIRECT(SUBSTITUTE(ADDRESS(1,COLUMN($D$9),4),"1","")&amp;SUMPRODUCT(($B$10:$D$26=INDIRECT(SUBSTITUTE(ADDRESS(1,COLUMN()-1,4),"1","")&amp;ROW()-16))*ROW($B$10:$D$26)))*10+50</f>
        <v>#DIV/0!</v>
      </c>
      <c r="BC17" s="8"/>
      <c r="BD17" s="49">
        <v>56</v>
      </c>
      <c r="BE17" s="83">
        <f t="shared" si="31"/>
        <v>4</v>
      </c>
      <c r="BF17" s="164">
        <f t="shared" si="22"/>
        <v>71</v>
      </c>
      <c r="BG17" s="52">
        <v>619</v>
      </c>
      <c r="BH17" s="16">
        <f t="shared" si="8"/>
        <v>1.907961655827143E-2</v>
      </c>
      <c r="BI17" s="17">
        <f>IF(AND(BD17&lt;&gt;"", BG17&lt;&gt;""), SUM(BG$4:BG17), "")</f>
        <v>9561</v>
      </c>
      <c r="BJ17" s="16">
        <f t="shared" si="9"/>
        <v>0.29470147643559474</v>
      </c>
      <c r="BK17" s="14"/>
      <c r="BL17" s="27">
        <v>36</v>
      </c>
      <c r="BM17" s="20" t="e" cm="1">
        <f t="array" aca="1" ref="BM17" ca="1">(BL17-INDIRECT(SUBSTITUTE(ADDRESS(1,COLUMN($C$9),4),"1","")&amp;SUMPRODUCT(($B$10:$D$26=INDIRECT(SUBSTITUTE(ADDRESS(1,COLUMN()-1,4),"1","")&amp;ROW()-16))*ROW($B$10:$D$26))))/INDIRECT(SUBSTITUTE(ADDRESS(1,COLUMN($D$9),4),"1","")&amp;SUMPRODUCT(($B$10:$D$26=INDIRECT(SUBSTITUTE(ADDRESS(1,COLUMN()-1,4),"1","")&amp;ROW()-16))*ROW($B$10:$D$26)))*10+50</f>
        <v>#DIV/0!</v>
      </c>
      <c r="BN17" s="8"/>
      <c r="BO17" s="49">
        <v>54</v>
      </c>
      <c r="BP17" s="83">
        <f t="shared" si="32"/>
        <v>4</v>
      </c>
      <c r="BQ17" s="164">
        <f t="shared" si="23"/>
        <v>62</v>
      </c>
      <c r="BR17" s="52">
        <v>1221</v>
      </c>
      <c r="BS17" s="16">
        <f t="shared" si="10"/>
        <v>2.1909991386735574E-2</v>
      </c>
      <c r="BT17" s="17">
        <f>IF(AND(BO17&lt;&gt;"", BR17&lt;&gt;""), SUM(BR$4:BR17), "")</f>
        <v>21777</v>
      </c>
      <c r="BU17" s="16">
        <f t="shared" si="11"/>
        <v>0.39077304048234279</v>
      </c>
      <c r="BV17" s="14"/>
      <c r="BW17" s="27">
        <v>36</v>
      </c>
      <c r="BX17" s="20" cm="1">
        <f t="array" aca="1" ref="BX17" ca="1">(BW17-INDIRECT(SUBSTITUTE(ADDRESS(1,COLUMN($C$9),4),"1","")&amp;SUMPRODUCT(($B$10:$D$26=INDIRECT(SUBSTITUTE(ADDRESS(1,COLUMN()-1,4),"1","")&amp;ROW()-16))*ROW($B$10:$D$26))))/INDIRECT(SUBSTITUTE(ADDRESS(1,COLUMN($D$9),4),"1","")&amp;SUMPRODUCT(($B$10:$D$26=INDIRECT(SUBSTITUTE(ADDRESS(1,COLUMN()-1,4),"1","")&amp;ROW()-16))*ROW($B$10:$D$26)))*10+50</f>
        <v>62.016651248843658</v>
      </c>
      <c r="BY17" s="8"/>
      <c r="BZ17" s="49">
        <v>61</v>
      </c>
      <c r="CA17" s="83">
        <f t="shared" si="33"/>
        <v>3</v>
      </c>
      <c r="CB17" s="164">
        <f t="shared" si="24"/>
        <v>81</v>
      </c>
      <c r="CC17" s="52">
        <v>1102</v>
      </c>
      <c r="CD17" s="16">
        <f t="shared" si="12"/>
        <v>2.0484794408506209E-2</v>
      </c>
      <c r="CE17" s="17">
        <f>IF(AND(BZ17&lt;&gt;"", CC17&lt;&gt;""), SUM(CC$4:CC17), "")</f>
        <v>11020</v>
      </c>
      <c r="CF17" s="16">
        <f t="shared" si="13"/>
        <v>0.20484794408506207</v>
      </c>
      <c r="CG17" s="14"/>
      <c r="CH17" s="27">
        <v>36</v>
      </c>
      <c r="CI17" s="20" t="e" cm="1">
        <f t="array" aca="1" ref="CI17" ca="1">(CH17-INDIRECT(SUBSTITUTE(ADDRESS(1,COLUMN($C$9),4),"1","")&amp;SUMPRODUCT(($B$10:$D$26=INDIRECT(SUBSTITUTE(ADDRESS(1,COLUMN()-1,4),"1","")&amp;ROW()-16))*ROW($B$10:$D$26))))/INDIRECT(SUBSTITUTE(ADDRESS(1,COLUMN($D$9),4),"1","")&amp;SUMPRODUCT(($B$10:$D$26=INDIRECT(SUBSTITUTE(ADDRESS(1,COLUMN()-1,4),"1","")&amp;ROW()-16))*ROW($B$10:$D$26)))*10+50</f>
        <v>#DIV/0!</v>
      </c>
      <c r="CJ17" s="8"/>
      <c r="CK17" s="49">
        <v>55</v>
      </c>
      <c r="CL17" s="83">
        <f t="shared" si="34"/>
        <v>4</v>
      </c>
      <c r="CM17" s="164">
        <f t="shared" si="25"/>
        <v>65</v>
      </c>
      <c r="CN17" s="52">
        <v>3631</v>
      </c>
      <c r="CO17" s="16">
        <f t="shared" si="14"/>
        <v>3.0344055289526245E-2</v>
      </c>
      <c r="CP17" s="17">
        <f>IF(AND(CK17&lt;&gt;"", CN17&lt;&gt;""), SUM(CN$4:CN17), "")</f>
        <v>43673</v>
      </c>
      <c r="CQ17" s="16">
        <f t="shared" si="15"/>
        <v>0.36497271458537034</v>
      </c>
      <c r="CR17" s="14"/>
      <c r="CS17" s="27">
        <v>36</v>
      </c>
      <c r="CT17" s="20" t="e" cm="1">
        <f t="array" aca="1" ref="CT17" ca="1">(CS17-INDIRECT(SUBSTITUTE(ADDRESS(1,COLUMN($C$9),4),"1","")&amp;SUMPRODUCT(($B$10:$D$26=INDIRECT(SUBSTITUTE(ADDRESS(1,COLUMN()-1,4),"1","")&amp;ROW()-16))*ROW($B$10:$D$26))))/INDIRECT(SUBSTITUTE(ADDRESS(1,COLUMN($D$9),4),"1","")&amp;SUMPRODUCT(($B$10:$D$26=INDIRECT(SUBSTITUTE(ADDRESS(1,COLUMN()-1,4),"1","")&amp;ROW()-16))*ROW($B$10:$D$26)))*10+50</f>
        <v>#DIV/0!</v>
      </c>
      <c r="CU17" s="8"/>
      <c r="CV17" s="49">
        <v>56</v>
      </c>
      <c r="CW17" s="83">
        <f t="shared" si="35"/>
        <v>4</v>
      </c>
      <c r="CX17" s="164">
        <f t="shared" si="26"/>
        <v>70</v>
      </c>
      <c r="CY17" s="52">
        <v>2047</v>
      </c>
      <c r="CZ17" s="16">
        <f t="shared" si="16"/>
        <v>1.6914419811437684E-2</v>
      </c>
      <c r="DA17" s="17">
        <f>IF(AND(CV17&lt;&gt;"", CY17&lt;&gt;""), SUM(CY$4:CY17), "")</f>
        <v>37225</v>
      </c>
      <c r="DB17" s="16">
        <f t="shared" si="17"/>
        <v>0.30759124449475711</v>
      </c>
      <c r="FX17" s="28">
        <v>0</v>
      </c>
    </row>
    <row r="18" spans="1:180" ht="16" customHeight="1" x14ac:dyDescent="0.2">
      <c r="A18" s="139"/>
      <c r="B18" s="29" t="s">
        <v>26</v>
      </c>
      <c r="C18" s="44"/>
      <c r="D18" s="44"/>
      <c r="E18" s="1"/>
      <c r="F18" s="27">
        <v>80</v>
      </c>
      <c r="G18" s="27">
        <v>2</v>
      </c>
      <c r="H18" s="1"/>
      <c r="I18" s="85">
        <v>35</v>
      </c>
      <c r="J18" s="85">
        <v>2</v>
      </c>
      <c r="K18" s="70"/>
      <c r="L18" s="70"/>
      <c r="M18" s="70"/>
      <c r="N18"/>
      <c r="O18" s="38"/>
      <c r="P18" s="83" t="str">
        <f t="shared" si="27"/>
        <v/>
      </c>
      <c r="Q18" s="164" t="str">
        <f t="shared" si="18"/>
        <v/>
      </c>
      <c r="R18" s="43"/>
      <c r="S18" s="16" t="str">
        <f t="shared" si="0"/>
        <v/>
      </c>
      <c r="T18" s="17" t="str">
        <f>IF(AND(O18&lt;&gt;"", R18&lt;&gt;""), SUM(R$4:R18), "")</f>
        <v/>
      </c>
      <c r="U18" s="16" t="str">
        <f t="shared" si="1"/>
        <v/>
      </c>
      <c r="W18" s="38">
        <v>133</v>
      </c>
      <c r="X18" s="83">
        <f t="shared" si="28"/>
        <v>2</v>
      </c>
      <c r="Y18" s="164">
        <f t="shared" si="19"/>
        <v>96</v>
      </c>
      <c r="Z18" s="43">
        <v>1943</v>
      </c>
      <c r="AA18" s="16">
        <f t="shared" si="2"/>
        <v>5.0132232471134623E-3</v>
      </c>
      <c r="AB18" s="17">
        <f>IF(AND(W18&lt;&gt;"", Z18&lt;&gt;""), SUM(Z$4:Z18), "")</f>
        <v>17794</v>
      </c>
      <c r="AC18" s="16">
        <f t="shared" si="3"/>
        <v>4.5911113977939753E-2</v>
      </c>
      <c r="AD18" s="1"/>
      <c r="AE18" s="19">
        <v>35</v>
      </c>
      <c r="AF18" s="20" t="e" cm="1">
        <f t="array" aca="1" ref="AF18" ca="1">(AE18-INDIRECT(SUBSTITUTE(ADDRESS(1,COLUMN($C$9),4),"1","")&amp;SUMPRODUCT(($B$10:$D$26=INDIRECT(SUBSTITUTE(ADDRESS(1,COLUMN()-1,4),"1","")&amp;ROW()-17))*ROW($B$10:$D$26))))/INDIRECT(SUBSTITUTE(ADDRESS(1,COLUMN($D$9),4),"1","")&amp;SUMPRODUCT(($B$10:$D$26=INDIRECT(SUBSTITUTE(ADDRESS(1,COLUMN()-1,4),"1","")&amp;ROW()-17))*ROW($B$10:$D$26)))*10+50</f>
        <v>#DIV/0!</v>
      </c>
      <c r="AG18" s="8"/>
      <c r="AH18" s="49">
        <v>51</v>
      </c>
      <c r="AI18" s="83">
        <f t="shared" si="29"/>
        <v>5</v>
      </c>
      <c r="AJ18" s="164">
        <f t="shared" si="20"/>
        <v>40</v>
      </c>
      <c r="AK18" s="52">
        <v>461</v>
      </c>
      <c r="AL18" s="16">
        <f t="shared" si="4"/>
        <v>9.9344884061718826E-3</v>
      </c>
      <c r="AM18" s="17">
        <f>IF(AND(AH18&lt;&gt;"", AK18&lt;&gt;""), SUM(AK$4:AK18), "")</f>
        <v>27868</v>
      </c>
      <c r="AN18" s="16">
        <f t="shared" si="5"/>
        <v>0.60055167657960518</v>
      </c>
      <c r="AO18" s="14"/>
      <c r="AP18" s="27">
        <v>35</v>
      </c>
      <c r="AQ18" s="20" t="e" cm="1">
        <f t="array" aca="1" ref="AQ18" ca="1">(AP18-INDIRECT(SUBSTITUTE(ADDRESS(1,COLUMN($C$9),4),"1","")&amp;SUMPRODUCT(($B$10:$D$26=INDIRECT(SUBSTITUTE(ADDRESS(1,COLUMN()-1,4),"1","")&amp;ROW()-17))*ROW($B$10:$D$26))))/INDIRECT(SUBSTITUTE(ADDRESS(1,COLUMN($D$9),4),"1","")&amp;SUMPRODUCT(($B$10:$D$26=INDIRECT(SUBSTITUTE(ADDRESS(1,COLUMN()-1,4),"1","")&amp;ROW()-17))*ROW($B$10:$D$26)))*10+50</f>
        <v>#DIV/0!</v>
      </c>
      <c r="AR18" s="8"/>
      <c r="AS18" s="49">
        <v>59</v>
      </c>
      <c r="AT18" s="83">
        <f t="shared" si="30"/>
        <v>3</v>
      </c>
      <c r="AU18" s="164">
        <f t="shared" si="21"/>
        <v>78</v>
      </c>
      <c r="AV18" s="52">
        <v>512</v>
      </c>
      <c r="AW18" s="16">
        <f t="shared" si="6"/>
        <v>1.6673179627458644E-2</v>
      </c>
      <c r="AX18" s="17">
        <f>IF(AND(AS18&lt;&gt;"", AV18&lt;&gt;""), SUM(AV$4:AV18), "")</f>
        <v>6945</v>
      </c>
      <c r="AY18" s="16">
        <f t="shared" si="7"/>
        <v>0.22616256350136771</v>
      </c>
      <c r="AZ18" s="14"/>
      <c r="BA18" s="27">
        <v>35</v>
      </c>
      <c r="BB18" s="20" t="e" cm="1">
        <f t="array" aca="1" ref="BB18" ca="1">(BA18-INDIRECT(SUBSTITUTE(ADDRESS(1,COLUMN($C$9),4),"1","")&amp;SUMPRODUCT(($B$10:$D$26=INDIRECT(SUBSTITUTE(ADDRESS(1,COLUMN()-1,4),"1","")&amp;ROW()-17))*ROW($B$10:$D$26))))/INDIRECT(SUBSTITUTE(ADDRESS(1,COLUMN($D$9),4),"1","")&amp;SUMPRODUCT(($B$10:$D$26=INDIRECT(SUBSTITUTE(ADDRESS(1,COLUMN()-1,4),"1","")&amp;ROW()-17))*ROW($B$10:$D$26)))*10+50</f>
        <v>#DIV/0!</v>
      </c>
      <c r="BC18" s="8"/>
      <c r="BD18" s="49">
        <v>55</v>
      </c>
      <c r="BE18" s="83">
        <f t="shared" si="31"/>
        <v>4</v>
      </c>
      <c r="BF18" s="164">
        <f t="shared" si="22"/>
        <v>69</v>
      </c>
      <c r="BG18" s="52">
        <v>675</v>
      </c>
      <c r="BH18" s="16">
        <f t="shared" si="8"/>
        <v>2.0805720802638473E-2</v>
      </c>
      <c r="BI18" s="17">
        <f>IF(AND(BD18&lt;&gt;"", BG18&lt;&gt;""), SUM(BG$4:BG18), "")</f>
        <v>10236</v>
      </c>
      <c r="BJ18" s="16">
        <f t="shared" si="9"/>
        <v>0.31550719723823323</v>
      </c>
      <c r="BK18" s="14"/>
      <c r="BL18" s="27">
        <v>35</v>
      </c>
      <c r="BM18" s="20" t="e" cm="1">
        <f t="array" aca="1" ref="BM18" ca="1">(BL18-INDIRECT(SUBSTITUTE(ADDRESS(1,COLUMN($C$9),4),"1","")&amp;SUMPRODUCT(($B$10:$D$26=INDIRECT(SUBSTITUTE(ADDRESS(1,COLUMN()-1,4),"1","")&amp;ROW()-17))*ROW($B$10:$D$26))))/INDIRECT(SUBSTITUTE(ADDRESS(1,COLUMN($D$9),4),"1","")&amp;SUMPRODUCT(($B$10:$D$26=INDIRECT(SUBSTITUTE(ADDRESS(1,COLUMN()-1,4),"1","")&amp;ROW()-17))*ROW($B$10:$D$26)))*10+50</f>
        <v>#DIV/0!</v>
      </c>
      <c r="BN18" s="8"/>
      <c r="BO18" s="49">
        <v>53</v>
      </c>
      <c r="BP18" s="83">
        <f t="shared" si="32"/>
        <v>4</v>
      </c>
      <c r="BQ18" s="164">
        <f t="shared" si="23"/>
        <v>60</v>
      </c>
      <c r="BR18" s="52">
        <v>890</v>
      </c>
      <c r="BS18" s="16">
        <f t="shared" si="10"/>
        <v>1.5970427792133219E-2</v>
      </c>
      <c r="BT18" s="17">
        <f>IF(AND(BO18&lt;&gt;"", BR18&lt;&gt;""), SUM(BR$4:BR18), "")</f>
        <v>22667</v>
      </c>
      <c r="BU18" s="16">
        <f t="shared" si="11"/>
        <v>0.40674346827447605</v>
      </c>
      <c r="BV18" s="14"/>
      <c r="BW18" s="27">
        <v>35</v>
      </c>
      <c r="BX18" s="20" cm="1">
        <f t="array" aca="1" ref="BX18" ca="1">(BW18-INDIRECT(SUBSTITUTE(ADDRESS(1,COLUMN($C$9),4),"1","")&amp;SUMPRODUCT(($B$10:$D$26=INDIRECT(SUBSTITUTE(ADDRESS(1,COLUMN()-1,4),"1","")&amp;ROW()-17))*ROW($B$10:$D$26))))/INDIRECT(SUBSTITUTE(ADDRESS(1,COLUMN($D$9),4),"1","")&amp;SUMPRODUCT(($B$10:$D$26=INDIRECT(SUBSTITUTE(ADDRESS(1,COLUMN()-1,4),"1","")&amp;ROW()-17))*ROW($B$10:$D$26)))*10+50</f>
        <v>61.091581868640148</v>
      </c>
      <c r="BY18" s="8"/>
      <c r="BZ18" s="49">
        <v>60</v>
      </c>
      <c r="CA18" s="83">
        <f t="shared" si="33"/>
        <v>3</v>
      </c>
      <c r="CB18" s="164">
        <f t="shared" si="24"/>
        <v>78</v>
      </c>
      <c r="CC18" s="52">
        <v>1247</v>
      </c>
      <c r="CD18" s="16">
        <f t="shared" si="12"/>
        <v>2.3180162093835974E-2</v>
      </c>
      <c r="CE18" s="17">
        <f>IF(AND(BZ18&lt;&gt;"", CC18&lt;&gt;""), SUM(CC$4:CC18), "")</f>
        <v>12267</v>
      </c>
      <c r="CF18" s="16">
        <f t="shared" si="13"/>
        <v>0.22802810617889807</v>
      </c>
      <c r="CG18" s="14"/>
      <c r="CH18" s="27">
        <v>35</v>
      </c>
      <c r="CI18" s="20" t="e" cm="1">
        <f t="array" aca="1" ref="CI18" ca="1">(CH18-INDIRECT(SUBSTITUTE(ADDRESS(1,COLUMN($C$9),4),"1","")&amp;SUMPRODUCT(($B$10:$D$26=INDIRECT(SUBSTITUTE(ADDRESS(1,COLUMN()-1,4),"1","")&amp;ROW()-17))*ROW($B$10:$D$26))))/INDIRECT(SUBSTITUTE(ADDRESS(1,COLUMN($D$9),4),"1","")&amp;SUMPRODUCT(($B$10:$D$26=INDIRECT(SUBSTITUTE(ADDRESS(1,COLUMN()-1,4),"1","")&amp;ROW()-17))*ROW($B$10:$D$26)))*10+50</f>
        <v>#DIV/0!</v>
      </c>
      <c r="CJ18" s="8"/>
      <c r="CK18" s="49">
        <v>54</v>
      </c>
      <c r="CL18" s="83">
        <f t="shared" si="34"/>
        <v>4</v>
      </c>
      <c r="CM18" s="164">
        <f t="shared" si="25"/>
        <v>62</v>
      </c>
      <c r="CN18" s="52">
        <v>2624</v>
      </c>
      <c r="CO18" s="16">
        <f t="shared" si="14"/>
        <v>2.1928615004053117E-2</v>
      </c>
      <c r="CP18" s="17">
        <f>IF(AND(CK18&lt;&gt;"", CN18&lt;&gt;""), SUM(CN$4:CN18), "")</f>
        <v>46297</v>
      </c>
      <c r="CQ18" s="16">
        <f t="shared" si="15"/>
        <v>0.38690132958942347</v>
      </c>
      <c r="CR18" s="14"/>
      <c r="CS18" s="27">
        <v>35</v>
      </c>
      <c r="CT18" s="20" t="e" cm="1">
        <f t="array" aca="1" ref="CT18" ca="1">(CS18-INDIRECT(SUBSTITUTE(ADDRESS(1,COLUMN($C$9),4),"1","")&amp;SUMPRODUCT(($B$10:$D$26=INDIRECT(SUBSTITUTE(ADDRESS(1,COLUMN()-1,4),"1","")&amp;ROW()-17))*ROW($B$10:$D$26))))/INDIRECT(SUBSTITUTE(ADDRESS(1,COLUMN($D$9),4),"1","")&amp;SUMPRODUCT(($B$10:$D$26=INDIRECT(SUBSTITUTE(ADDRESS(1,COLUMN()-1,4),"1","")&amp;ROW()-17))*ROW($B$10:$D$26)))*10+50</f>
        <v>#DIV/0!</v>
      </c>
      <c r="CU18" s="8"/>
      <c r="CV18" s="49">
        <v>55</v>
      </c>
      <c r="CW18" s="83">
        <f t="shared" si="35"/>
        <v>4</v>
      </c>
      <c r="CX18" s="164">
        <f t="shared" si="26"/>
        <v>68</v>
      </c>
      <c r="CY18" s="52">
        <v>2330</v>
      </c>
      <c r="CZ18" s="16">
        <f t="shared" si="16"/>
        <v>1.9252856942183587E-2</v>
      </c>
      <c r="DA18" s="17">
        <f>IF(AND(CV18&lt;&gt;"", CY18&lt;&gt;""), SUM(CY$4:CY18), "")</f>
        <v>39555</v>
      </c>
      <c r="DB18" s="16">
        <f t="shared" si="17"/>
        <v>0.3268441014369407</v>
      </c>
      <c r="FX18" s="28">
        <v>0</v>
      </c>
    </row>
    <row r="19" spans="1:180" ht="16" customHeight="1" x14ac:dyDescent="0.2">
      <c r="A19" s="139" t="s">
        <v>41</v>
      </c>
      <c r="B19" s="7" t="s">
        <v>7</v>
      </c>
      <c r="C19" s="44"/>
      <c r="D19" s="44"/>
      <c r="E19" s="1"/>
      <c r="F19" s="27">
        <v>70</v>
      </c>
      <c r="G19" s="27">
        <v>3</v>
      </c>
      <c r="H19" s="1"/>
      <c r="I19" s="85">
        <v>30</v>
      </c>
      <c r="J19" s="85">
        <v>3</v>
      </c>
      <c r="K19" s="70"/>
      <c r="L19" s="70"/>
      <c r="M19" s="70"/>
      <c r="N19"/>
      <c r="O19" s="38"/>
      <c r="P19" s="83" t="str">
        <f t="shared" si="27"/>
        <v/>
      </c>
      <c r="Q19" s="164" t="str">
        <f t="shared" si="18"/>
        <v/>
      </c>
      <c r="R19" s="43"/>
      <c r="S19" s="16" t="str">
        <f t="shared" si="0"/>
        <v/>
      </c>
      <c r="T19" s="17" t="str">
        <f>IF(AND(O19&lt;&gt;"", R19&lt;&gt;""), SUM(R$4:R19), "")</f>
        <v/>
      </c>
      <c r="U19" s="16" t="str">
        <f t="shared" si="1"/>
        <v/>
      </c>
      <c r="W19" s="38">
        <v>132</v>
      </c>
      <c r="X19" s="83">
        <f t="shared" si="28"/>
        <v>2</v>
      </c>
      <c r="Y19" s="164">
        <f t="shared" si="19"/>
        <v>95</v>
      </c>
      <c r="Z19" s="43">
        <v>1260</v>
      </c>
      <c r="AA19" s="16">
        <f t="shared" si="2"/>
        <v>3.2509836805779528E-3</v>
      </c>
      <c r="AB19" s="17">
        <f>IF(AND(W19&lt;&gt;"", Z19&lt;&gt;""), SUM(Z$4:Z19), "")</f>
        <v>19054</v>
      </c>
      <c r="AC19" s="16">
        <f t="shared" si="3"/>
        <v>4.9162097658517707E-2</v>
      </c>
      <c r="AD19" s="1"/>
      <c r="AE19" s="19">
        <v>34</v>
      </c>
      <c r="AF19" s="20" t="e" cm="1">
        <f t="array" aca="1" ref="AF19" ca="1">(AE19-INDIRECT(SUBSTITUTE(ADDRESS(1,COLUMN($C$9),4),"1","")&amp;SUMPRODUCT(($B$10:$D$26=INDIRECT(SUBSTITUTE(ADDRESS(1,COLUMN()-1,4),"1","")&amp;ROW()-18))*ROW($B$10:$D$26))))/INDIRECT(SUBSTITUTE(ADDRESS(1,COLUMN($D$9),4),"1","")&amp;SUMPRODUCT(($B$10:$D$26=INDIRECT(SUBSTITUTE(ADDRESS(1,COLUMN()-1,4),"1","")&amp;ROW()-18))*ROW($B$10:$D$26)))*10+50</f>
        <v>#DIV/0!</v>
      </c>
      <c r="AG19" s="8"/>
      <c r="AH19" s="49">
        <v>50</v>
      </c>
      <c r="AI19" s="83">
        <f t="shared" si="29"/>
        <v>6</v>
      </c>
      <c r="AJ19" s="164">
        <f t="shared" si="20"/>
        <v>40</v>
      </c>
      <c r="AK19" s="52">
        <v>406</v>
      </c>
      <c r="AL19" s="16">
        <f t="shared" si="4"/>
        <v>8.7492457546763207E-3</v>
      </c>
      <c r="AM19" s="17">
        <f>IF(AND(AH19&lt;&gt;"", AK19&lt;&gt;""), SUM(AK$4:AK19), "")</f>
        <v>28274</v>
      </c>
      <c r="AN19" s="16">
        <f t="shared" si="5"/>
        <v>0.60930092233428157</v>
      </c>
      <c r="AO19" s="14"/>
      <c r="AP19" s="27">
        <v>34</v>
      </c>
      <c r="AQ19" s="20" t="e" cm="1">
        <f t="array" aca="1" ref="AQ19" ca="1">(AP19-INDIRECT(SUBSTITUTE(ADDRESS(1,COLUMN($C$9),4),"1","")&amp;SUMPRODUCT(($B$10:$D$26=INDIRECT(SUBSTITUTE(ADDRESS(1,COLUMN()-1,4),"1","")&amp;ROW()-18))*ROW($B$10:$D$26))))/INDIRECT(SUBSTITUTE(ADDRESS(1,COLUMN($D$9),4),"1","")&amp;SUMPRODUCT(($B$10:$D$26=INDIRECT(SUBSTITUTE(ADDRESS(1,COLUMN()-1,4),"1","")&amp;ROW()-18))*ROW($B$10:$D$26)))*10+50</f>
        <v>#DIV/0!</v>
      </c>
      <c r="AR19" s="8"/>
      <c r="AS19" s="49">
        <v>58</v>
      </c>
      <c r="AT19" s="83">
        <f t="shared" si="30"/>
        <v>3</v>
      </c>
      <c r="AU19" s="164">
        <f t="shared" si="21"/>
        <v>77</v>
      </c>
      <c r="AV19" s="52">
        <v>432</v>
      </c>
      <c r="AW19" s="16">
        <f t="shared" si="6"/>
        <v>1.4067995310668231E-2</v>
      </c>
      <c r="AX19" s="17">
        <f>IF(AND(AS19&lt;&gt;"", AV19&lt;&gt;""), SUM(AV$4:AV19), "")</f>
        <v>7377</v>
      </c>
      <c r="AY19" s="16">
        <f t="shared" si="7"/>
        <v>0.24023055881203595</v>
      </c>
      <c r="AZ19" s="14"/>
      <c r="BA19" s="27">
        <v>34</v>
      </c>
      <c r="BB19" s="20" t="e" cm="1">
        <f t="array" aca="1" ref="BB19" ca="1">(BA19-INDIRECT(SUBSTITUTE(ADDRESS(1,COLUMN($C$9),4),"1","")&amp;SUMPRODUCT(($B$10:$D$26=INDIRECT(SUBSTITUTE(ADDRESS(1,COLUMN()-1,4),"1","")&amp;ROW()-18))*ROW($B$10:$D$26))))/INDIRECT(SUBSTITUTE(ADDRESS(1,COLUMN($D$9),4),"1","")&amp;SUMPRODUCT(($B$10:$D$26=INDIRECT(SUBSTITUTE(ADDRESS(1,COLUMN()-1,4),"1","")&amp;ROW()-18))*ROW($B$10:$D$26)))*10+50</f>
        <v>#DIV/0!</v>
      </c>
      <c r="BC19" s="8"/>
      <c r="BD19" s="49">
        <v>54</v>
      </c>
      <c r="BE19" s="83">
        <f t="shared" si="31"/>
        <v>4</v>
      </c>
      <c r="BF19" s="164">
        <f t="shared" si="22"/>
        <v>67</v>
      </c>
      <c r="BG19" s="52">
        <v>826</v>
      </c>
      <c r="BH19" s="16">
        <f t="shared" si="8"/>
        <v>2.5460037604413895E-2</v>
      </c>
      <c r="BI19" s="17">
        <f>IF(AND(BD19&lt;&gt;"", BG19&lt;&gt;""), SUM(BG$4:BG19), "")</f>
        <v>11062</v>
      </c>
      <c r="BJ19" s="16">
        <f t="shared" si="9"/>
        <v>0.34096723484264713</v>
      </c>
      <c r="BK19" s="14"/>
      <c r="BL19" s="27">
        <v>34</v>
      </c>
      <c r="BM19" s="20" t="e" cm="1">
        <f t="array" aca="1" ref="BM19" ca="1">(BL19-INDIRECT(SUBSTITUTE(ADDRESS(1,COLUMN($C$9),4),"1","")&amp;SUMPRODUCT(($B$10:$D$26=INDIRECT(SUBSTITUTE(ADDRESS(1,COLUMN()-1,4),"1","")&amp;ROW()-18))*ROW($B$10:$D$26))))/INDIRECT(SUBSTITUTE(ADDRESS(1,COLUMN($D$9),4),"1","")&amp;SUMPRODUCT(($B$10:$D$26=INDIRECT(SUBSTITUTE(ADDRESS(1,COLUMN()-1,4),"1","")&amp;ROW()-18))*ROW($B$10:$D$26)))*10+50</f>
        <v>#DIV/0!</v>
      </c>
      <c r="BN19" s="8"/>
      <c r="BO19" s="49">
        <v>52</v>
      </c>
      <c r="BP19" s="83">
        <f t="shared" si="32"/>
        <v>5</v>
      </c>
      <c r="BQ19" s="164">
        <f t="shared" si="23"/>
        <v>57</v>
      </c>
      <c r="BR19" s="52">
        <v>2161</v>
      </c>
      <c r="BS19" s="16">
        <f t="shared" si="10"/>
        <v>3.8777634223370661E-2</v>
      </c>
      <c r="BT19" s="17">
        <f>IF(AND(BO19&lt;&gt;"", BR19&lt;&gt;""), SUM(BR$4:BR19), "")</f>
        <v>24828</v>
      </c>
      <c r="BU19" s="16">
        <f t="shared" si="11"/>
        <v>0.44552110249784671</v>
      </c>
      <c r="BV19" s="14"/>
      <c r="BW19" s="27">
        <v>34</v>
      </c>
      <c r="BX19" s="20" cm="1">
        <f t="array" aca="1" ref="BX19" ca="1">(BW19-INDIRECT(SUBSTITUTE(ADDRESS(1,COLUMN($C$9),4),"1","")&amp;SUMPRODUCT(($B$10:$D$26=INDIRECT(SUBSTITUTE(ADDRESS(1,COLUMN()-1,4),"1","")&amp;ROW()-18))*ROW($B$10:$D$26))))/INDIRECT(SUBSTITUTE(ADDRESS(1,COLUMN($D$9),4),"1","")&amp;SUMPRODUCT(($B$10:$D$26=INDIRECT(SUBSTITUTE(ADDRESS(1,COLUMN()-1,4),"1","")&amp;ROW()-18))*ROW($B$10:$D$26)))*10+50</f>
        <v>60.166512488436631</v>
      </c>
      <c r="BY19" s="8"/>
      <c r="BZ19" s="49">
        <v>59</v>
      </c>
      <c r="CA19" s="83">
        <f t="shared" si="33"/>
        <v>3</v>
      </c>
      <c r="CB19" s="164">
        <f t="shared" si="24"/>
        <v>75</v>
      </c>
      <c r="CC19" s="52">
        <v>2422</v>
      </c>
      <c r="CD19" s="16">
        <f t="shared" si="12"/>
        <v>4.5021934716335789E-2</v>
      </c>
      <c r="CE19" s="17">
        <f>IF(AND(BZ19&lt;&gt;"", CC19&lt;&gt;""), SUM(CC$4:CC19), "")</f>
        <v>14689</v>
      </c>
      <c r="CF19" s="16">
        <f t="shared" si="13"/>
        <v>0.27305004089523383</v>
      </c>
      <c r="CG19" s="14"/>
      <c r="CH19" s="27">
        <v>34</v>
      </c>
      <c r="CI19" s="20" t="e" cm="1">
        <f t="array" aca="1" ref="CI19" ca="1">(CH19-INDIRECT(SUBSTITUTE(ADDRESS(1,COLUMN($C$9),4),"1","")&amp;SUMPRODUCT(($B$10:$D$26=INDIRECT(SUBSTITUTE(ADDRESS(1,COLUMN()-1,4),"1","")&amp;ROW()-18))*ROW($B$10:$D$26))))/INDIRECT(SUBSTITUTE(ADDRESS(1,COLUMN($D$9),4),"1","")&amp;SUMPRODUCT(($B$10:$D$26=INDIRECT(SUBSTITUTE(ADDRESS(1,COLUMN()-1,4),"1","")&amp;ROW()-18))*ROW($B$10:$D$26)))*10+50</f>
        <v>#DIV/0!</v>
      </c>
      <c r="CJ19" s="8"/>
      <c r="CK19" s="49">
        <v>53</v>
      </c>
      <c r="CL19" s="83">
        <f t="shared" si="34"/>
        <v>4</v>
      </c>
      <c r="CM19" s="164">
        <f t="shared" si="25"/>
        <v>59</v>
      </c>
      <c r="CN19" s="52">
        <v>6103</v>
      </c>
      <c r="CO19" s="16">
        <f t="shared" si="14"/>
        <v>5.1002415156149457E-2</v>
      </c>
      <c r="CP19" s="17">
        <f>IF(AND(CK19&lt;&gt;"", CN19&lt;&gt;""), SUM(CN$4:CN19), "")</f>
        <v>52400</v>
      </c>
      <c r="CQ19" s="16">
        <f t="shared" si="15"/>
        <v>0.43790374474557292</v>
      </c>
      <c r="CR19" s="14"/>
      <c r="CS19" s="27">
        <v>34</v>
      </c>
      <c r="CT19" s="20" t="e" cm="1">
        <f t="array" aca="1" ref="CT19" ca="1">(CS19-INDIRECT(SUBSTITUTE(ADDRESS(1,COLUMN($C$9),4),"1","")&amp;SUMPRODUCT(($B$10:$D$26=INDIRECT(SUBSTITUTE(ADDRESS(1,COLUMN()-1,4),"1","")&amp;ROW()-18))*ROW($B$10:$D$26))))/INDIRECT(SUBSTITUTE(ADDRESS(1,COLUMN($D$9),4),"1","")&amp;SUMPRODUCT(($B$10:$D$26=INDIRECT(SUBSTITUTE(ADDRESS(1,COLUMN()-1,4),"1","")&amp;ROW()-18))*ROW($B$10:$D$26)))*10+50</f>
        <v>#DIV/0!</v>
      </c>
      <c r="CU19" s="8"/>
      <c r="CV19" s="49">
        <v>54</v>
      </c>
      <c r="CW19" s="83">
        <f t="shared" si="35"/>
        <v>4</v>
      </c>
      <c r="CX19" s="164">
        <f t="shared" si="26"/>
        <v>66</v>
      </c>
      <c r="CY19" s="52">
        <v>4240</v>
      </c>
      <c r="CZ19" s="16">
        <f t="shared" si="16"/>
        <v>3.5035241817535798E-2</v>
      </c>
      <c r="DA19" s="17">
        <f>IF(AND(CV19&lt;&gt;"", CY19&lt;&gt;""), SUM(CY$4:CY19), "")</f>
        <v>43795</v>
      </c>
      <c r="DB19" s="16">
        <f t="shared" si="17"/>
        <v>0.36187934325447652</v>
      </c>
      <c r="FX19" s="28">
        <v>0</v>
      </c>
    </row>
    <row r="20" spans="1:180" ht="16" customHeight="1" x14ac:dyDescent="0.2">
      <c r="A20" s="139"/>
      <c r="B20" s="7" t="s">
        <v>8</v>
      </c>
      <c r="C20" s="44">
        <v>23.01</v>
      </c>
      <c r="D20" s="44">
        <v>10.81</v>
      </c>
      <c r="E20" s="1"/>
      <c r="F20" s="27">
        <v>60</v>
      </c>
      <c r="G20" s="27">
        <v>4</v>
      </c>
      <c r="H20" s="1"/>
      <c r="I20" s="85">
        <v>25</v>
      </c>
      <c r="J20" s="85">
        <v>4</v>
      </c>
      <c r="K20" s="70"/>
      <c r="L20" s="70"/>
      <c r="M20" s="70"/>
      <c r="N20"/>
      <c r="O20" s="38"/>
      <c r="P20" s="83" t="str">
        <f t="shared" si="27"/>
        <v/>
      </c>
      <c r="Q20" s="164" t="str">
        <f t="shared" si="18"/>
        <v/>
      </c>
      <c r="R20" s="43"/>
      <c r="S20" s="16" t="str">
        <f t="shared" si="0"/>
        <v/>
      </c>
      <c r="T20" s="17" t="str">
        <f>IF(AND(O20&lt;&gt;"", R20&lt;&gt;""), SUM(R$4:R20), "")</f>
        <v/>
      </c>
      <c r="U20" s="16" t="str">
        <f t="shared" si="1"/>
        <v/>
      </c>
      <c r="W20" s="38">
        <v>131</v>
      </c>
      <c r="X20" s="83">
        <f t="shared" si="28"/>
        <v>2</v>
      </c>
      <c r="Y20" s="164">
        <f t="shared" si="19"/>
        <v>95</v>
      </c>
      <c r="Z20" s="43">
        <v>2609</v>
      </c>
      <c r="AA20" s="16">
        <f t="shared" si="2"/>
        <v>6.7316003354189512E-3</v>
      </c>
      <c r="AB20" s="17">
        <f>IF(AND(W20&lt;&gt;"", Z20&lt;&gt;""), SUM(Z$4:Z20), "")</f>
        <v>21663</v>
      </c>
      <c r="AC20" s="16">
        <f t="shared" si="3"/>
        <v>5.5893697993936654E-2</v>
      </c>
      <c r="AD20" s="1"/>
      <c r="AE20" s="19">
        <v>33</v>
      </c>
      <c r="AF20" s="20" t="e" cm="1">
        <f t="array" aca="1" ref="AF20" ca="1">(AE20-INDIRECT(SUBSTITUTE(ADDRESS(1,COLUMN($C$9),4),"1","")&amp;SUMPRODUCT(($B$10:$D$26=INDIRECT(SUBSTITUTE(ADDRESS(1,COLUMN()-1,4),"1","")&amp;ROW()-19))*ROW($B$10:$D$26))))/INDIRECT(SUBSTITUTE(ADDRESS(1,COLUMN($D$9),4),"1","")&amp;SUMPRODUCT(($B$10:$D$26=INDIRECT(SUBSTITUTE(ADDRESS(1,COLUMN()-1,4),"1","")&amp;ROW()-19))*ROW($B$10:$D$26)))*10+50</f>
        <v>#DIV/0!</v>
      </c>
      <c r="AG20" s="8"/>
      <c r="AH20" s="49">
        <v>49</v>
      </c>
      <c r="AI20" s="83">
        <f t="shared" si="29"/>
        <v>6</v>
      </c>
      <c r="AJ20" s="164">
        <f t="shared" si="20"/>
        <v>38</v>
      </c>
      <c r="AK20" s="52">
        <v>1056</v>
      </c>
      <c r="AL20" s="16">
        <f t="shared" si="4"/>
        <v>2.2756658908714766E-2</v>
      </c>
      <c r="AM20" s="17">
        <f>IF(AND(AH20&lt;&gt;"", AK20&lt;&gt;""), SUM(AK$4:AK20), "")</f>
        <v>29330</v>
      </c>
      <c r="AN20" s="16">
        <f t="shared" si="5"/>
        <v>0.63205758124299627</v>
      </c>
      <c r="AO20" s="14"/>
      <c r="AP20" s="27">
        <v>33</v>
      </c>
      <c r="AQ20" s="20" t="e" cm="1">
        <f t="array" aca="1" ref="AQ20" ca="1">(AP20-INDIRECT(SUBSTITUTE(ADDRESS(1,COLUMN($C$9),4),"1","")&amp;SUMPRODUCT(($B$10:$D$26=INDIRECT(SUBSTITUTE(ADDRESS(1,COLUMN()-1,4),"1","")&amp;ROW()-19))*ROW($B$10:$D$26))))/INDIRECT(SUBSTITUTE(ADDRESS(1,COLUMN($D$9),4),"1","")&amp;SUMPRODUCT(($B$10:$D$26=INDIRECT(SUBSTITUTE(ADDRESS(1,COLUMN()-1,4),"1","")&amp;ROW()-19))*ROW($B$10:$D$26)))*10+50</f>
        <v>#DIV/0!</v>
      </c>
      <c r="AR20" s="8"/>
      <c r="AS20" s="49">
        <v>57</v>
      </c>
      <c r="AT20" s="83">
        <f t="shared" si="30"/>
        <v>4</v>
      </c>
      <c r="AU20" s="164">
        <f t="shared" si="21"/>
        <v>75</v>
      </c>
      <c r="AV20" s="52">
        <v>502</v>
      </c>
      <c r="AW20" s="16">
        <f t="shared" si="6"/>
        <v>1.6347531587859843E-2</v>
      </c>
      <c r="AX20" s="17">
        <f>IF(AND(AS20&lt;&gt;"", AV20&lt;&gt;""), SUM(AV$4:AV20), "")</f>
        <v>7879</v>
      </c>
      <c r="AY20" s="16">
        <f t="shared" si="7"/>
        <v>0.25657809039989582</v>
      </c>
      <c r="AZ20" s="14"/>
      <c r="BA20" s="27">
        <v>33</v>
      </c>
      <c r="BB20" s="20" t="e" cm="1">
        <f t="array" aca="1" ref="BB20" ca="1">(BA20-INDIRECT(SUBSTITUTE(ADDRESS(1,COLUMN($C$9),4),"1","")&amp;SUMPRODUCT(($B$10:$D$26=INDIRECT(SUBSTITUTE(ADDRESS(1,COLUMN()-1,4),"1","")&amp;ROW()-19))*ROW($B$10:$D$26))))/INDIRECT(SUBSTITUTE(ADDRESS(1,COLUMN($D$9),4),"1","")&amp;SUMPRODUCT(($B$10:$D$26=INDIRECT(SUBSTITUTE(ADDRESS(1,COLUMN()-1,4),"1","")&amp;ROW()-19))*ROW($B$10:$D$26)))*10+50</f>
        <v>#DIV/0!</v>
      </c>
      <c r="BC20" s="8"/>
      <c r="BD20" s="49">
        <v>53</v>
      </c>
      <c r="BE20" s="83">
        <f t="shared" si="31"/>
        <v>4</v>
      </c>
      <c r="BF20" s="164">
        <f t="shared" si="22"/>
        <v>65</v>
      </c>
      <c r="BG20" s="52">
        <v>682</v>
      </c>
      <c r="BH20" s="16">
        <f t="shared" si="8"/>
        <v>2.1021483833184355E-2</v>
      </c>
      <c r="BI20" s="17">
        <f>IF(AND(BD20&lt;&gt;"", BG20&lt;&gt;""), SUM(BG$4:BG20), "")</f>
        <v>11744</v>
      </c>
      <c r="BJ20" s="16">
        <f t="shared" si="9"/>
        <v>0.36198871867583143</v>
      </c>
      <c r="BK20" s="14"/>
      <c r="BL20" s="27">
        <v>33</v>
      </c>
      <c r="BM20" s="20" t="e" cm="1">
        <f t="array" aca="1" ref="BM20" ca="1">(BL20-INDIRECT(SUBSTITUTE(ADDRESS(1,COLUMN($C$9),4),"1","")&amp;SUMPRODUCT(($B$10:$D$26=INDIRECT(SUBSTITUTE(ADDRESS(1,COLUMN()-1,4),"1","")&amp;ROW()-19))*ROW($B$10:$D$26))))/INDIRECT(SUBSTITUTE(ADDRESS(1,COLUMN($D$9),4),"1","")&amp;SUMPRODUCT(($B$10:$D$26=INDIRECT(SUBSTITUTE(ADDRESS(1,COLUMN()-1,4),"1","")&amp;ROW()-19))*ROW($B$10:$D$26)))*10+50</f>
        <v>#DIV/0!</v>
      </c>
      <c r="BN20" s="8"/>
      <c r="BO20" s="49">
        <v>51</v>
      </c>
      <c r="BP20" s="83">
        <f t="shared" si="32"/>
        <v>5</v>
      </c>
      <c r="BQ20" s="164">
        <f t="shared" si="23"/>
        <v>55</v>
      </c>
      <c r="BR20" s="52">
        <v>927</v>
      </c>
      <c r="BS20" s="16">
        <f t="shared" si="10"/>
        <v>1.6634366925064599E-2</v>
      </c>
      <c r="BT20" s="17">
        <f>IF(AND(BO20&lt;&gt;"", BR20&lt;&gt;""), SUM(BR$4:BR20), "")</f>
        <v>25755</v>
      </c>
      <c r="BU20" s="16">
        <f t="shared" si="11"/>
        <v>0.4621554694229113</v>
      </c>
      <c r="BV20" s="14"/>
      <c r="BW20" s="27">
        <v>33</v>
      </c>
      <c r="BX20" s="20" cm="1">
        <f t="array" aca="1" ref="BX20" ca="1">(BW20-INDIRECT(SUBSTITUTE(ADDRESS(1,COLUMN($C$9),4),"1","")&amp;SUMPRODUCT(($B$10:$D$26=INDIRECT(SUBSTITUTE(ADDRESS(1,COLUMN()-1,4),"1","")&amp;ROW()-19))*ROW($B$10:$D$26))))/INDIRECT(SUBSTITUTE(ADDRESS(1,COLUMN($D$9),4),"1","")&amp;SUMPRODUCT(($B$10:$D$26=INDIRECT(SUBSTITUTE(ADDRESS(1,COLUMN()-1,4),"1","")&amp;ROW()-19))*ROW($B$10:$D$26)))*10+50</f>
        <v>59.241443108233113</v>
      </c>
      <c r="BY20" s="8"/>
      <c r="BZ20" s="49">
        <v>58</v>
      </c>
      <c r="CA20" s="83">
        <f t="shared" si="33"/>
        <v>4</v>
      </c>
      <c r="CB20" s="164">
        <f t="shared" si="24"/>
        <v>72</v>
      </c>
      <c r="CC20" s="52">
        <v>1082</v>
      </c>
      <c r="CD20" s="16">
        <f t="shared" si="12"/>
        <v>2.0113019555357277E-2</v>
      </c>
      <c r="CE20" s="17">
        <f>IF(AND(BZ20&lt;&gt;"", CC20&lt;&gt;""), SUM(CC$4:CC20), "")</f>
        <v>15771</v>
      </c>
      <c r="CF20" s="16">
        <f t="shared" si="13"/>
        <v>0.2931630604505911</v>
      </c>
      <c r="CG20" s="14"/>
      <c r="CH20" s="27">
        <v>33</v>
      </c>
      <c r="CI20" s="20" t="e" cm="1">
        <f t="array" aca="1" ref="CI20" ca="1">(CH20-INDIRECT(SUBSTITUTE(ADDRESS(1,COLUMN($C$9),4),"1","")&amp;SUMPRODUCT(($B$10:$D$26=INDIRECT(SUBSTITUTE(ADDRESS(1,COLUMN()-1,4),"1","")&amp;ROW()-19))*ROW($B$10:$D$26))))/INDIRECT(SUBSTITUTE(ADDRESS(1,COLUMN($D$9),4),"1","")&amp;SUMPRODUCT(($B$10:$D$26=INDIRECT(SUBSTITUTE(ADDRESS(1,COLUMN()-1,4),"1","")&amp;ROW()-19))*ROW($B$10:$D$26)))*10+50</f>
        <v>#DIV/0!</v>
      </c>
      <c r="CJ20" s="8"/>
      <c r="CK20" s="49">
        <v>52</v>
      </c>
      <c r="CL20" s="83">
        <f t="shared" si="34"/>
        <v>5</v>
      </c>
      <c r="CM20" s="164">
        <f t="shared" si="25"/>
        <v>55</v>
      </c>
      <c r="CN20" s="52">
        <v>2785</v>
      </c>
      <c r="CO20" s="16">
        <f t="shared" si="14"/>
        <v>2.3274082616725582E-2</v>
      </c>
      <c r="CP20" s="17">
        <f>IF(AND(CK20&lt;&gt;"", CN20&lt;&gt;""), SUM(CN$4:CN20), "")</f>
        <v>55185</v>
      </c>
      <c r="CQ20" s="16">
        <f t="shared" si="15"/>
        <v>0.46117782736229851</v>
      </c>
      <c r="CR20" s="14"/>
      <c r="CS20" s="27">
        <v>33</v>
      </c>
      <c r="CT20" s="20" t="e" cm="1">
        <f t="array" aca="1" ref="CT20" ca="1">(CS20-INDIRECT(SUBSTITUTE(ADDRESS(1,COLUMN($C$9),4),"1","")&amp;SUMPRODUCT(($B$10:$D$26=INDIRECT(SUBSTITUTE(ADDRESS(1,COLUMN()-1,4),"1","")&amp;ROW()-19))*ROW($B$10:$D$26))))/INDIRECT(SUBSTITUTE(ADDRESS(1,COLUMN($D$9),4),"1","")&amp;SUMPRODUCT(($B$10:$D$26=INDIRECT(SUBSTITUTE(ADDRESS(1,COLUMN()-1,4),"1","")&amp;ROW()-19))*ROW($B$10:$D$26)))*10+50</f>
        <v>#DIV/0!</v>
      </c>
      <c r="CU20" s="8"/>
      <c r="CV20" s="49">
        <v>53</v>
      </c>
      <c r="CW20" s="83">
        <f t="shared" si="35"/>
        <v>4</v>
      </c>
      <c r="CX20" s="164">
        <f t="shared" si="26"/>
        <v>63</v>
      </c>
      <c r="CY20" s="52">
        <v>2183</v>
      </c>
      <c r="CZ20" s="16">
        <f t="shared" si="16"/>
        <v>1.8038191718792607E-2</v>
      </c>
      <c r="DA20" s="17">
        <f>IF(AND(CV20&lt;&gt;"", CY20&lt;&gt;""), SUM(CY$4:CY20), "")</f>
        <v>45978</v>
      </c>
      <c r="DB20" s="16">
        <f t="shared" si="17"/>
        <v>0.37991753497326908</v>
      </c>
      <c r="FX20" s="28">
        <v>0</v>
      </c>
    </row>
    <row r="21" spans="1:180" ht="16" customHeight="1" x14ac:dyDescent="0.2">
      <c r="A21" s="139"/>
      <c r="B21" s="7" t="s">
        <v>9</v>
      </c>
      <c r="C21" s="44"/>
      <c r="D21" s="44"/>
      <c r="E21" s="1"/>
      <c r="F21" s="27">
        <v>50</v>
      </c>
      <c r="G21" s="27">
        <v>5</v>
      </c>
      <c r="H21" s="1"/>
      <c r="I21" s="85">
        <v>20</v>
      </c>
      <c r="J21" s="85">
        <v>5</v>
      </c>
      <c r="K21" s="70"/>
      <c r="L21" s="70"/>
      <c r="M21" s="70"/>
      <c r="N21"/>
      <c r="O21" s="38"/>
      <c r="P21" s="83" t="str">
        <f t="shared" si="27"/>
        <v/>
      </c>
      <c r="Q21" s="164" t="str">
        <f t="shared" si="18"/>
        <v/>
      </c>
      <c r="R21" s="43"/>
      <c r="S21" s="16" t="str">
        <f t="shared" si="0"/>
        <v/>
      </c>
      <c r="T21" s="17" t="str">
        <f>IF(AND(O21&lt;&gt;"", R21&lt;&gt;""), SUM(R$4:R21), "")</f>
        <v/>
      </c>
      <c r="U21" s="16" t="str">
        <f t="shared" si="1"/>
        <v/>
      </c>
      <c r="W21" s="38">
        <v>130</v>
      </c>
      <c r="X21" s="83">
        <f t="shared" si="28"/>
        <v>2</v>
      </c>
      <c r="Y21" s="164">
        <f t="shared" si="19"/>
        <v>94</v>
      </c>
      <c r="Z21" s="43">
        <v>7036</v>
      </c>
      <c r="AA21" s="16">
        <f t="shared" si="2"/>
        <v>1.8153905695671806E-2</v>
      </c>
      <c r="AB21" s="17">
        <f>IF(AND(W21&lt;&gt;"", Z21&lt;&gt;""), SUM(Z$4:Z21), "")</f>
        <v>28699</v>
      </c>
      <c r="AC21" s="16">
        <f t="shared" si="3"/>
        <v>7.4047603689608457E-2</v>
      </c>
      <c r="AD21" s="1"/>
      <c r="AE21" s="19">
        <v>32</v>
      </c>
      <c r="AF21" s="20" t="e" cm="1">
        <f t="array" aca="1" ref="AF21" ca="1">(AE21-INDIRECT(SUBSTITUTE(ADDRESS(1,COLUMN($C$9),4),"1","")&amp;SUMPRODUCT(($B$10:$D$26=INDIRECT(SUBSTITUTE(ADDRESS(1,COLUMN()-1,4),"1","")&amp;ROW()-20))*ROW($B$10:$D$26))))/INDIRECT(SUBSTITUTE(ADDRESS(1,COLUMN($D$9),4),"1","")&amp;SUMPRODUCT(($B$10:$D$26=INDIRECT(SUBSTITUTE(ADDRESS(1,COLUMN()-1,4),"1","")&amp;ROW()-20))*ROW($B$10:$D$26)))*10+50</f>
        <v>#DIV/0!</v>
      </c>
      <c r="AG21" s="8"/>
      <c r="AH21" s="49">
        <v>48</v>
      </c>
      <c r="AI21" s="83">
        <f t="shared" si="29"/>
        <v>6</v>
      </c>
      <c r="AJ21" s="164">
        <f t="shared" si="20"/>
        <v>36</v>
      </c>
      <c r="AK21" s="52">
        <v>463</v>
      </c>
      <c r="AL21" s="16">
        <f t="shared" si="4"/>
        <v>9.9775881389535387E-3</v>
      </c>
      <c r="AM21" s="17">
        <f>IF(AND(AH21&lt;&gt;"", AK21&lt;&gt;""), SUM(AK$4:AK21), "")</f>
        <v>29793</v>
      </c>
      <c r="AN21" s="16">
        <f t="shared" si="5"/>
        <v>0.64203516938194982</v>
      </c>
      <c r="AO21" s="14"/>
      <c r="AP21" s="27">
        <v>32</v>
      </c>
      <c r="AQ21" s="20" t="e" cm="1">
        <f t="array" aca="1" ref="AQ21" ca="1">(AP21-INDIRECT(SUBSTITUTE(ADDRESS(1,COLUMN($C$9),4),"1","")&amp;SUMPRODUCT(($B$10:$D$26=INDIRECT(SUBSTITUTE(ADDRESS(1,COLUMN()-1,4),"1","")&amp;ROW()-20))*ROW($B$10:$D$26))))/INDIRECT(SUBSTITUTE(ADDRESS(1,COLUMN($D$9),4),"1","")&amp;SUMPRODUCT(($B$10:$D$26=INDIRECT(SUBSTITUTE(ADDRESS(1,COLUMN()-1,4),"1","")&amp;ROW()-20))*ROW($B$10:$D$26)))*10+50</f>
        <v>#DIV/0!</v>
      </c>
      <c r="AR21" s="8"/>
      <c r="AS21" s="49">
        <v>56</v>
      </c>
      <c r="AT21" s="83">
        <f t="shared" si="30"/>
        <v>4</v>
      </c>
      <c r="AU21" s="164">
        <f t="shared" si="21"/>
        <v>74</v>
      </c>
      <c r="AV21" s="52">
        <v>500</v>
      </c>
      <c r="AW21" s="16">
        <f t="shared" si="6"/>
        <v>1.6282401979940082E-2</v>
      </c>
      <c r="AX21" s="17">
        <f>IF(AND(AS21&lt;&gt;"", AV21&lt;&gt;""), SUM(AV$4:AV21), "")</f>
        <v>8379</v>
      </c>
      <c r="AY21" s="16">
        <f t="shared" si="7"/>
        <v>0.27286049237983589</v>
      </c>
      <c r="AZ21" s="14"/>
      <c r="BA21" s="27">
        <v>32</v>
      </c>
      <c r="BB21" s="20" t="e" cm="1">
        <f t="array" aca="1" ref="BB21" ca="1">(BA21-INDIRECT(SUBSTITUTE(ADDRESS(1,COLUMN($C$9),4),"1","")&amp;SUMPRODUCT(($B$10:$D$26=INDIRECT(SUBSTITUTE(ADDRESS(1,COLUMN()-1,4),"1","")&amp;ROW()-20))*ROW($B$10:$D$26))))/INDIRECT(SUBSTITUTE(ADDRESS(1,COLUMN($D$9),4),"1","")&amp;SUMPRODUCT(($B$10:$D$26=INDIRECT(SUBSTITUTE(ADDRESS(1,COLUMN()-1,4),"1","")&amp;ROW()-20))*ROW($B$10:$D$26)))*10+50</f>
        <v>#DIV/0!</v>
      </c>
      <c r="BC21" s="8"/>
      <c r="BD21" s="49">
        <v>52</v>
      </c>
      <c r="BE21" s="83">
        <f t="shared" si="31"/>
        <v>4</v>
      </c>
      <c r="BF21" s="164">
        <f t="shared" si="22"/>
        <v>61</v>
      </c>
      <c r="BG21" s="52">
        <v>1794</v>
      </c>
      <c r="BH21" s="16">
        <f t="shared" si="8"/>
        <v>5.5296982399901363E-2</v>
      </c>
      <c r="BI21" s="17">
        <f>IF(AND(BD21&lt;&gt;"", BG21&lt;&gt;""), SUM(BG$4:BG21), "")</f>
        <v>13538</v>
      </c>
      <c r="BJ21" s="16">
        <f t="shared" si="9"/>
        <v>0.41728570107573282</v>
      </c>
      <c r="BK21" s="14"/>
      <c r="BL21" s="27">
        <v>32</v>
      </c>
      <c r="BM21" s="20" t="e" cm="1">
        <f t="array" aca="1" ref="BM21" ca="1">(BL21-INDIRECT(SUBSTITUTE(ADDRESS(1,COLUMN($C$9),4),"1","")&amp;SUMPRODUCT(($B$10:$D$26=INDIRECT(SUBSTITUTE(ADDRESS(1,COLUMN()-1,4),"1","")&amp;ROW()-20))*ROW($B$10:$D$26))))/INDIRECT(SUBSTITUTE(ADDRESS(1,COLUMN($D$9),4),"1","")&amp;SUMPRODUCT(($B$10:$D$26=INDIRECT(SUBSTITUTE(ADDRESS(1,COLUMN()-1,4),"1","")&amp;ROW()-20))*ROW($B$10:$D$26)))*10+50</f>
        <v>#DIV/0!</v>
      </c>
      <c r="BN21" s="8"/>
      <c r="BO21" s="49">
        <v>50</v>
      </c>
      <c r="BP21" s="83">
        <f t="shared" si="32"/>
        <v>5</v>
      </c>
      <c r="BQ21" s="164">
        <f t="shared" si="23"/>
        <v>53</v>
      </c>
      <c r="BR21" s="52">
        <v>1061</v>
      </c>
      <c r="BS21" s="16">
        <f t="shared" si="10"/>
        <v>1.9038903244329601E-2</v>
      </c>
      <c r="BT21" s="17">
        <f>IF(AND(BO21&lt;&gt;"", BR21&lt;&gt;""), SUM(BR$4:BR21), "")</f>
        <v>26816</v>
      </c>
      <c r="BU21" s="16">
        <f t="shared" si="11"/>
        <v>0.48119437266724091</v>
      </c>
      <c r="BV21" s="14"/>
      <c r="BW21" s="27">
        <v>32</v>
      </c>
      <c r="BX21" s="20" cm="1">
        <f t="array" aca="1" ref="BX21" ca="1">(BW21-INDIRECT(SUBSTITUTE(ADDRESS(1,COLUMN($C$9),4),"1","")&amp;SUMPRODUCT(($B$10:$D$26=INDIRECT(SUBSTITUTE(ADDRESS(1,COLUMN()-1,4),"1","")&amp;ROW()-20))*ROW($B$10:$D$26))))/INDIRECT(SUBSTITUTE(ADDRESS(1,COLUMN($D$9),4),"1","")&amp;SUMPRODUCT(($B$10:$D$26=INDIRECT(SUBSTITUTE(ADDRESS(1,COLUMN()-1,4),"1","")&amp;ROW()-20))*ROW($B$10:$D$26)))*10+50</f>
        <v>58.316373728029603</v>
      </c>
      <c r="BY21" s="8"/>
      <c r="BZ21" s="49">
        <v>57</v>
      </c>
      <c r="CA21" s="83">
        <f t="shared" si="33"/>
        <v>4</v>
      </c>
      <c r="CB21" s="164">
        <f t="shared" si="24"/>
        <v>70</v>
      </c>
      <c r="CC21" s="52">
        <v>1175</v>
      </c>
      <c r="CD21" s="16">
        <f t="shared" si="12"/>
        <v>2.1841772622499814E-2</v>
      </c>
      <c r="CE21" s="17">
        <f>IF(AND(BZ21&lt;&gt;"", CC21&lt;&gt;""), SUM(CC$4:CC21), "")</f>
        <v>16946</v>
      </c>
      <c r="CF21" s="16">
        <f t="shared" si="13"/>
        <v>0.31500483307309096</v>
      </c>
      <c r="CG21" s="14"/>
      <c r="CH21" s="27">
        <v>32</v>
      </c>
      <c r="CI21" s="20" t="e" cm="1">
        <f t="array" aca="1" ref="CI21" ca="1">(CH21-INDIRECT(SUBSTITUTE(ADDRESS(1,COLUMN($C$9),4),"1","")&amp;SUMPRODUCT(($B$10:$D$26=INDIRECT(SUBSTITUTE(ADDRESS(1,COLUMN()-1,4),"1","")&amp;ROW()-20))*ROW($B$10:$D$26))))/INDIRECT(SUBSTITUTE(ADDRESS(1,COLUMN($D$9),4),"1","")&amp;SUMPRODUCT(($B$10:$D$26=INDIRECT(SUBSTITUTE(ADDRESS(1,COLUMN()-1,4),"1","")&amp;ROW()-20))*ROW($B$10:$D$26)))*10+50</f>
        <v>#DIV/0!</v>
      </c>
      <c r="CJ21" s="8"/>
      <c r="CK21" s="49">
        <v>51</v>
      </c>
      <c r="CL21" s="83">
        <f t="shared" si="34"/>
        <v>5</v>
      </c>
      <c r="CM21" s="164">
        <f t="shared" si="25"/>
        <v>53</v>
      </c>
      <c r="CN21" s="52">
        <v>3051</v>
      </c>
      <c r="CO21" s="16">
        <f t="shared" si="14"/>
        <v>2.5497029107227918E-2</v>
      </c>
      <c r="CP21" s="17">
        <f>IF(AND(CK21&lt;&gt;"", CN21&lt;&gt;""), SUM(CN$4:CN21), "")</f>
        <v>58236</v>
      </c>
      <c r="CQ21" s="16">
        <f t="shared" si="15"/>
        <v>0.48667485646952641</v>
      </c>
      <c r="CR21" s="14"/>
      <c r="CS21" s="27">
        <v>32</v>
      </c>
      <c r="CT21" s="20" t="e" cm="1">
        <f t="array" aca="1" ref="CT21" ca="1">(CS21-INDIRECT(SUBSTITUTE(ADDRESS(1,COLUMN($C$9),4),"1","")&amp;SUMPRODUCT(($B$10:$D$26=INDIRECT(SUBSTITUTE(ADDRESS(1,COLUMN()-1,4),"1","")&amp;ROW()-20))*ROW($B$10:$D$26))))/INDIRECT(SUBSTITUTE(ADDRESS(1,COLUMN($D$9),4),"1","")&amp;SUMPRODUCT(($B$10:$D$26=INDIRECT(SUBSTITUTE(ADDRESS(1,COLUMN()-1,4),"1","")&amp;ROW()-20))*ROW($B$10:$D$26)))*10+50</f>
        <v>#DIV/0!</v>
      </c>
      <c r="CU21" s="8"/>
      <c r="CV21" s="49">
        <v>52</v>
      </c>
      <c r="CW21" s="83">
        <f t="shared" si="35"/>
        <v>4</v>
      </c>
      <c r="CX21" s="164">
        <f t="shared" si="26"/>
        <v>61</v>
      </c>
      <c r="CY21" s="52">
        <v>2159</v>
      </c>
      <c r="CZ21" s="16">
        <f t="shared" si="16"/>
        <v>1.7839879029259386E-2</v>
      </c>
      <c r="DA21" s="17">
        <f>IF(AND(CV21&lt;&gt;"", CY21&lt;&gt;""), SUM(CY$4:CY21), "")</f>
        <v>48137</v>
      </c>
      <c r="DB21" s="16">
        <f t="shared" si="17"/>
        <v>0.39775741400252851</v>
      </c>
      <c r="FX21" s="28">
        <v>0</v>
      </c>
    </row>
    <row r="22" spans="1:180" ht="16" customHeight="1" x14ac:dyDescent="0.2">
      <c r="A22" s="139"/>
      <c r="B22" s="7" t="s">
        <v>10</v>
      </c>
      <c r="C22" s="44"/>
      <c r="D22" s="44"/>
      <c r="E22" s="1"/>
      <c r="F22" s="27">
        <v>40</v>
      </c>
      <c r="G22" s="27">
        <v>6</v>
      </c>
      <c r="H22" s="1"/>
      <c r="I22" s="85">
        <v>15</v>
      </c>
      <c r="J22" s="85">
        <v>6</v>
      </c>
      <c r="K22" s="70"/>
      <c r="L22" s="70"/>
      <c r="M22" s="70"/>
      <c r="N22"/>
      <c r="O22" s="38"/>
      <c r="P22" s="83" t="str">
        <f t="shared" si="27"/>
        <v/>
      </c>
      <c r="Q22" s="164" t="str">
        <f t="shared" si="18"/>
        <v/>
      </c>
      <c r="R22" s="43"/>
      <c r="S22" s="16" t="str">
        <f t="shared" si="0"/>
        <v/>
      </c>
      <c r="T22" s="17" t="str">
        <f>IF(AND(O22&lt;&gt;"", R22&lt;&gt;""), SUM(R$4:R22), "")</f>
        <v/>
      </c>
      <c r="U22" s="16" t="str">
        <f t="shared" si="1"/>
        <v/>
      </c>
      <c r="W22" s="38">
        <v>129</v>
      </c>
      <c r="X22" s="83">
        <f t="shared" si="28"/>
        <v>2</v>
      </c>
      <c r="Y22" s="164">
        <f t="shared" si="19"/>
        <v>92</v>
      </c>
      <c r="Z22" s="43">
        <v>2312</v>
      </c>
      <c r="AA22" s="16">
        <f t="shared" si="2"/>
        <v>5.9652970392827191E-3</v>
      </c>
      <c r="AB22" s="17">
        <f>IF(AND(W22&lt;&gt;"", Z22&lt;&gt;""), SUM(Z$4:Z22), "")</f>
        <v>31011</v>
      </c>
      <c r="AC22" s="16">
        <f t="shared" si="3"/>
        <v>8.0012900728891181E-2</v>
      </c>
      <c r="AD22" s="1"/>
      <c r="AE22" s="19">
        <v>31</v>
      </c>
      <c r="AF22" s="20" t="e" cm="1">
        <f t="array" aca="1" ref="AF22" ca="1">(AE22-INDIRECT(SUBSTITUTE(ADDRESS(1,COLUMN($C$9),4),"1","")&amp;SUMPRODUCT(($B$10:$D$26=INDIRECT(SUBSTITUTE(ADDRESS(1,COLUMN()-1,4),"1","")&amp;ROW()-21))*ROW($B$10:$D$26))))/INDIRECT(SUBSTITUTE(ADDRESS(1,COLUMN($D$9),4),"1","")&amp;SUMPRODUCT(($B$10:$D$26=INDIRECT(SUBSTITUTE(ADDRESS(1,COLUMN()-1,4),"1","")&amp;ROW()-21))*ROW($B$10:$D$26)))*10+50</f>
        <v>#DIV/0!</v>
      </c>
      <c r="AG22" s="8"/>
      <c r="AH22" s="49">
        <v>47</v>
      </c>
      <c r="AI22" s="83">
        <f t="shared" si="29"/>
        <v>6</v>
      </c>
      <c r="AJ22" s="164">
        <f t="shared" si="20"/>
        <v>35</v>
      </c>
      <c r="AK22" s="52">
        <v>552</v>
      </c>
      <c r="AL22" s="16">
        <f t="shared" si="4"/>
        <v>1.1895526247737265E-2</v>
      </c>
      <c r="AM22" s="17">
        <f>IF(AND(AH22&lt;&gt;"", AK22&lt;&gt;""), SUM(AK$4:AK22), "")</f>
        <v>30345</v>
      </c>
      <c r="AN22" s="16">
        <f t="shared" si="5"/>
        <v>0.65393069562968709</v>
      </c>
      <c r="AO22" s="14"/>
      <c r="AP22" s="27">
        <v>31</v>
      </c>
      <c r="AQ22" s="20" t="e" cm="1">
        <f t="array" aca="1" ref="AQ22" ca="1">(AP22-INDIRECT(SUBSTITUTE(ADDRESS(1,COLUMN($C$9),4),"1","")&amp;SUMPRODUCT(($B$10:$D$26=INDIRECT(SUBSTITUTE(ADDRESS(1,COLUMN()-1,4),"1","")&amp;ROW()-21))*ROW($B$10:$D$26))))/INDIRECT(SUBSTITUTE(ADDRESS(1,COLUMN($D$9),4),"1","")&amp;SUMPRODUCT(($B$10:$D$26=INDIRECT(SUBSTITUTE(ADDRESS(1,COLUMN()-1,4),"1","")&amp;ROW()-21))*ROW($B$10:$D$26)))*10+50</f>
        <v>#DIV/0!</v>
      </c>
      <c r="AR22" s="8"/>
      <c r="AS22" s="49">
        <v>55</v>
      </c>
      <c r="AT22" s="83">
        <f t="shared" si="30"/>
        <v>4</v>
      </c>
      <c r="AU22" s="164">
        <f t="shared" si="21"/>
        <v>71</v>
      </c>
      <c r="AV22" s="52">
        <v>1110</v>
      </c>
      <c r="AW22" s="16">
        <f t="shared" si="6"/>
        <v>3.6146932395466978E-2</v>
      </c>
      <c r="AX22" s="17">
        <f>IF(AND(AS22&lt;&gt;"", AV22&lt;&gt;""), SUM(AV$4:AV22), "")</f>
        <v>9489</v>
      </c>
      <c r="AY22" s="16">
        <f t="shared" si="7"/>
        <v>0.30900742477530285</v>
      </c>
      <c r="AZ22" s="14"/>
      <c r="BA22" s="27">
        <v>31</v>
      </c>
      <c r="BB22" s="20" t="e" cm="1">
        <f t="array" aca="1" ref="BB22" ca="1">(BA22-INDIRECT(SUBSTITUTE(ADDRESS(1,COLUMN($C$9),4),"1","")&amp;SUMPRODUCT(($B$10:$D$26=INDIRECT(SUBSTITUTE(ADDRESS(1,COLUMN()-1,4),"1","")&amp;ROW()-21))*ROW($B$10:$D$26))))/INDIRECT(SUBSTITUTE(ADDRESS(1,COLUMN($D$9),4),"1","")&amp;SUMPRODUCT(($B$10:$D$26=INDIRECT(SUBSTITUTE(ADDRESS(1,COLUMN()-1,4),"1","")&amp;ROW()-21))*ROW($B$10:$D$26)))*10+50</f>
        <v>#DIV/0!</v>
      </c>
      <c r="BC22" s="8"/>
      <c r="BD22" s="49">
        <v>51</v>
      </c>
      <c r="BE22" s="83">
        <f t="shared" si="31"/>
        <v>5</v>
      </c>
      <c r="BF22" s="164">
        <f t="shared" si="22"/>
        <v>57</v>
      </c>
      <c r="BG22" s="52">
        <v>874</v>
      </c>
      <c r="BH22" s="16">
        <f t="shared" si="8"/>
        <v>2.6939555528157074E-2</v>
      </c>
      <c r="BI22" s="17">
        <f>IF(AND(BD22&lt;&gt;"", BG22&lt;&gt;""), SUM(BG$4:BG22), "")</f>
        <v>14412</v>
      </c>
      <c r="BJ22" s="16">
        <f t="shared" si="9"/>
        <v>0.4442252566038899</v>
      </c>
      <c r="BK22" s="14"/>
      <c r="BL22" s="27">
        <v>31</v>
      </c>
      <c r="BM22" s="20" t="e" cm="1">
        <f t="array" aca="1" ref="BM22" ca="1">(BL22-INDIRECT(SUBSTITUTE(ADDRESS(1,COLUMN($C$9),4),"1","")&amp;SUMPRODUCT(($B$10:$D$26=INDIRECT(SUBSTITUTE(ADDRESS(1,COLUMN()-1,4),"1","")&amp;ROW()-21))*ROW($B$10:$D$26))))/INDIRECT(SUBSTITUTE(ADDRESS(1,COLUMN($D$9),4),"1","")&amp;SUMPRODUCT(($B$10:$D$26=INDIRECT(SUBSTITUTE(ADDRESS(1,COLUMN()-1,4),"1","")&amp;ROW()-21))*ROW($B$10:$D$26)))*10+50</f>
        <v>#DIV/0!</v>
      </c>
      <c r="BN22" s="8"/>
      <c r="BO22" s="49">
        <v>49</v>
      </c>
      <c r="BP22" s="83">
        <f t="shared" si="32"/>
        <v>5</v>
      </c>
      <c r="BQ22" s="164">
        <f t="shared" si="23"/>
        <v>50</v>
      </c>
      <c r="BR22" s="52">
        <v>1886</v>
      </c>
      <c r="BS22" s="16">
        <f t="shared" si="10"/>
        <v>3.384295147861039E-2</v>
      </c>
      <c r="BT22" s="17">
        <f>IF(AND(BO22&lt;&gt;"", BR22&lt;&gt;""), SUM(BR$4:BR22), "")</f>
        <v>28702</v>
      </c>
      <c r="BU22" s="16">
        <f t="shared" si="11"/>
        <v>0.51503732414585124</v>
      </c>
      <c r="BV22" s="14"/>
      <c r="BW22" s="27">
        <v>31</v>
      </c>
      <c r="BX22" s="20" cm="1">
        <f t="array" aca="1" ref="BX22" ca="1">(BW22-INDIRECT(SUBSTITUTE(ADDRESS(1,COLUMN($C$9),4),"1","")&amp;SUMPRODUCT(($B$10:$D$26=INDIRECT(SUBSTITUTE(ADDRESS(1,COLUMN()-1,4),"1","")&amp;ROW()-21))*ROW($B$10:$D$26))))/INDIRECT(SUBSTITUTE(ADDRESS(1,COLUMN($D$9),4),"1","")&amp;SUMPRODUCT(($B$10:$D$26=INDIRECT(SUBSTITUTE(ADDRESS(1,COLUMN()-1,4),"1","")&amp;ROW()-21))*ROW($B$10:$D$26)))*10+50</f>
        <v>57.391304347826086</v>
      </c>
      <c r="BY22" s="8"/>
      <c r="BZ22" s="49">
        <v>56</v>
      </c>
      <c r="CA22" s="83">
        <f t="shared" si="33"/>
        <v>4</v>
      </c>
      <c r="CB22" s="164">
        <f t="shared" si="24"/>
        <v>67</v>
      </c>
      <c r="CC22" s="52">
        <v>1292</v>
      </c>
      <c r="CD22" s="16">
        <f t="shared" si="12"/>
        <v>2.4016655513421071E-2</v>
      </c>
      <c r="CE22" s="17">
        <f>IF(AND(BZ22&lt;&gt;"", CC22&lt;&gt;""), SUM(CC$4:CC22), "")</f>
        <v>18238</v>
      </c>
      <c r="CF22" s="16">
        <f t="shared" si="13"/>
        <v>0.33902148858651199</v>
      </c>
      <c r="CG22" s="14"/>
      <c r="CH22" s="27">
        <v>31</v>
      </c>
      <c r="CI22" s="20" t="e" cm="1">
        <f t="array" aca="1" ref="CI22" ca="1">(CH22-INDIRECT(SUBSTITUTE(ADDRESS(1,COLUMN($C$9),4),"1","")&amp;SUMPRODUCT(($B$10:$D$26=INDIRECT(SUBSTITUTE(ADDRESS(1,COLUMN()-1,4),"1","")&amp;ROW()-21))*ROW($B$10:$D$26))))/INDIRECT(SUBSTITUTE(ADDRESS(1,COLUMN($D$9),4),"1","")&amp;SUMPRODUCT(($B$10:$D$26=INDIRECT(SUBSTITUTE(ADDRESS(1,COLUMN()-1,4),"1","")&amp;ROW()-21))*ROW($B$10:$D$26)))*10+50</f>
        <v>#DIV/0!</v>
      </c>
      <c r="CJ22" s="8"/>
      <c r="CK22" s="49">
        <v>50</v>
      </c>
      <c r="CL22" s="83">
        <f t="shared" si="34"/>
        <v>5</v>
      </c>
      <c r="CM22" s="164">
        <f t="shared" si="25"/>
        <v>50</v>
      </c>
      <c r="CN22" s="52">
        <v>2654</v>
      </c>
      <c r="CO22" s="16">
        <f t="shared" si="14"/>
        <v>2.217932325486165E-2</v>
      </c>
      <c r="CP22" s="17">
        <f>IF(AND(CK22&lt;&gt;"", CN22&lt;&gt;""), SUM(CN$4:CN22), "")</f>
        <v>60890</v>
      </c>
      <c r="CQ22" s="16">
        <f t="shared" si="15"/>
        <v>0.50885417972438807</v>
      </c>
      <c r="CR22" s="14"/>
      <c r="CS22" s="27">
        <v>31</v>
      </c>
      <c r="CT22" s="20" t="e" cm="1">
        <f t="array" aca="1" ref="CT22" ca="1">(CS22-INDIRECT(SUBSTITUTE(ADDRESS(1,COLUMN($C$9),4),"1","")&amp;SUMPRODUCT(($B$10:$D$26=INDIRECT(SUBSTITUTE(ADDRESS(1,COLUMN()-1,4),"1","")&amp;ROW()-21))*ROW($B$10:$D$26))))/INDIRECT(SUBSTITUTE(ADDRESS(1,COLUMN($D$9),4),"1","")&amp;SUMPRODUCT(($B$10:$D$26=INDIRECT(SUBSTITUTE(ADDRESS(1,COLUMN()-1,4),"1","")&amp;ROW()-21))*ROW($B$10:$D$26)))*10+50</f>
        <v>#DIV/0!</v>
      </c>
      <c r="CU22" s="8"/>
      <c r="CV22" s="49">
        <v>51</v>
      </c>
      <c r="CW22" s="83">
        <f t="shared" si="35"/>
        <v>4</v>
      </c>
      <c r="CX22" s="164">
        <f t="shared" si="26"/>
        <v>59</v>
      </c>
      <c r="CY22" s="52">
        <v>2477</v>
      </c>
      <c r="CZ22" s="16">
        <f t="shared" si="16"/>
        <v>2.046752216557457E-2</v>
      </c>
      <c r="DA22" s="17">
        <f>IF(AND(CV22&lt;&gt;"", CY22&lt;&gt;""), SUM(CY$4:CY22), "")</f>
        <v>50614</v>
      </c>
      <c r="DB22" s="16">
        <f t="shared" si="17"/>
        <v>0.41822493616810308</v>
      </c>
      <c r="FX22" s="28">
        <v>0</v>
      </c>
    </row>
    <row r="23" spans="1:180" ht="16" customHeight="1" x14ac:dyDescent="0.2">
      <c r="A23" s="139"/>
      <c r="B23" s="7" t="s">
        <v>29</v>
      </c>
      <c r="C23" s="44"/>
      <c r="D23" s="44"/>
      <c r="E23" s="1"/>
      <c r="F23" s="27">
        <v>30</v>
      </c>
      <c r="G23" s="27">
        <v>7</v>
      </c>
      <c r="H23" s="1"/>
      <c r="I23" s="85">
        <v>10</v>
      </c>
      <c r="J23" s="85">
        <v>7</v>
      </c>
      <c r="K23" s="70"/>
      <c r="L23" s="70"/>
      <c r="M23" s="70"/>
      <c r="N23"/>
      <c r="O23" s="38"/>
      <c r="P23" s="83" t="str">
        <f t="shared" si="27"/>
        <v/>
      </c>
      <c r="Q23" s="164" t="str">
        <f t="shared" si="18"/>
        <v/>
      </c>
      <c r="R23" s="43"/>
      <c r="S23" s="16" t="str">
        <f t="shared" si="0"/>
        <v/>
      </c>
      <c r="T23" s="17" t="str">
        <f>IF(AND(O23&lt;&gt;"", R23&lt;&gt;""), SUM(R$4:R23), "")</f>
        <v/>
      </c>
      <c r="U23" s="16" t="str">
        <f t="shared" si="1"/>
        <v/>
      </c>
      <c r="W23" s="38">
        <v>128</v>
      </c>
      <c r="X23" s="83">
        <f t="shared" si="28"/>
        <v>2</v>
      </c>
      <c r="Y23" s="164">
        <f t="shared" si="19"/>
        <v>91</v>
      </c>
      <c r="Z23" s="43">
        <v>4123</v>
      </c>
      <c r="AA23" s="16">
        <f t="shared" si="2"/>
        <v>1.0637941043668967E-2</v>
      </c>
      <c r="AB23" s="17">
        <f>IF(AND(W23&lt;&gt;"", Z23&lt;&gt;""), SUM(Z$4:Z23), "")</f>
        <v>35134</v>
      </c>
      <c r="AC23" s="16">
        <f t="shared" si="3"/>
        <v>9.0650841772560151E-2</v>
      </c>
      <c r="AD23" s="1"/>
      <c r="AE23" s="19">
        <v>30</v>
      </c>
      <c r="AF23" s="20" t="e" cm="1">
        <f t="array" aca="1" ref="AF23" ca="1">(AE23-INDIRECT(SUBSTITUTE(ADDRESS(1,COLUMN($C$9),4),"1","")&amp;SUMPRODUCT(($B$10:$D$26=INDIRECT(SUBSTITUTE(ADDRESS(1,COLUMN()-1,4),"1","")&amp;ROW()-22))*ROW($B$10:$D$26))))/INDIRECT(SUBSTITUTE(ADDRESS(1,COLUMN($D$9),4),"1","")&amp;SUMPRODUCT(($B$10:$D$26=INDIRECT(SUBSTITUTE(ADDRESS(1,COLUMN()-1,4),"1","")&amp;ROW()-22))*ROW($B$10:$D$26)))*10+50</f>
        <v>#DIV/0!</v>
      </c>
      <c r="AG23" s="8"/>
      <c r="AH23" s="49">
        <v>46</v>
      </c>
      <c r="AI23" s="83">
        <f t="shared" si="29"/>
        <v>6</v>
      </c>
      <c r="AJ23" s="164">
        <f t="shared" si="20"/>
        <v>34</v>
      </c>
      <c r="AK23" s="52">
        <v>475</v>
      </c>
      <c r="AL23" s="16">
        <f t="shared" si="4"/>
        <v>1.0236186535643479E-2</v>
      </c>
      <c r="AM23" s="17">
        <f>IF(AND(AH23&lt;&gt;"", AK23&lt;&gt;""), SUM(AK$4:AK23), "")</f>
        <v>30820</v>
      </c>
      <c r="AN23" s="16">
        <f t="shared" si="5"/>
        <v>0.6641668821653306</v>
      </c>
      <c r="AO23" s="14"/>
      <c r="AP23" s="27">
        <v>30</v>
      </c>
      <c r="AQ23" s="20" t="e" cm="1">
        <f t="array" aca="1" ref="AQ23" ca="1">(AP23-INDIRECT(SUBSTITUTE(ADDRESS(1,COLUMN($C$9),4),"1","")&amp;SUMPRODUCT(($B$10:$D$26=INDIRECT(SUBSTITUTE(ADDRESS(1,COLUMN()-1,4),"1","")&amp;ROW()-22))*ROW($B$10:$D$26))))/INDIRECT(SUBSTITUTE(ADDRESS(1,COLUMN($D$9),4),"1","")&amp;SUMPRODUCT(($B$10:$D$26=INDIRECT(SUBSTITUTE(ADDRESS(1,COLUMN()-1,4),"1","")&amp;ROW()-22))*ROW($B$10:$D$26)))*10+50</f>
        <v>#DIV/0!</v>
      </c>
      <c r="AR23" s="8"/>
      <c r="AS23" s="49">
        <v>54</v>
      </c>
      <c r="AT23" s="83">
        <f t="shared" si="30"/>
        <v>4</v>
      </c>
      <c r="AU23" s="164">
        <f t="shared" si="21"/>
        <v>68</v>
      </c>
      <c r="AV23" s="52">
        <v>560</v>
      </c>
      <c r="AW23" s="16">
        <f t="shared" si="6"/>
        <v>1.823629021753289E-2</v>
      </c>
      <c r="AX23" s="17">
        <f>IF(AND(AS23&lt;&gt;"", AV23&lt;&gt;""), SUM(AV$4:AV23), "")</f>
        <v>10049</v>
      </c>
      <c r="AY23" s="16">
        <f t="shared" si="7"/>
        <v>0.32724371499283572</v>
      </c>
      <c r="AZ23" s="14"/>
      <c r="BA23" s="27">
        <v>30</v>
      </c>
      <c r="BB23" s="20" t="e" cm="1">
        <f t="array" aca="1" ref="BB23" ca="1">(BA23-INDIRECT(SUBSTITUTE(ADDRESS(1,COLUMN($C$9),4),"1","")&amp;SUMPRODUCT(($B$10:$D$26=INDIRECT(SUBSTITUTE(ADDRESS(1,COLUMN()-1,4),"1","")&amp;ROW()-22))*ROW($B$10:$D$26))))/INDIRECT(SUBSTITUTE(ADDRESS(1,COLUMN($D$9),4),"1","")&amp;SUMPRODUCT(($B$10:$D$26=INDIRECT(SUBSTITUTE(ADDRESS(1,COLUMN()-1,4),"1","")&amp;ROW()-22))*ROW($B$10:$D$26)))*10+50</f>
        <v>#DIV/0!</v>
      </c>
      <c r="BC23" s="8"/>
      <c r="BD23" s="49">
        <v>50</v>
      </c>
      <c r="BE23" s="83">
        <f t="shared" si="31"/>
        <v>5</v>
      </c>
      <c r="BF23" s="164">
        <f t="shared" si="22"/>
        <v>54</v>
      </c>
      <c r="BG23" s="52">
        <v>1038</v>
      </c>
      <c r="BH23" s="16">
        <f t="shared" si="8"/>
        <v>3.1994575100946276E-2</v>
      </c>
      <c r="BI23" s="17">
        <f>IF(AND(BD23&lt;&gt;"", BG23&lt;&gt;""), SUM(BG$4:BG23), "")</f>
        <v>15450</v>
      </c>
      <c r="BJ23" s="16">
        <f t="shared" si="9"/>
        <v>0.47621983170483617</v>
      </c>
      <c r="BK23" s="14"/>
      <c r="BL23" s="27">
        <v>30</v>
      </c>
      <c r="BM23" s="20" t="e" cm="1">
        <f t="array" aca="1" ref="BM23" ca="1">(BL23-INDIRECT(SUBSTITUTE(ADDRESS(1,COLUMN($C$9),4),"1","")&amp;SUMPRODUCT(($B$10:$D$26=INDIRECT(SUBSTITUTE(ADDRESS(1,COLUMN()-1,4),"1","")&amp;ROW()-22))*ROW($B$10:$D$26))))/INDIRECT(SUBSTITUTE(ADDRESS(1,COLUMN($D$9),4),"1","")&amp;SUMPRODUCT(($B$10:$D$26=INDIRECT(SUBSTITUTE(ADDRESS(1,COLUMN()-1,4),"1","")&amp;ROW()-22))*ROW($B$10:$D$26)))*10+50</f>
        <v>#DIV/0!</v>
      </c>
      <c r="BN23" s="8"/>
      <c r="BO23" s="49">
        <v>48</v>
      </c>
      <c r="BP23" s="83">
        <f t="shared" si="32"/>
        <v>5</v>
      </c>
      <c r="BQ23" s="164">
        <f t="shared" si="23"/>
        <v>48</v>
      </c>
      <c r="BR23" s="52">
        <v>1047</v>
      </c>
      <c r="BS23" s="16">
        <f t="shared" si="10"/>
        <v>1.878768303186908E-2</v>
      </c>
      <c r="BT23" s="17">
        <f>IF(AND(BO23&lt;&gt;"", BR23&lt;&gt;""), SUM(BR$4:BR23), "")</f>
        <v>29749</v>
      </c>
      <c r="BU23" s="16">
        <f t="shared" si="11"/>
        <v>0.5338250071777203</v>
      </c>
      <c r="BV23" s="14"/>
      <c r="BW23" s="27">
        <v>30</v>
      </c>
      <c r="BX23" s="20" cm="1">
        <f t="array" aca="1" ref="BX23" ca="1">(BW23-INDIRECT(SUBSTITUTE(ADDRESS(1,COLUMN($C$9),4),"1","")&amp;SUMPRODUCT(($B$10:$D$26=INDIRECT(SUBSTITUTE(ADDRESS(1,COLUMN()-1,4),"1","")&amp;ROW()-22))*ROW($B$10:$D$26))))/INDIRECT(SUBSTITUTE(ADDRESS(1,COLUMN($D$9),4),"1","")&amp;SUMPRODUCT(($B$10:$D$26=INDIRECT(SUBSTITUTE(ADDRESS(1,COLUMN()-1,4),"1","")&amp;ROW()-22))*ROW($B$10:$D$26)))*10+50</f>
        <v>56.466234967622569</v>
      </c>
      <c r="BY23" s="8"/>
      <c r="BZ23" s="49">
        <v>55</v>
      </c>
      <c r="CA23" s="83">
        <f t="shared" si="33"/>
        <v>4</v>
      </c>
      <c r="CB23" s="164">
        <f t="shared" si="24"/>
        <v>65</v>
      </c>
      <c r="CC23" s="52">
        <v>1208</v>
      </c>
      <c r="CD23" s="16">
        <f t="shared" si="12"/>
        <v>2.2455201130195553E-2</v>
      </c>
      <c r="CE23" s="17">
        <f>IF(AND(BZ23&lt;&gt;"", CC23&lt;&gt;""), SUM(CC$4:CC23), "")</f>
        <v>19446</v>
      </c>
      <c r="CF23" s="16">
        <f t="shared" si="13"/>
        <v>0.36147668971670754</v>
      </c>
      <c r="CG23" s="14"/>
      <c r="CH23" s="27">
        <v>30</v>
      </c>
      <c r="CI23" s="20" t="e" cm="1">
        <f t="array" aca="1" ref="CI23" ca="1">(CH23-INDIRECT(SUBSTITUTE(ADDRESS(1,COLUMN($C$9),4),"1","")&amp;SUMPRODUCT(($B$10:$D$26=INDIRECT(SUBSTITUTE(ADDRESS(1,COLUMN()-1,4),"1","")&amp;ROW()-22))*ROW($B$10:$D$26))))/INDIRECT(SUBSTITUTE(ADDRESS(1,COLUMN($D$9),4),"1","")&amp;SUMPRODUCT(($B$10:$D$26=INDIRECT(SUBSTITUTE(ADDRESS(1,COLUMN()-1,4),"1","")&amp;ROW()-22))*ROW($B$10:$D$26)))*10+50</f>
        <v>#DIV/0!</v>
      </c>
      <c r="CJ23" s="8"/>
      <c r="CK23" s="49">
        <v>49</v>
      </c>
      <c r="CL23" s="83">
        <f t="shared" si="34"/>
        <v>5</v>
      </c>
      <c r="CM23" s="164">
        <f t="shared" si="25"/>
        <v>48</v>
      </c>
      <c r="CN23" s="52">
        <v>3023</v>
      </c>
      <c r="CO23" s="16">
        <f t="shared" si="14"/>
        <v>2.5263034739806619E-2</v>
      </c>
      <c r="CP23" s="17">
        <f>IF(AND(CK23&lt;&gt;"", CN23&lt;&gt;""), SUM(CN$4:CN23), "")</f>
        <v>63913</v>
      </c>
      <c r="CQ23" s="16">
        <f t="shared" si="15"/>
        <v>0.53411721446419469</v>
      </c>
      <c r="CR23" s="14"/>
      <c r="CS23" s="27">
        <v>30</v>
      </c>
      <c r="CT23" s="20" t="e" cm="1">
        <f t="array" aca="1" ref="CT23" ca="1">(CS23-INDIRECT(SUBSTITUTE(ADDRESS(1,COLUMN($C$9),4),"1","")&amp;SUMPRODUCT(($B$10:$D$26=INDIRECT(SUBSTITUTE(ADDRESS(1,COLUMN()-1,4),"1","")&amp;ROW()-22))*ROW($B$10:$D$26))))/INDIRECT(SUBSTITUTE(ADDRESS(1,COLUMN($D$9),4),"1","")&amp;SUMPRODUCT(($B$10:$D$26=INDIRECT(SUBSTITUTE(ADDRESS(1,COLUMN()-1,4),"1","")&amp;ROW()-22))*ROW($B$10:$D$26)))*10+50</f>
        <v>#DIV/0!</v>
      </c>
      <c r="CU23" s="8"/>
      <c r="CV23" s="49">
        <v>50</v>
      </c>
      <c r="CW23" s="83">
        <f t="shared" si="35"/>
        <v>5</v>
      </c>
      <c r="CX23" s="164">
        <f t="shared" si="26"/>
        <v>56</v>
      </c>
      <c r="CY23" s="52">
        <v>4871</v>
      </c>
      <c r="CZ23" s="16">
        <f t="shared" si="16"/>
        <v>4.0249212946513416E-2</v>
      </c>
      <c r="DA23" s="17">
        <f>IF(AND(CV23&lt;&gt;"", CY23&lt;&gt;""), SUM(CY$4:CY23), "")</f>
        <v>55485</v>
      </c>
      <c r="DB23" s="16">
        <f t="shared" si="17"/>
        <v>0.45847414911461648</v>
      </c>
      <c r="FX23" s="28">
        <v>0</v>
      </c>
    </row>
    <row r="24" spans="1:180" ht="16" customHeight="1" x14ac:dyDescent="0.2">
      <c r="A24" s="139"/>
      <c r="B24" s="7" t="s">
        <v>31</v>
      </c>
      <c r="C24" s="44"/>
      <c r="D24" s="44"/>
      <c r="E24" s="1"/>
      <c r="F24" s="27">
        <v>20</v>
      </c>
      <c r="G24" s="27">
        <v>8</v>
      </c>
      <c r="H24" s="1"/>
      <c r="I24" s="85">
        <v>5</v>
      </c>
      <c r="J24" s="85">
        <v>8</v>
      </c>
      <c r="K24" s="70"/>
      <c r="L24" s="70"/>
      <c r="M24" s="70"/>
      <c r="N24"/>
      <c r="O24" s="38"/>
      <c r="P24" s="83" t="str">
        <f t="shared" si="27"/>
        <v/>
      </c>
      <c r="Q24" s="164" t="str">
        <f t="shared" si="18"/>
        <v/>
      </c>
      <c r="R24" s="43"/>
      <c r="S24" s="16" t="str">
        <f t="shared" si="0"/>
        <v/>
      </c>
      <c r="T24" s="17" t="str">
        <f>IF(AND(O24&lt;&gt;"", R24&lt;&gt;""), SUM(R$4:R24), "")</f>
        <v/>
      </c>
      <c r="U24" s="16" t="str">
        <f t="shared" si="1"/>
        <v/>
      </c>
      <c r="W24" s="38">
        <v>127</v>
      </c>
      <c r="X24" s="83">
        <f t="shared" si="28"/>
        <v>2</v>
      </c>
      <c r="Y24" s="164">
        <f t="shared" si="19"/>
        <v>90</v>
      </c>
      <c r="Z24" s="43">
        <v>7610</v>
      </c>
      <c r="AA24" s="16">
        <f t="shared" si="2"/>
        <v>1.9634909372379539E-2</v>
      </c>
      <c r="AB24" s="17">
        <f>IF(AND(W24&lt;&gt;"", Z24&lt;&gt;""), SUM(Z$4:Z24), "")</f>
        <v>42744</v>
      </c>
      <c r="AC24" s="16">
        <f t="shared" si="3"/>
        <v>0.11028575114493969</v>
      </c>
      <c r="AD24" s="1"/>
      <c r="AE24" s="19">
        <v>29</v>
      </c>
      <c r="AF24" s="20" t="e" cm="1">
        <f t="array" aca="1" ref="AF24" ca="1">(AE24-INDIRECT(SUBSTITUTE(ADDRESS(1,COLUMN($C$9),4),"1","")&amp;SUMPRODUCT(($B$10:$D$26=INDIRECT(SUBSTITUTE(ADDRESS(1,COLUMN()-1,4),"1","")&amp;ROW()-23))*ROW($B$10:$D$26))))/INDIRECT(SUBSTITUTE(ADDRESS(1,COLUMN($D$9),4),"1","")&amp;SUMPRODUCT(($B$10:$D$26=INDIRECT(SUBSTITUTE(ADDRESS(1,COLUMN()-1,4),"1","")&amp;ROW()-23))*ROW($B$10:$D$26)))*10+50</f>
        <v>#DIV/0!</v>
      </c>
      <c r="AG24" s="8"/>
      <c r="AH24" s="49">
        <v>45</v>
      </c>
      <c r="AI24" s="83">
        <f t="shared" si="29"/>
        <v>6</v>
      </c>
      <c r="AJ24" s="164">
        <f t="shared" si="20"/>
        <v>32</v>
      </c>
      <c r="AK24" s="52">
        <v>1222</v>
      </c>
      <c r="AL24" s="16">
        <f t="shared" si="4"/>
        <v>2.6333936729592278E-2</v>
      </c>
      <c r="AM24" s="17">
        <f>IF(AND(AH24&lt;&gt;"", AK24&lt;&gt;""), SUM(AK$4:AK24), "")</f>
        <v>32042</v>
      </c>
      <c r="AN24" s="16">
        <f t="shared" si="5"/>
        <v>0.69050081889492287</v>
      </c>
      <c r="AO24" s="14"/>
      <c r="AP24" s="27">
        <v>29</v>
      </c>
      <c r="AQ24" s="20" t="e" cm="1">
        <f t="array" aca="1" ref="AQ24" ca="1">(AP24-INDIRECT(SUBSTITUTE(ADDRESS(1,COLUMN($C$9),4),"1","")&amp;SUMPRODUCT(($B$10:$D$26=INDIRECT(SUBSTITUTE(ADDRESS(1,COLUMN()-1,4),"1","")&amp;ROW()-23))*ROW($B$10:$D$26))))/INDIRECT(SUBSTITUTE(ADDRESS(1,COLUMN($D$9),4),"1","")&amp;SUMPRODUCT(($B$10:$D$26=INDIRECT(SUBSTITUTE(ADDRESS(1,COLUMN()-1,4),"1","")&amp;ROW()-23))*ROW($B$10:$D$26)))*10+50</f>
        <v>#DIV/0!</v>
      </c>
      <c r="AR24" s="8"/>
      <c r="AS24" s="49">
        <v>53</v>
      </c>
      <c r="AT24" s="83">
        <f t="shared" si="30"/>
        <v>4</v>
      </c>
      <c r="AU24" s="164">
        <f t="shared" si="21"/>
        <v>66</v>
      </c>
      <c r="AV24" s="52">
        <v>653</v>
      </c>
      <c r="AW24" s="16">
        <f t="shared" si="6"/>
        <v>2.1264816985801745E-2</v>
      </c>
      <c r="AX24" s="17">
        <f>IF(AND(AS24&lt;&gt;"", AV24&lt;&gt;""), SUM(AV$4:AV24), "")</f>
        <v>10702</v>
      </c>
      <c r="AY24" s="16">
        <f t="shared" si="7"/>
        <v>0.34850853197863751</v>
      </c>
      <c r="AZ24" s="14"/>
      <c r="BA24" s="27">
        <v>29</v>
      </c>
      <c r="BB24" s="20" t="e" cm="1">
        <f t="array" aca="1" ref="BB24" ca="1">(BA24-INDIRECT(SUBSTITUTE(ADDRESS(1,COLUMN($C$9),4),"1","")&amp;SUMPRODUCT(($B$10:$D$26=INDIRECT(SUBSTITUTE(ADDRESS(1,COLUMN()-1,4),"1","")&amp;ROW()-23))*ROW($B$10:$D$26))))/INDIRECT(SUBSTITUTE(ADDRESS(1,COLUMN($D$9),4),"1","")&amp;SUMPRODUCT(($B$10:$D$26=INDIRECT(SUBSTITUTE(ADDRESS(1,COLUMN()-1,4),"1","")&amp;ROW()-23))*ROW($B$10:$D$26)))*10+50</f>
        <v>#DIV/0!</v>
      </c>
      <c r="BC24" s="8"/>
      <c r="BD24" s="49">
        <v>49</v>
      </c>
      <c r="BE24" s="83">
        <f t="shared" si="31"/>
        <v>5</v>
      </c>
      <c r="BF24" s="164">
        <f t="shared" si="22"/>
        <v>51</v>
      </c>
      <c r="BG24" s="52">
        <v>892</v>
      </c>
      <c r="BH24" s="16">
        <f t="shared" si="8"/>
        <v>2.749437474956077E-2</v>
      </c>
      <c r="BI24" s="17">
        <f>IF(AND(BD24&lt;&gt;"", BG24&lt;&gt;""), SUM(BG$4:BG24), "")</f>
        <v>16342</v>
      </c>
      <c r="BJ24" s="16">
        <f t="shared" si="9"/>
        <v>0.50371420645439691</v>
      </c>
      <c r="BK24" s="14"/>
      <c r="BL24" s="27">
        <v>29</v>
      </c>
      <c r="BM24" s="20" t="e" cm="1">
        <f t="array" aca="1" ref="BM24" ca="1">(BL24-INDIRECT(SUBSTITUTE(ADDRESS(1,COLUMN($C$9),4),"1","")&amp;SUMPRODUCT(($B$10:$D$26=INDIRECT(SUBSTITUTE(ADDRESS(1,COLUMN()-1,4),"1","")&amp;ROW()-23))*ROW($B$10:$D$26))))/INDIRECT(SUBSTITUTE(ADDRESS(1,COLUMN($D$9),4),"1","")&amp;SUMPRODUCT(($B$10:$D$26=INDIRECT(SUBSTITUTE(ADDRESS(1,COLUMN()-1,4),"1","")&amp;ROW()-23))*ROW($B$10:$D$26)))*10+50</f>
        <v>#DIV/0!</v>
      </c>
      <c r="BN24" s="8"/>
      <c r="BO24" s="49">
        <v>47</v>
      </c>
      <c r="BP24" s="83">
        <f t="shared" si="32"/>
        <v>5</v>
      </c>
      <c r="BQ24" s="164">
        <f t="shared" si="23"/>
        <v>46</v>
      </c>
      <c r="BR24" s="52">
        <v>890</v>
      </c>
      <c r="BS24" s="16">
        <f t="shared" si="10"/>
        <v>1.5970427792133219E-2</v>
      </c>
      <c r="BT24" s="17">
        <f>IF(AND(BO24&lt;&gt;"", BR24&lt;&gt;""), SUM(BR$4:BR24), "")</f>
        <v>30639</v>
      </c>
      <c r="BU24" s="16">
        <f t="shared" si="11"/>
        <v>0.54979543496985361</v>
      </c>
      <c r="BV24" s="14"/>
      <c r="BW24" s="27">
        <v>29</v>
      </c>
      <c r="BX24" s="20" cm="1">
        <f t="array" aca="1" ref="BX24" ca="1">(BW24-INDIRECT(SUBSTITUTE(ADDRESS(1,COLUMN($C$9),4),"1","")&amp;SUMPRODUCT(($B$10:$D$26=INDIRECT(SUBSTITUTE(ADDRESS(1,COLUMN()-1,4),"1","")&amp;ROW()-23))*ROW($B$10:$D$26))))/INDIRECT(SUBSTITUTE(ADDRESS(1,COLUMN($D$9),4),"1","")&amp;SUMPRODUCT(($B$10:$D$26=INDIRECT(SUBSTITUTE(ADDRESS(1,COLUMN()-1,4),"1","")&amp;ROW()-23))*ROW($B$10:$D$26)))*10+50</f>
        <v>55.541165587419059</v>
      </c>
      <c r="BY24" s="8"/>
      <c r="BZ24" s="49">
        <v>54</v>
      </c>
      <c r="CA24" s="83">
        <f t="shared" si="33"/>
        <v>4</v>
      </c>
      <c r="CB24" s="164">
        <f t="shared" si="24"/>
        <v>63</v>
      </c>
      <c r="CC24" s="52">
        <v>1375</v>
      </c>
      <c r="CD24" s="16">
        <f t="shared" si="12"/>
        <v>2.5559521153989143E-2</v>
      </c>
      <c r="CE24" s="17">
        <f>IF(AND(BZ24&lt;&gt;"", CC24&lt;&gt;""), SUM(CC$4:CC24), "")</f>
        <v>20821</v>
      </c>
      <c r="CF24" s="16">
        <f t="shared" si="13"/>
        <v>0.38703621087069673</v>
      </c>
      <c r="CG24" s="14"/>
      <c r="CH24" s="27">
        <v>29</v>
      </c>
      <c r="CI24" s="20" t="e" cm="1">
        <f t="array" aca="1" ref="CI24" ca="1">(CH24-INDIRECT(SUBSTITUTE(ADDRESS(1,COLUMN($C$9),4),"1","")&amp;SUMPRODUCT(($B$10:$D$26=INDIRECT(SUBSTITUTE(ADDRESS(1,COLUMN()-1,4),"1","")&amp;ROW()-23))*ROW($B$10:$D$26))))/INDIRECT(SUBSTITUTE(ADDRESS(1,COLUMN($D$9),4),"1","")&amp;SUMPRODUCT(($B$10:$D$26=INDIRECT(SUBSTITUTE(ADDRESS(1,COLUMN()-1,4),"1","")&amp;ROW()-23))*ROW($B$10:$D$26)))*10+50</f>
        <v>#DIV/0!</v>
      </c>
      <c r="CJ24" s="8"/>
      <c r="CK24" s="49">
        <v>48</v>
      </c>
      <c r="CL24" s="83">
        <f t="shared" si="34"/>
        <v>5</v>
      </c>
      <c r="CM24" s="164">
        <f t="shared" si="25"/>
        <v>44</v>
      </c>
      <c r="CN24" s="52">
        <v>5717</v>
      </c>
      <c r="CO24" s="16">
        <f t="shared" si="14"/>
        <v>4.7776635662412983E-2</v>
      </c>
      <c r="CP24" s="17">
        <f>IF(AND(CK24&lt;&gt;"", CN24&lt;&gt;""), SUM(CN$4:CN24), "")</f>
        <v>69630</v>
      </c>
      <c r="CQ24" s="16">
        <f t="shared" si="15"/>
        <v>0.58189385012660766</v>
      </c>
      <c r="CR24" s="14"/>
      <c r="CS24" s="27">
        <v>29</v>
      </c>
      <c r="CT24" s="20" t="e" cm="1">
        <f t="array" aca="1" ref="CT24" ca="1">(CS24-INDIRECT(SUBSTITUTE(ADDRESS(1,COLUMN($C$9),4),"1","")&amp;SUMPRODUCT(($B$10:$D$26=INDIRECT(SUBSTITUTE(ADDRESS(1,COLUMN()-1,4),"1","")&amp;ROW()-23))*ROW($B$10:$D$26))))/INDIRECT(SUBSTITUTE(ADDRESS(1,COLUMN($D$9),4),"1","")&amp;SUMPRODUCT(($B$10:$D$26=INDIRECT(SUBSTITUTE(ADDRESS(1,COLUMN()-1,4),"1","")&amp;ROW()-23))*ROW($B$10:$D$26)))*10+50</f>
        <v>#DIV/0!</v>
      </c>
      <c r="CU24" s="8"/>
      <c r="CV24" s="49">
        <v>49</v>
      </c>
      <c r="CW24" s="83">
        <f t="shared" si="35"/>
        <v>5</v>
      </c>
      <c r="CX24" s="164">
        <f t="shared" si="26"/>
        <v>53</v>
      </c>
      <c r="CY24" s="52">
        <v>2645</v>
      </c>
      <c r="CZ24" s="16">
        <f t="shared" si="16"/>
        <v>2.1855710992307119E-2</v>
      </c>
      <c r="DA24" s="17">
        <f>IF(AND(CV24&lt;&gt;"", CY24&lt;&gt;""), SUM(CY$4:CY24), "")</f>
        <v>58130</v>
      </c>
      <c r="DB24" s="16">
        <f t="shared" si="17"/>
        <v>0.48032986010692358</v>
      </c>
      <c r="FX24" s="28">
        <v>0</v>
      </c>
    </row>
    <row r="25" spans="1:180" ht="16" customHeight="1" x14ac:dyDescent="0.2">
      <c r="A25" s="139"/>
      <c r="B25" s="7" t="s">
        <v>32</v>
      </c>
      <c r="C25" s="44"/>
      <c r="D25" s="44"/>
      <c r="E25" s="1"/>
      <c r="F25" s="27">
        <v>0</v>
      </c>
      <c r="G25" s="27">
        <v>9</v>
      </c>
      <c r="H25" s="1"/>
      <c r="I25" s="85">
        <v>0</v>
      </c>
      <c r="J25" s="85">
        <v>9</v>
      </c>
      <c r="K25" s="70"/>
      <c r="L25" s="70"/>
      <c r="M25" s="70"/>
      <c r="N25"/>
      <c r="O25" s="38"/>
      <c r="P25" s="83" t="str">
        <f t="shared" si="27"/>
        <v/>
      </c>
      <c r="Q25" s="164" t="str">
        <f t="shared" si="18"/>
        <v/>
      </c>
      <c r="R25" s="43"/>
      <c r="S25" s="16" t="str">
        <f t="shared" si="0"/>
        <v/>
      </c>
      <c r="T25" s="17" t="str">
        <f>IF(AND(O25&lt;&gt;"", R25&lt;&gt;""), SUM(R$4:R25), "")</f>
        <v/>
      </c>
      <c r="U25" s="16" t="str">
        <f t="shared" si="1"/>
        <v/>
      </c>
      <c r="W25" s="38">
        <v>126</v>
      </c>
      <c r="X25" s="83">
        <f t="shared" si="28"/>
        <v>3</v>
      </c>
      <c r="Y25" s="164">
        <f t="shared" si="19"/>
        <v>89</v>
      </c>
      <c r="Z25" s="43">
        <v>3174</v>
      </c>
      <c r="AA25" s="16">
        <f t="shared" si="2"/>
        <v>8.1893827001225574E-3</v>
      </c>
      <c r="AB25" s="17">
        <f>IF(AND(W25&lt;&gt;"", Z25&lt;&gt;""), SUM(Z$4:Z25), "")</f>
        <v>45918</v>
      </c>
      <c r="AC25" s="16">
        <f t="shared" si="3"/>
        <v>0.11847513384506225</v>
      </c>
      <c r="AD25" s="1"/>
      <c r="AE25" s="19">
        <v>28</v>
      </c>
      <c r="AF25" s="20" t="e" cm="1">
        <f t="array" aca="1" ref="AF25" ca="1">(AE25-INDIRECT(SUBSTITUTE(ADDRESS(1,COLUMN($C$9),4),"1","")&amp;SUMPRODUCT(($B$10:$D$26=INDIRECT(SUBSTITUTE(ADDRESS(1,COLUMN()-1,4),"1","")&amp;ROW()-24))*ROW($B$10:$D$26))))/INDIRECT(SUBSTITUTE(ADDRESS(1,COLUMN($D$9),4),"1","")&amp;SUMPRODUCT(($B$10:$D$26=INDIRECT(SUBSTITUTE(ADDRESS(1,COLUMN()-1,4),"1","")&amp;ROW()-24))*ROW($B$10:$D$26)))*10+50</f>
        <v>#DIV/0!</v>
      </c>
      <c r="AG25" s="8"/>
      <c r="AH25" s="49">
        <v>44</v>
      </c>
      <c r="AI25" s="83">
        <f t="shared" si="29"/>
        <v>6</v>
      </c>
      <c r="AJ25" s="164">
        <f t="shared" si="20"/>
        <v>30</v>
      </c>
      <c r="AK25" s="52">
        <v>535</v>
      </c>
      <c r="AL25" s="16">
        <f t="shared" si="4"/>
        <v>1.1529178519093181E-2</v>
      </c>
      <c r="AM25" s="17">
        <f>IF(AND(AH25&lt;&gt;"", AK25&lt;&gt;""), SUM(AK$4:AK25), "")</f>
        <v>32577</v>
      </c>
      <c r="AN25" s="16">
        <f t="shared" si="5"/>
        <v>0.70202999741401606</v>
      </c>
      <c r="AO25" s="14"/>
      <c r="AP25" s="27">
        <v>28</v>
      </c>
      <c r="AQ25" s="20" t="e" cm="1">
        <f t="array" aca="1" ref="AQ25" ca="1">(AP25-INDIRECT(SUBSTITUTE(ADDRESS(1,COLUMN($C$9),4),"1","")&amp;SUMPRODUCT(($B$10:$D$26=INDIRECT(SUBSTITUTE(ADDRESS(1,COLUMN()-1,4),"1","")&amp;ROW()-24))*ROW($B$10:$D$26))))/INDIRECT(SUBSTITUTE(ADDRESS(1,COLUMN($D$9),4),"1","")&amp;SUMPRODUCT(($B$10:$D$26=INDIRECT(SUBSTITUTE(ADDRESS(1,COLUMN()-1,4),"1","")&amp;ROW()-24))*ROW($B$10:$D$26)))*10+50</f>
        <v>#DIV/0!</v>
      </c>
      <c r="AR25" s="8"/>
      <c r="AS25" s="49">
        <v>52</v>
      </c>
      <c r="AT25" s="83">
        <f t="shared" si="30"/>
        <v>4</v>
      </c>
      <c r="AU25" s="164">
        <f t="shared" si="21"/>
        <v>64</v>
      </c>
      <c r="AV25" s="52">
        <v>584</v>
      </c>
      <c r="AW25" s="16">
        <f t="shared" si="6"/>
        <v>1.9017845512570013E-2</v>
      </c>
      <c r="AX25" s="17">
        <f>IF(AND(AS25&lt;&gt;"", AV25&lt;&gt;""), SUM(AV$4:AV25), "")</f>
        <v>11286</v>
      </c>
      <c r="AY25" s="16">
        <f t="shared" si="7"/>
        <v>0.36752637749120748</v>
      </c>
      <c r="AZ25" s="14"/>
      <c r="BA25" s="27">
        <v>28</v>
      </c>
      <c r="BB25" s="20" t="e" cm="1">
        <f t="array" aca="1" ref="BB25" ca="1">(BA25-INDIRECT(SUBSTITUTE(ADDRESS(1,COLUMN($C$9),4),"1","")&amp;SUMPRODUCT(($B$10:$D$26=INDIRECT(SUBSTITUTE(ADDRESS(1,COLUMN()-1,4),"1","")&amp;ROW()-24))*ROW($B$10:$D$26))))/INDIRECT(SUBSTITUTE(ADDRESS(1,COLUMN($D$9),4),"1","")&amp;SUMPRODUCT(($B$10:$D$26=INDIRECT(SUBSTITUTE(ADDRESS(1,COLUMN()-1,4),"1","")&amp;ROW()-24))*ROW($B$10:$D$26)))*10+50</f>
        <v>#DIV/0!</v>
      </c>
      <c r="BC25" s="8"/>
      <c r="BD25" s="49">
        <v>48</v>
      </c>
      <c r="BE25" s="83">
        <f t="shared" si="31"/>
        <v>5</v>
      </c>
      <c r="BF25" s="164">
        <f t="shared" si="22"/>
        <v>48</v>
      </c>
      <c r="BG25" s="52">
        <v>1061</v>
      </c>
      <c r="BH25" s="16">
        <f t="shared" si="8"/>
        <v>3.2703510772739884E-2</v>
      </c>
      <c r="BI25" s="17">
        <f>IF(AND(BD25&lt;&gt;"", BG25&lt;&gt;""), SUM(BG$4:BG25), "")</f>
        <v>17403</v>
      </c>
      <c r="BJ25" s="16">
        <f t="shared" si="9"/>
        <v>0.53641771722713683</v>
      </c>
      <c r="BK25" s="14"/>
      <c r="BL25" s="27">
        <v>28</v>
      </c>
      <c r="BM25" s="20" t="e" cm="1">
        <f t="array" aca="1" ref="BM25" ca="1">(BL25-INDIRECT(SUBSTITUTE(ADDRESS(1,COLUMN($C$9),4),"1","")&amp;SUMPRODUCT(($B$10:$D$26=INDIRECT(SUBSTITUTE(ADDRESS(1,COLUMN()-1,4),"1","")&amp;ROW()-24))*ROW($B$10:$D$26))))/INDIRECT(SUBSTITUTE(ADDRESS(1,COLUMN($D$9),4),"1","")&amp;SUMPRODUCT(($B$10:$D$26=INDIRECT(SUBSTITUTE(ADDRESS(1,COLUMN()-1,4),"1","")&amp;ROW()-24))*ROW($B$10:$D$26)))*10+50</f>
        <v>#DIV/0!</v>
      </c>
      <c r="BN25" s="8"/>
      <c r="BO25" s="49">
        <v>46</v>
      </c>
      <c r="BP25" s="83">
        <f t="shared" si="32"/>
        <v>5</v>
      </c>
      <c r="BQ25" s="164">
        <f t="shared" si="23"/>
        <v>43</v>
      </c>
      <c r="BR25" s="52">
        <v>2082</v>
      </c>
      <c r="BS25" s="16">
        <f t="shared" si="10"/>
        <v>3.736003445305771E-2</v>
      </c>
      <c r="BT25" s="17">
        <f>IF(AND(BO25&lt;&gt;"", BR25&lt;&gt;""), SUM(BR$4:BR25), "")</f>
        <v>32721</v>
      </c>
      <c r="BU25" s="16">
        <f t="shared" si="11"/>
        <v>0.5871554694229113</v>
      </c>
      <c r="BV25" s="14"/>
      <c r="BW25" s="27">
        <v>28</v>
      </c>
      <c r="BX25" s="20" cm="1">
        <f t="array" aca="1" ref="BX25" ca="1">(BW25-INDIRECT(SUBSTITUTE(ADDRESS(1,COLUMN($C$9),4),"1","")&amp;SUMPRODUCT(($B$10:$D$26=INDIRECT(SUBSTITUTE(ADDRESS(1,COLUMN()-1,4),"1","")&amp;ROW()-24))*ROW($B$10:$D$26))))/INDIRECT(SUBSTITUTE(ADDRESS(1,COLUMN($D$9),4),"1","")&amp;SUMPRODUCT(($B$10:$D$26=INDIRECT(SUBSTITUTE(ADDRESS(1,COLUMN()-1,4),"1","")&amp;ROW()-24))*ROW($B$10:$D$26)))*10+50</f>
        <v>54.616096207215541</v>
      </c>
      <c r="BY25" s="8"/>
      <c r="BZ25" s="49">
        <v>53</v>
      </c>
      <c r="CA25" s="83">
        <f t="shared" si="33"/>
        <v>4</v>
      </c>
      <c r="CB25" s="164">
        <f t="shared" si="24"/>
        <v>60</v>
      </c>
      <c r="CC25" s="52">
        <v>1221</v>
      </c>
      <c r="CD25" s="16">
        <f t="shared" si="12"/>
        <v>2.269685478474236E-2</v>
      </c>
      <c r="CE25" s="17">
        <f>IF(AND(BZ25&lt;&gt;"", CC25&lt;&gt;""), SUM(CC$4:CC25), "")</f>
        <v>22042</v>
      </c>
      <c r="CF25" s="16">
        <f t="shared" si="13"/>
        <v>0.40973306565543904</v>
      </c>
      <c r="CG25" s="14"/>
      <c r="CH25" s="27">
        <v>28</v>
      </c>
      <c r="CI25" s="20" t="e" cm="1">
        <f t="array" aca="1" ref="CI25" ca="1">(CH25-INDIRECT(SUBSTITUTE(ADDRESS(1,COLUMN($C$9),4),"1","")&amp;SUMPRODUCT(($B$10:$D$26=INDIRECT(SUBSTITUTE(ADDRESS(1,COLUMN()-1,4),"1","")&amp;ROW()-24))*ROW($B$10:$D$26))))/INDIRECT(SUBSTITUTE(ADDRESS(1,COLUMN($D$9),4),"1","")&amp;SUMPRODUCT(($B$10:$D$26=INDIRECT(SUBSTITUTE(ADDRESS(1,COLUMN()-1,4),"1","")&amp;ROW()-24))*ROW($B$10:$D$26)))*10+50</f>
        <v>#DIV/0!</v>
      </c>
      <c r="CJ25" s="8"/>
      <c r="CK25" s="49">
        <v>47</v>
      </c>
      <c r="CL25" s="83">
        <f t="shared" si="34"/>
        <v>5</v>
      </c>
      <c r="CM25" s="164">
        <f t="shared" si="25"/>
        <v>41</v>
      </c>
      <c r="CN25" s="52">
        <v>2858</v>
      </c>
      <c r="CO25" s="16">
        <f t="shared" si="14"/>
        <v>2.3884139360359682E-2</v>
      </c>
      <c r="CP25" s="17">
        <f>IF(AND(CK25&lt;&gt;"", CN25&lt;&gt;""), SUM(CN$4:CN25), "")</f>
        <v>72488</v>
      </c>
      <c r="CQ25" s="16">
        <f t="shared" si="15"/>
        <v>0.60577798948696737</v>
      </c>
      <c r="CR25" s="14"/>
      <c r="CS25" s="27">
        <v>28</v>
      </c>
      <c r="CT25" s="20" t="e" cm="1">
        <f t="array" aca="1" ref="CT25" ca="1">(CS25-INDIRECT(SUBSTITUTE(ADDRESS(1,COLUMN($C$9),4),"1","")&amp;SUMPRODUCT(($B$10:$D$26=INDIRECT(SUBSTITUTE(ADDRESS(1,COLUMN()-1,4),"1","")&amp;ROW()-24))*ROW($B$10:$D$26))))/INDIRECT(SUBSTITUTE(ADDRESS(1,COLUMN($D$9),4),"1","")&amp;SUMPRODUCT(($B$10:$D$26=INDIRECT(SUBSTITUTE(ADDRESS(1,COLUMN()-1,4),"1","")&amp;ROW()-24))*ROW($B$10:$D$26)))*10+50</f>
        <v>#DIV/0!</v>
      </c>
      <c r="CU25" s="8"/>
      <c r="CV25" s="49">
        <v>48</v>
      </c>
      <c r="CW25" s="83">
        <f t="shared" si="35"/>
        <v>5</v>
      </c>
      <c r="CX25" s="164">
        <f t="shared" si="26"/>
        <v>51</v>
      </c>
      <c r="CY25" s="52">
        <v>2655</v>
      </c>
      <c r="CZ25" s="16">
        <f t="shared" si="16"/>
        <v>2.1938341279612628E-2</v>
      </c>
      <c r="DA25" s="17">
        <f>IF(AND(CV25&lt;&gt;"", CY25&lt;&gt;""), SUM(CY$4:CY25), "")</f>
        <v>60785</v>
      </c>
      <c r="DB25" s="16">
        <f t="shared" si="17"/>
        <v>0.50226820138653627</v>
      </c>
      <c r="FX25" s="28">
        <v>0</v>
      </c>
    </row>
    <row r="26" spans="1:180" ht="16" customHeight="1" x14ac:dyDescent="0.2">
      <c r="A26" s="139"/>
      <c r="B26" s="7" t="s">
        <v>33</v>
      </c>
      <c r="C26" s="44"/>
      <c r="D26" s="44"/>
      <c r="E26" s="1"/>
      <c r="F26" s="1"/>
      <c r="G26" s="1"/>
      <c r="H26" s="1"/>
      <c r="I26" s="1"/>
      <c r="J26" s="1"/>
      <c r="K26" s="1"/>
      <c r="L26" s="1"/>
      <c r="M26" s="1"/>
      <c r="N26"/>
      <c r="O26" s="38"/>
      <c r="P26" s="83" t="str">
        <f t="shared" si="27"/>
        <v/>
      </c>
      <c r="Q26" s="164" t="str">
        <f t="shared" si="18"/>
        <v/>
      </c>
      <c r="R26" s="43"/>
      <c r="S26" s="16" t="str">
        <f t="shared" si="0"/>
        <v/>
      </c>
      <c r="T26" s="17" t="str">
        <f>IF(AND(O26&lt;&gt;"", R26&lt;&gt;""), SUM(R$4:R26), "")</f>
        <v/>
      </c>
      <c r="U26" s="16" t="str">
        <f t="shared" si="1"/>
        <v/>
      </c>
      <c r="W26" s="38">
        <v>125</v>
      </c>
      <c r="X26" s="83">
        <f t="shared" si="28"/>
        <v>3</v>
      </c>
      <c r="Y26" s="164">
        <f t="shared" si="19"/>
        <v>87</v>
      </c>
      <c r="Z26" s="43">
        <v>5772</v>
      </c>
      <c r="AA26" s="16">
        <f t="shared" si="2"/>
        <v>1.4892601431980908E-2</v>
      </c>
      <c r="AB26" s="17">
        <f>IF(AND(W26&lt;&gt;"", Z26&lt;&gt;""), SUM(Z$4:Z26), "")</f>
        <v>51690</v>
      </c>
      <c r="AC26" s="16">
        <f t="shared" si="3"/>
        <v>0.13336773527704315</v>
      </c>
      <c r="AD26" s="1"/>
      <c r="AE26" s="19">
        <v>27</v>
      </c>
      <c r="AF26" s="20" t="e" cm="1">
        <f t="array" aca="1" ref="AF26" ca="1">(AE26-INDIRECT(SUBSTITUTE(ADDRESS(1,COLUMN($C$9),4),"1","")&amp;SUMPRODUCT(($B$10:$D$26=INDIRECT(SUBSTITUTE(ADDRESS(1,COLUMN()-1,4),"1","")&amp;ROW()-25))*ROW($B$10:$D$26))))/INDIRECT(SUBSTITUTE(ADDRESS(1,COLUMN($D$9),4),"1","")&amp;SUMPRODUCT(($B$10:$D$26=INDIRECT(SUBSTITUTE(ADDRESS(1,COLUMN()-1,4),"1","")&amp;ROW()-25))*ROW($B$10:$D$26)))*10+50</f>
        <v>#DIV/0!</v>
      </c>
      <c r="AG26" s="8"/>
      <c r="AH26" s="49">
        <v>43</v>
      </c>
      <c r="AI26" s="83">
        <f t="shared" si="29"/>
        <v>6</v>
      </c>
      <c r="AJ26" s="164">
        <f t="shared" si="20"/>
        <v>29</v>
      </c>
      <c r="AK26" s="52">
        <v>702</v>
      </c>
      <c r="AL26" s="16">
        <f t="shared" si="4"/>
        <v>1.5128006206361521E-2</v>
      </c>
      <c r="AM26" s="17">
        <f>IF(AND(AH26&lt;&gt;"", AK26&lt;&gt;""), SUM(AK$4:AK26), "")</f>
        <v>33279</v>
      </c>
      <c r="AN26" s="16">
        <f t="shared" si="5"/>
        <v>0.71715800362037752</v>
      </c>
      <c r="AO26" s="14"/>
      <c r="AP26" s="27">
        <v>27</v>
      </c>
      <c r="AQ26" s="20" t="e" cm="1">
        <f t="array" aca="1" ref="AQ26" ca="1">(AP26-INDIRECT(SUBSTITUTE(ADDRESS(1,COLUMN($C$9),4),"1","")&amp;SUMPRODUCT(($B$10:$D$26=INDIRECT(SUBSTITUTE(ADDRESS(1,COLUMN()-1,4),"1","")&amp;ROW()-25))*ROW($B$10:$D$26))))/INDIRECT(SUBSTITUTE(ADDRESS(1,COLUMN($D$9),4),"1","")&amp;SUMPRODUCT(($B$10:$D$26=INDIRECT(SUBSTITUTE(ADDRESS(1,COLUMN()-1,4),"1","")&amp;ROW()-25))*ROW($B$10:$D$26)))*10+50</f>
        <v>#DIV/0!</v>
      </c>
      <c r="AR26" s="8"/>
      <c r="AS26" s="49">
        <v>51</v>
      </c>
      <c r="AT26" s="83">
        <f t="shared" si="30"/>
        <v>4</v>
      </c>
      <c r="AU26" s="164">
        <f t="shared" si="21"/>
        <v>62</v>
      </c>
      <c r="AV26" s="52">
        <v>677</v>
      </c>
      <c r="AW26" s="16">
        <f t="shared" si="6"/>
        <v>2.2046372280838868E-2</v>
      </c>
      <c r="AX26" s="17">
        <f>IF(AND(AS26&lt;&gt;"", AV26&lt;&gt;""), SUM(AV$4:AV26), "")</f>
        <v>11963</v>
      </c>
      <c r="AY26" s="16">
        <f t="shared" si="7"/>
        <v>0.38957274977204637</v>
      </c>
      <c r="AZ26" s="14"/>
      <c r="BA26" s="27">
        <v>27</v>
      </c>
      <c r="BB26" s="20" t="e" cm="1">
        <f t="array" aca="1" ref="BB26" ca="1">(BA26-INDIRECT(SUBSTITUTE(ADDRESS(1,COLUMN($C$9),4),"1","")&amp;SUMPRODUCT(($B$10:$D$26=INDIRECT(SUBSTITUTE(ADDRESS(1,COLUMN()-1,4),"1","")&amp;ROW()-25))*ROW($B$10:$D$26))))/INDIRECT(SUBSTITUTE(ADDRESS(1,COLUMN($D$9),4),"1","")&amp;SUMPRODUCT(($B$10:$D$26=INDIRECT(SUBSTITUTE(ADDRESS(1,COLUMN()-1,4),"1","")&amp;ROW()-25))*ROW($B$10:$D$26)))*10+50</f>
        <v>#DIV/0!</v>
      </c>
      <c r="BC26" s="8"/>
      <c r="BD26" s="49">
        <v>47</v>
      </c>
      <c r="BE26" s="83">
        <f t="shared" si="31"/>
        <v>5</v>
      </c>
      <c r="BF26" s="164">
        <f t="shared" si="22"/>
        <v>43</v>
      </c>
      <c r="BG26" s="52">
        <v>1959</v>
      </c>
      <c r="BH26" s="16">
        <f t="shared" si="8"/>
        <v>6.0382825262768551E-2</v>
      </c>
      <c r="BI26" s="17">
        <f>IF(AND(BD26&lt;&gt;"", BG26&lt;&gt;""), SUM(BG$4:BG26), "")</f>
        <v>19362</v>
      </c>
      <c r="BJ26" s="16">
        <f t="shared" si="9"/>
        <v>0.59680054248990533</v>
      </c>
      <c r="BK26" s="14"/>
      <c r="BL26" s="27">
        <v>27</v>
      </c>
      <c r="BM26" s="20" t="e" cm="1">
        <f t="array" aca="1" ref="BM26" ca="1">(BL26-INDIRECT(SUBSTITUTE(ADDRESS(1,COLUMN($C$9),4),"1","")&amp;SUMPRODUCT(($B$10:$D$26=INDIRECT(SUBSTITUTE(ADDRESS(1,COLUMN()-1,4),"1","")&amp;ROW()-25))*ROW($B$10:$D$26))))/INDIRECT(SUBSTITUTE(ADDRESS(1,COLUMN($D$9),4),"1","")&amp;SUMPRODUCT(($B$10:$D$26=INDIRECT(SUBSTITUTE(ADDRESS(1,COLUMN()-1,4),"1","")&amp;ROW()-25))*ROW($B$10:$D$26)))*10+50</f>
        <v>#DIV/0!</v>
      </c>
      <c r="BN26" s="8"/>
      <c r="BO26" s="49">
        <v>45</v>
      </c>
      <c r="BP26" s="83">
        <f t="shared" si="32"/>
        <v>5</v>
      </c>
      <c r="BQ26" s="164">
        <f t="shared" si="23"/>
        <v>40</v>
      </c>
      <c r="BR26" s="52">
        <v>1014</v>
      </c>
      <c r="BS26" s="16">
        <f t="shared" si="10"/>
        <v>1.8195521102497846E-2</v>
      </c>
      <c r="BT26" s="17">
        <f>IF(AND(BO26&lt;&gt;"", BR26&lt;&gt;""), SUM(BR$4:BR26), "")</f>
        <v>33735</v>
      </c>
      <c r="BU26" s="16">
        <f t="shared" si="11"/>
        <v>0.60535099052540908</v>
      </c>
      <c r="BV26" s="14"/>
      <c r="BW26" s="27">
        <v>27</v>
      </c>
      <c r="BX26" s="20" cm="1">
        <f t="array" aca="1" ref="BX26" ca="1">(BW26-INDIRECT(SUBSTITUTE(ADDRESS(1,COLUMN($C$9),4),"1","")&amp;SUMPRODUCT(($B$10:$D$26=INDIRECT(SUBSTITUTE(ADDRESS(1,COLUMN()-1,4),"1","")&amp;ROW()-25))*ROW($B$10:$D$26))))/INDIRECT(SUBSTITUTE(ADDRESS(1,COLUMN($D$9),4),"1","")&amp;SUMPRODUCT(($B$10:$D$26=INDIRECT(SUBSTITUTE(ADDRESS(1,COLUMN()-1,4),"1","")&amp;ROW()-25))*ROW($B$10:$D$26)))*10+50</f>
        <v>53.691026827012024</v>
      </c>
      <c r="BY26" s="8"/>
      <c r="BZ26" s="49">
        <v>52</v>
      </c>
      <c r="CA26" s="83">
        <f t="shared" si="33"/>
        <v>5</v>
      </c>
      <c r="CB26" s="164">
        <f t="shared" si="24"/>
        <v>57</v>
      </c>
      <c r="CC26" s="52">
        <v>2665</v>
      </c>
      <c r="CD26" s="16">
        <f t="shared" si="12"/>
        <v>4.9538999182095325E-2</v>
      </c>
      <c r="CE26" s="17">
        <f>IF(AND(BZ26&lt;&gt;"", CC26&lt;&gt;""), SUM(CC$4:CC26), "")</f>
        <v>24707</v>
      </c>
      <c r="CF26" s="16">
        <f t="shared" si="13"/>
        <v>0.45927206483753441</v>
      </c>
      <c r="CG26" s="14"/>
      <c r="CH26" s="27">
        <v>27</v>
      </c>
      <c r="CI26" s="20" t="e" cm="1">
        <f t="array" aca="1" ref="CI26" ca="1">(CH26-INDIRECT(SUBSTITUTE(ADDRESS(1,COLUMN($C$9),4),"1","")&amp;SUMPRODUCT(($B$10:$D$26=INDIRECT(SUBSTITUTE(ADDRESS(1,COLUMN()-1,4),"1","")&amp;ROW()-25))*ROW($B$10:$D$26))))/INDIRECT(SUBSTITUTE(ADDRESS(1,COLUMN($D$9),4),"1","")&amp;SUMPRODUCT(($B$10:$D$26=INDIRECT(SUBSTITUTE(ADDRESS(1,COLUMN()-1,4),"1","")&amp;ROW()-25))*ROW($B$10:$D$26)))*10+50</f>
        <v>#DIV/0!</v>
      </c>
      <c r="CJ26" s="8"/>
      <c r="CK26" s="49">
        <v>46</v>
      </c>
      <c r="CL26" s="83">
        <f t="shared" si="34"/>
        <v>6</v>
      </c>
      <c r="CM26" s="164">
        <f t="shared" si="25"/>
        <v>38</v>
      </c>
      <c r="CN26" s="52">
        <v>2881</v>
      </c>
      <c r="CO26" s="16">
        <f t="shared" si="14"/>
        <v>2.4076349019312892E-2</v>
      </c>
      <c r="CP26" s="17">
        <f>IF(AND(CK26&lt;&gt;"", CN26&lt;&gt;""), SUM(CN$4:CN26), "")</f>
        <v>75369</v>
      </c>
      <c r="CQ26" s="16">
        <f t="shared" si="15"/>
        <v>0.62985433850628025</v>
      </c>
      <c r="CR26" s="14"/>
      <c r="CS26" s="27">
        <v>27</v>
      </c>
      <c r="CT26" s="20" t="e" cm="1">
        <f t="array" aca="1" ref="CT26" ca="1">(CS26-INDIRECT(SUBSTITUTE(ADDRESS(1,COLUMN($C$9),4),"1","")&amp;SUMPRODUCT(($B$10:$D$26=INDIRECT(SUBSTITUTE(ADDRESS(1,COLUMN()-1,4),"1","")&amp;ROW()-25))*ROW($B$10:$D$26))))/INDIRECT(SUBSTITUTE(ADDRESS(1,COLUMN($D$9),4),"1","")&amp;SUMPRODUCT(($B$10:$D$26=INDIRECT(SUBSTITUTE(ADDRESS(1,COLUMN()-1,4),"1","")&amp;ROW()-25))*ROW($B$10:$D$26)))*10+50</f>
        <v>#DIV/0!</v>
      </c>
      <c r="CU26" s="8"/>
      <c r="CV26" s="49">
        <v>47</v>
      </c>
      <c r="CW26" s="83">
        <f t="shared" si="35"/>
        <v>5</v>
      </c>
      <c r="CX26" s="164">
        <f t="shared" si="26"/>
        <v>48</v>
      </c>
      <c r="CY26" s="52">
        <v>3155</v>
      </c>
      <c r="CZ26" s="16">
        <f t="shared" si="16"/>
        <v>2.6069855644888076E-2</v>
      </c>
      <c r="DA26" s="17">
        <f>IF(AND(CV26&lt;&gt;"", CY26&lt;&gt;""), SUM(CY$4:CY26), "")</f>
        <v>63940</v>
      </c>
      <c r="DB26" s="16">
        <f t="shared" si="17"/>
        <v>0.52833805703142434</v>
      </c>
      <c r="FX26" s="28">
        <v>0</v>
      </c>
    </row>
    <row r="27" spans="1:180" ht="16" customHeight="1" thickBot="1" x14ac:dyDescent="0.25">
      <c r="A27" s="1"/>
      <c r="B27" s="1"/>
      <c r="C27" s="1"/>
      <c r="D27" s="1"/>
      <c r="E27" s="1"/>
      <c r="F27" s="117" t="s">
        <v>5</v>
      </c>
      <c r="G27" s="118"/>
      <c r="H27" s="36"/>
      <c r="I27" s="117" t="s">
        <v>20</v>
      </c>
      <c r="J27" s="118"/>
      <c r="K27" s="36"/>
      <c r="L27" s="117" t="s">
        <v>6</v>
      </c>
      <c r="M27" s="118"/>
      <c r="N27"/>
      <c r="O27" s="38"/>
      <c r="P27" s="83" t="str">
        <f t="shared" si="27"/>
        <v/>
      </c>
      <c r="Q27" s="164" t="str">
        <f t="shared" si="18"/>
        <v/>
      </c>
      <c r="R27" s="43"/>
      <c r="S27" s="16" t="str">
        <f t="shared" si="0"/>
        <v/>
      </c>
      <c r="T27" s="17" t="str">
        <f>IF(AND(O27&lt;&gt;"", R27&lt;&gt;""), SUM(R$4:R27), "")</f>
        <v/>
      </c>
      <c r="U27" s="16" t="str">
        <f t="shared" si="1"/>
        <v/>
      </c>
      <c r="W27" s="38">
        <v>124</v>
      </c>
      <c r="X27" s="83">
        <f t="shared" si="28"/>
        <v>3</v>
      </c>
      <c r="Y27" s="164">
        <f t="shared" si="19"/>
        <v>86</v>
      </c>
      <c r="Z27" s="43">
        <v>6790</v>
      </c>
      <c r="AA27" s="16">
        <f t="shared" si="2"/>
        <v>1.7519189834225634E-2</v>
      </c>
      <c r="AB27" s="17">
        <f>IF(AND(W27&lt;&gt;"", Z27&lt;&gt;""), SUM(Z$4:Z27), "")</f>
        <v>58480</v>
      </c>
      <c r="AC27" s="16">
        <f t="shared" si="3"/>
        <v>0.15088692511126878</v>
      </c>
      <c r="AD27" s="1"/>
      <c r="AE27" s="19">
        <v>26</v>
      </c>
      <c r="AF27" s="20" t="e" cm="1">
        <f t="array" aca="1" ref="AF27" ca="1">(AE27-INDIRECT(SUBSTITUTE(ADDRESS(1,COLUMN($C$9),4),"1","")&amp;SUMPRODUCT(($B$10:$D$26=INDIRECT(SUBSTITUTE(ADDRESS(1,COLUMN()-1,4),"1","")&amp;ROW()-26))*ROW($B$10:$D$26))))/INDIRECT(SUBSTITUTE(ADDRESS(1,COLUMN($D$9),4),"1","")&amp;SUMPRODUCT(($B$10:$D$26=INDIRECT(SUBSTITUTE(ADDRESS(1,COLUMN()-1,4),"1","")&amp;ROW()-26))*ROW($B$10:$D$26)))*10+50</f>
        <v>#DIV/0!</v>
      </c>
      <c r="AG27" s="8"/>
      <c r="AH27" s="49">
        <v>42</v>
      </c>
      <c r="AI27" s="83">
        <f t="shared" si="29"/>
        <v>6</v>
      </c>
      <c r="AJ27" s="164">
        <f t="shared" si="20"/>
        <v>27</v>
      </c>
      <c r="AK27" s="52">
        <v>1240</v>
      </c>
      <c r="AL27" s="16">
        <f t="shared" si="4"/>
        <v>2.6721834324627186E-2</v>
      </c>
      <c r="AM27" s="17">
        <f>IF(AND(AH27&lt;&gt;"", AK27&lt;&gt;""), SUM(AK$4:AK27), "")</f>
        <v>34519</v>
      </c>
      <c r="AN27" s="16">
        <f t="shared" si="5"/>
        <v>0.74387983794500478</v>
      </c>
      <c r="AO27" s="14"/>
      <c r="AP27" s="27">
        <v>26</v>
      </c>
      <c r="AQ27" s="20" t="e" cm="1">
        <f t="array" aca="1" ref="AQ27" ca="1">(AP27-INDIRECT(SUBSTITUTE(ADDRESS(1,COLUMN($C$9),4),"1","")&amp;SUMPRODUCT(($B$10:$D$26=INDIRECT(SUBSTITUTE(ADDRESS(1,COLUMN()-1,4),"1","")&amp;ROW()-26))*ROW($B$10:$D$26))))/INDIRECT(SUBSTITUTE(ADDRESS(1,COLUMN($D$9),4),"1","")&amp;SUMPRODUCT(($B$10:$D$26=INDIRECT(SUBSTITUTE(ADDRESS(1,COLUMN()-1,4),"1","")&amp;ROW()-26))*ROW($B$10:$D$26)))*10+50</f>
        <v>#DIV/0!</v>
      </c>
      <c r="AR27" s="8"/>
      <c r="AS27" s="49">
        <v>50</v>
      </c>
      <c r="AT27" s="83">
        <f t="shared" si="30"/>
        <v>4</v>
      </c>
      <c r="AU27" s="164">
        <f t="shared" si="21"/>
        <v>59</v>
      </c>
      <c r="AV27" s="52">
        <v>1392</v>
      </c>
      <c r="AW27" s="16">
        <f t="shared" si="6"/>
        <v>4.5330207112153187E-2</v>
      </c>
      <c r="AX27" s="17">
        <f>IF(AND(AS27&lt;&gt;"", AV27&lt;&gt;""), SUM(AV$4:AV27), "")</f>
        <v>13355</v>
      </c>
      <c r="AY27" s="16">
        <f t="shared" si="7"/>
        <v>0.43490295688419955</v>
      </c>
      <c r="AZ27" s="14"/>
      <c r="BA27" s="27">
        <v>26</v>
      </c>
      <c r="BB27" s="20" t="e" cm="1">
        <f t="array" aca="1" ref="BB27" ca="1">(BA27-INDIRECT(SUBSTITUTE(ADDRESS(1,COLUMN($C$9),4),"1","")&amp;SUMPRODUCT(($B$10:$D$26=INDIRECT(SUBSTITUTE(ADDRESS(1,COLUMN()-1,4),"1","")&amp;ROW()-26))*ROW($B$10:$D$26))))/INDIRECT(SUBSTITUTE(ADDRESS(1,COLUMN($D$9),4),"1","")&amp;SUMPRODUCT(($B$10:$D$26=INDIRECT(SUBSTITUTE(ADDRESS(1,COLUMN()-1,4),"1","")&amp;ROW()-26))*ROW($B$10:$D$26)))*10+50</f>
        <v>#DIV/0!</v>
      </c>
      <c r="BC27" s="8"/>
      <c r="BD27" s="49">
        <v>46</v>
      </c>
      <c r="BE27" s="83">
        <f t="shared" si="31"/>
        <v>5</v>
      </c>
      <c r="BF27" s="164">
        <f t="shared" si="22"/>
        <v>39</v>
      </c>
      <c r="BG27" s="52">
        <v>1055</v>
      </c>
      <c r="BH27" s="16">
        <f t="shared" si="8"/>
        <v>3.2518571032271987E-2</v>
      </c>
      <c r="BI27" s="17">
        <f>IF(AND(BD27&lt;&gt;"", BG27&lt;&gt;""), SUM(BG$4:BG27), "")</f>
        <v>20417</v>
      </c>
      <c r="BJ27" s="16">
        <f t="shared" si="9"/>
        <v>0.6293191135221774</v>
      </c>
      <c r="BK27" s="14"/>
      <c r="BL27" s="27">
        <v>26</v>
      </c>
      <c r="BM27" s="20" t="e" cm="1">
        <f t="array" aca="1" ref="BM27" ca="1">(BL27-INDIRECT(SUBSTITUTE(ADDRESS(1,COLUMN($C$9),4),"1","")&amp;SUMPRODUCT(($B$10:$D$26=INDIRECT(SUBSTITUTE(ADDRESS(1,COLUMN()-1,4),"1","")&amp;ROW()-26))*ROW($B$10:$D$26))))/INDIRECT(SUBSTITUTE(ADDRESS(1,COLUMN($D$9),4),"1","")&amp;SUMPRODUCT(($B$10:$D$26=INDIRECT(SUBSTITUTE(ADDRESS(1,COLUMN()-1,4),"1","")&amp;ROW()-26))*ROW($B$10:$D$26)))*10+50</f>
        <v>#DIV/0!</v>
      </c>
      <c r="BN27" s="8"/>
      <c r="BO27" s="49">
        <v>44</v>
      </c>
      <c r="BP27" s="83">
        <f t="shared" si="32"/>
        <v>6</v>
      </c>
      <c r="BQ27" s="164">
        <f t="shared" si="23"/>
        <v>38</v>
      </c>
      <c r="BR27" s="52">
        <v>1171</v>
      </c>
      <c r="BS27" s="16">
        <f t="shared" si="10"/>
        <v>2.1012776342233707E-2</v>
      </c>
      <c r="BT27" s="17">
        <f>IF(AND(BO27&lt;&gt;"", BR27&lt;&gt;""), SUM(BR$4:BR27), "")</f>
        <v>34906</v>
      </c>
      <c r="BU27" s="16">
        <f t="shared" si="11"/>
        <v>0.62636376686764283</v>
      </c>
      <c r="BV27" s="14"/>
      <c r="BW27" s="27">
        <v>26</v>
      </c>
      <c r="BX27" s="20" cm="1">
        <f t="array" aca="1" ref="BX27" ca="1">(BW27-INDIRECT(SUBSTITUTE(ADDRESS(1,COLUMN($C$9),4),"1","")&amp;SUMPRODUCT(($B$10:$D$26=INDIRECT(SUBSTITUTE(ADDRESS(1,COLUMN()-1,4),"1","")&amp;ROW()-26))*ROW($B$10:$D$26))))/INDIRECT(SUBSTITUTE(ADDRESS(1,COLUMN($D$9),4),"1","")&amp;SUMPRODUCT(($B$10:$D$26=INDIRECT(SUBSTITUTE(ADDRESS(1,COLUMN()-1,4),"1","")&amp;ROW()-26))*ROW($B$10:$D$26)))*10+50</f>
        <v>52.765957446808507</v>
      </c>
      <c r="BY27" s="8"/>
      <c r="BZ27" s="49">
        <v>51</v>
      </c>
      <c r="CA27" s="83">
        <f t="shared" si="33"/>
        <v>5</v>
      </c>
      <c r="CB27" s="164">
        <f t="shared" si="24"/>
        <v>53</v>
      </c>
      <c r="CC27" s="52">
        <v>1288</v>
      </c>
      <c r="CD27" s="16">
        <f t="shared" si="12"/>
        <v>2.3942300542791287E-2</v>
      </c>
      <c r="CE27" s="17">
        <f>IF(AND(BZ27&lt;&gt;"", CC27&lt;&gt;""), SUM(CC$4:CC27), "")</f>
        <v>25995</v>
      </c>
      <c r="CF27" s="16">
        <f t="shared" si="13"/>
        <v>0.48321436538032569</v>
      </c>
      <c r="CG27" s="14"/>
      <c r="CH27" s="27">
        <v>26</v>
      </c>
      <c r="CI27" s="20" t="e" cm="1">
        <f t="array" aca="1" ref="CI27" ca="1">(CH27-INDIRECT(SUBSTITUTE(ADDRESS(1,COLUMN($C$9),4),"1","")&amp;SUMPRODUCT(($B$10:$D$26=INDIRECT(SUBSTITUTE(ADDRESS(1,COLUMN()-1,4),"1","")&amp;ROW()-26))*ROW($B$10:$D$26))))/INDIRECT(SUBSTITUTE(ADDRESS(1,COLUMN($D$9),4),"1","")&amp;SUMPRODUCT(($B$10:$D$26=INDIRECT(SUBSTITUTE(ADDRESS(1,COLUMN()-1,4),"1","")&amp;ROW()-26))*ROW($B$10:$D$26)))*10+50</f>
        <v>#DIV/0!</v>
      </c>
      <c r="CJ27" s="8"/>
      <c r="CK27" s="49">
        <v>45</v>
      </c>
      <c r="CL27" s="83">
        <f t="shared" si="34"/>
        <v>6</v>
      </c>
      <c r="CM27" s="164">
        <f t="shared" si="25"/>
        <v>36</v>
      </c>
      <c r="CN27" s="52">
        <v>3120</v>
      </c>
      <c r="CO27" s="16">
        <f t="shared" si="14"/>
        <v>2.6073658084087549E-2</v>
      </c>
      <c r="CP27" s="17">
        <f>IF(AND(CK27&lt;&gt;"", CN27&lt;&gt;""), SUM(CN$4:CN27), "")</f>
        <v>78489</v>
      </c>
      <c r="CQ27" s="16">
        <f t="shared" si="15"/>
        <v>0.65592799659036782</v>
      </c>
      <c r="CR27" s="14"/>
      <c r="CS27" s="27">
        <v>26</v>
      </c>
      <c r="CT27" s="20" t="e" cm="1">
        <f t="array" aca="1" ref="CT27" ca="1">(CS27-INDIRECT(SUBSTITUTE(ADDRESS(1,COLUMN($C$9),4),"1","")&amp;SUMPRODUCT(($B$10:$D$26=INDIRECT(SUBSTITUTE(ADDRESS(1,COLUMN()-1,4),"1","")&amp;ROW()-26))*ROW($B$10:$D$26))))/INDIRECT(SUBSTITUTE(ADDRESS(1,COLUMN($D$9),4),"1","")&amp;SUMPRODUCT(($B$10:$D$26=INDIRECT(SUBSTITUTE(ADDRESS(1,COLUMN()-1,4),"1","")&amp;ROW()-26))*ROW($B$10:$D$26)))*10+50</f>
        <v>#DIV/0!</v>
      </c>
      <c r="CU27" s="8"/>
      <c r="CV27" s="49">
        <v>46</v>
      </c>
      <c r="CW27" s="83">
        <f t="shared" si="35"/>
        <v>5</v>
      </c>
      <c r="CX27" s="164">
        <f t="shared" si="26"/>
        <v>44</v>
      </c>
      <c r="CY27" s="52">
        <v>6470</v>
      </c>
      <c r="CZ27" s="16">
        <f t="shared" si="16"/>
        <v>5.3461795886664297E-2</v>
      </c>
      <c r="DA27" s="17">
        <f>IF(AND(CV27&lt;&gt;"", CY27&lt;&gt;""), SUM(CY$4:CY27), "")</f>
        <v>70410</v>
      </c>
      <c r="DB27" s="16">
        <f t="shared" si="17"/>
        <v>0.58179985291808856</v>
      </c>
      <c r="FX27" s="28">
        <v>0</v>
      </c>
    </row>
    <row r="28" spans="1:180" ht="16" customHeight="1" x14ac:dyDescent="0.2">
      <c r="A28" s="78" t="s">
        <v>15</v>
      </c>
      <c r="B28" s="78" t="s">
        <v>14</v>
      </c>
      <c r="C28" s="1"/>
      <c r="D28" s="1"/>
      <c r="E28" s="1"/>
      <c r="F28" s="30" t="s">
        <v>30</v>
      </c>
      <c r="G28" s="30" t="s">
        <v>14</v>
      </c>
      <c r="H28" s="36"/>
      <c r="I28" s="30" t="s">
        <v>30</v>
      </c>
      <c r="J28" s="30" t="s">
        <v>14</v>
      </c>
      <c r="K28" s="36"/>
      <c r="L28" s="30" t="s">
        <v>30</v>
      </c>
      <c r="M28" s="30" t="s">
        <v>14</v>
      </c>
      <c r="N28"/>
      <c r="O28" s="38"/>
      <c r="P28" s="83" t="str">
        <f t="shared" si="27"/>
        <v/>
      </c>
      <c r="Q28" s="164" t="str">
        <f t="shared" si="18"/>
        <v/>
      </c>
      <c r="R28" s="43"/>
      <c r="S28" s="16" t="str">
        <f t="shared" si="0"/>
        <v/>
      </c>
      <c r="T28" s="17" t="str">
        <f>IF(AND(O28&lt;&gt;"", R28&lt;&gt;""), SUM(R$4:R28), "")</f>
        <v/>
      </c>
      <c r="U28" s="16" t="str">
        <f t="shared" si="1"/>
        <v/>
      </c>
      <c r="W28" s="38">
        <v>123</v>
      </c>
      <c r="X28" s="83">
        <f t="shared" si="28"/>
        <v>3</v>
      </c>
      <c r="Y28" s="164">
        <f t="shared" si="19"/>
        <v>85</v>
      </c>
      <c r="Z28" s="43">
        <v>2412</v>
      </c>
      <c r="AA28" s="16">
        <f t="shared" si="2"/>
        <v>6.2233116171063665E-3</v>
      </c>
      <c r="AB28" s="17">
        <f>IF(AND(W28&lt;&gt;"", Z28&lt;&gt;""), SUM(Z$4:Z28), "")</f>
        <v>60892</v>
      </c>
      <c r="AC28" s="16">
        <f t="shared" si="3"/>
        <v>0.15711023672837515</v>
      </c>
      <c r="AD28" s="1"/>
      <c r="AE28" s="19">
        <v>25</v>
      </c>
      <c r="AF28" s="20" t="e" cm="1">
        <f t="array" aca="1" ref="AF28" ca="1">(AE28-INDIRECT(SUBSTITUTE(ADDRESS(1,COLUMN($C$9),4),"1","")&amp;SUMPRODUCT(($B$10:$D$26=INDIRECT(SUBSTITUTE(ADDRESS(1,COLUMN()-1,4),"1","")&amp;ROW()-27))*ROW($B$10:$D$26))))/INDIRECT(SUBSTITUTE(ADDRESS(1,COLUMN($D$9),4),"1","")&amp;SUMPRODUCT(($B$10:$D$26=INDIRECT(SUBSTITUTE(ADDRESS(1,COLUMN()-1,4),"1","")&amp;ROW()-27))*ROW($B$10:$D$26)))*10+50</f>
        <v>#DIV/0!</v>
      </c>
      <c r="AG28" s="8"/>
      <c r="AH28" s="49">
        <v>41</v>
      </c>
      <c r="AI28" s="83">
        <f t="shared" si="29"/>
        <v>6</v>
      </c>
      <c r="AJ28" s="164">
        <f t="shared" si="20"/>
        <v>25</v>
      </c>
      <c r="AK28" s="52">
        <v>677</v>
      </c>
      <c r="AL28" s="16">
        <f t="shared" si="4"/>
        <v>1.4589259546590811E-2</v>
      </c>
      <c r="AM28" s="17">
        <f>IF(AND(AH28&lt;&gt;"", AK28&lt;&gt;""), SUM(AK$4:AK28), "")</f>
        <v>35196</v>
      </c>
      <c r="AN28" s="16">
        <f t="shared" si="5"/>
        <v>0.75846909749159552</v>
      </c>
      <c r="AO28" s="14"/>
      <c r="AP28" s="27">
        <v>25</v>
      </c>
      <c r="AQ28" s="20" t="e" cm="1">
        <f t="array" aca="1" ref="AQ28" ca="1">(AP28-INDIRECT(SUBSTITUTE(ADDRESS(1,COLUMN($C$9),4),"1","")&amp;SUMPRODUCT(($B$10:$D$26=INDIRECT(SUBSTITUTE(ADDRESS(1,COLUMN()-1,4),"1","")&amp;ROW()-27))*ROW($B$10:$D$26))))/INDIRECT(SUBSTITUTE(ADDRESS(1,COLUMN($D$9),4),"1","")&amp;SUMPRODUCT(($B$10:$D$26=INDIRECT(SUBSTITUTE(ADDRESS(1,COLUMN()-1,4),"1","")&amp;ROW()-27))*ROW($B$10:$D$26)))*10+50</f>
        <v>#DIV/0!</v>
      </c>
      <c r="AR28" s="8"/>
      <c r="AS28" s="49">
        <v>49</v>
      </c>
      <c r="AT28" s="83">
        <f t="shared" si="30"/>
        <v>5</v>
      </c>
      <c r="AU28" s="164">
        <f t="shared" si="21"/>
        <v>55</v>
      </c>
      <c r="AV28" s="52">
        <v>853</v>
      </c>
      <c r="AW28" s="16">
        <f t="shared" si="6"/>
        <v>2.7777777777777776E-2</v>
      </c>
      <c r="AX28" s="17">
        <f>IF(AND(AS28&lt;&gt;"", AV28&lt;&gt;""), SUM(AV$4:AV28), "")</f>
        <v>14208</v>
      </c>
      <c r="AY28" s="16">
        <f t="shared" si="7"/>
        <v>0.46268073466197734</v>
      </c>
      <c r="AZ28" s="14"/>
      <c r="BA28" s="27">
        <v>25</v>
      </c>
      <c r="BB28" s="20" t="e" cm="1">
        <f t="array" aca="1" ref="BB28" ca="1">(BA28-INDIRECT(SUBSTITUTE(ADDRESS(1,COLUMN($C$9),4),"1","")&amp;SUMPRODUCT(($B$10:$D$26=INDIRECT(SUBSTITUTE(ADDRESS(1,COLUMN()-1,4),"1","")&amp;ROW()-27))*ROW($B$10:$D$26))))/INDIRECT(SUBSTITUTE(ADDRESS(1,COLUMN($D$9),4),"1","")&amp;SUMPRODUCT(($B$10:$D$26=INDIRECT(SUBSTITUTE(ADDRESS(1,COLUMN()-1,4),"1","")&amp;ROW()-27))*ROW($B$10:$D$26)))*10+50</f>
        <v>#DIV/0!</v>
      </c>
      <c r="BC28" s="8"/>
      <c r="BD28" s="49">
        <v>45</v>
      </c>
      <c r="BE28" s="83">
        <f t="shared" si="31"/>
        <v>6</v>
      </c>
      <c r="BF28" s="164">
        <f t="shared" si="22"/>
        <v>36</v>
      </c>
      <c r="BG28" s="52">
        <v>911</v>
      </c>
      <c r="BH28" s="16">
        <f t="shared" si="8"/>
        <v>2.8080017261042443E-2</v>
      </c>
      <c r="BI28" s="17">
        <f>IF(AND(BD28&lt;&gt;"", BG28&lt;&gt;""), SUM(BG$4:BG28), "")</f>
        <v>21328</v>
      </c>
      <c r="BJ28" s="16">
        <f t="shared" si="9"/>
        <v>0.65739913078321977</v>
      </c>
      <c r="BK28" s="14"/>
      <c r="BL28" s="27">
        <v>25</v>
      </c>
      <c r="BM28" s="20" t="e" cm="1">
        <f t="array" aca="1" ref="BM28" ca="1">(BL28-INDIRECT(SUBSTITUTE(ADDRESS(1,COLUMN($C$9),4),"1","")&amp;SUMPRODUCT(($B$10:$D$26=INDIRECT(SUBSTITUTE(ADDRESS(1,COLUMN()-1,4),"1","")&amp;ROW()-27))*ROW($B$10:$D$26))))/INDIRECT(SUBSTITUTE(ADDRESS(1,COLUMN($D$9),4),"1","")&amp;SUMPRODUCT(($B$10:$D$26=INDIRECT(SUBSTITUTE(ADDRESS(1,COLUMN()-1,4),"1","")&amp;ROW()-27))*ROW($B$10:$D$26)))*10+50</f>
        <v>#DIV/0!</v>
      </c>
      <c r="BN28" s="8"/>
      <c r="BO28" s="49">
        <v>43</v>
      </c>
      <c r="BP28" s="83">
        <f t="shared" si="32"/>
        <v>6</v>
      </c>
      <c r="BQ28" s="164">
        <f t="shared" si="23"/>
        <v>35</v>
      </c>
      <c r="BR28" s="52">
        <v>2368</v>
      </c>
      <c r="BS28" s="16">
        <f t="shared" si="10"/>
        <v>4.2492104507608382E-2</v>
      </c>
      <c r="BT28" s="17">
        <f>IF(AND(BO28&lt;&gt;"", BR28&lt;&gt;""), SUM(BR$4:BR28), "")</f>
        <v>37274</v>
      </c>
      <c r="BU28" s="16">
        <f t="shared" si="11"/>
        <v>0.66885587137525127</v>
      </c>
      <c r="BV28" s="14"/>
      <c r="BW28" s="27">
        <v>25</v>
      </c>
      <c r="BX28" s="20" cm="1">
        <f t="array" aca="1" ref="BX28" ca="1">(BW28-INDIRECT(SUBSTITUTE(ADDRESS(1,COLUMN($C$9),4),"1","")&amp;SUMPRODUCT(($B$10:$D$26=INDIRECT(SUBSTITUTE(ADDRESS(1,COLUMN()-1,4),"1","")&amp;ROW()-27))*ROW($B$10:$D$26))))/INDIRECT(SUBSTITUTE(ADDRESS(1,COLUMN($D$9),4),"1","")&amp;SUMPRODUCT(($B$10:$D$26=INDIRECT(SUBSTITUTE(ADDRESS(1,COLUMN()-1,4),"1","")&amp;ROW()-27))*ROW($B$10:$D$26)))*10+50</f>
        <v>51.840888066604997</v>
      </c>
      <c r="BY28" s="8"/>
      <c r="BZ28" s="49">
        <v>50</v>
      </c>
      <c r="CA28" s="83">
        <f t="shared" si="33"/>
        <v>5</v>
      </c>
      <c r="CB28" s="164">
        <f t="shared" si="24"/>
        <v>50</v>
      </c>
      <c r="CC28" s="52">
        <v>1433</v>
      </c>
      <c r="CD28" s="16">
        <f t="shared" si="12"/>
        <v>2.663766822812105E-2</v>
      </c>
      <c r="CE28" s="17">
        <f>IF(AND(BZ28&lt;&gt;"", CC28&lt;&gt;""), SUM(CC$4:CC28), "")</f>
        <v>27428</v>
      </c>
      <c r="CF28" s="16">
        <f t="shared" si="13"/>
        <v>0.50985203360844678</v>
      </c>
      <c r="CG28" s="14"/>
      <c r="CH28" s="27">
        <v>25</v>
      </c>
      <c r="CI28" s="20" t="e" cm="1">
        <f t="array" aca="1" ref="CI28" ca="1">(CH28-INDIRECT(SUBSTITUTE(ADDRESS(1,COLUMN($C$9),4),"1","")&amp;SUMPRODUCT(($B$10:$D$26=INDIRECT(SUBSTITUTE(ADDRESS(1,COLUMN()-1,4),"1","")&amp;ROW()-27))*ROW($B$10:$D$26))))/INDIRECT(SUBSTITUTE(ADDRESS(1,COLUMN($D$9),4),"1","")&amp;SUMPRODUCT(($B$10:$D$26=INDIRECT(SUBSTITUTE(ADDRESS(1,COLUMN()-1,4),"1","")&amp;ROW()-27))*ROW($B$10:$D$26)))*10+50</f>
        <v>#DIV/0!</v>
      </c>
      <c r="CJ28" s="8"/>
      <c r="CK28" s="49">
        <v>44</v>
      </c>
      <c r="CL28" s="83">
        <f t="shared" si="34"/>
        <v>6</v>
      </c>
      <c r="CM28" s="164">
        <f t="shared" si="25"/>
        <v>33</v>
      </c>
      <c r="CN28" s="52">
        <v>2906</v>
      </c>
      <c r="CO28" s="16">
        <f t="shared" si="14"/>
        <v>2.4285272561653339E-2</v>
      </c>
      <c r="CP28" s="17">
        <f>IF(AND(CK28&lt;&gt;"", CN28&lt;&gt;""), SUM(CN$4:CN28), "")</f>
        <v>81395</v>
      </c>
      <c r="CQ28" s="16">
        <f t="shared" si="15"/>
        <v>0.68021326915202107</v>
      </c>
      <c r="CR28" s="14"/>
      <c r="CS28" s="27">
        <v>25</v>
      </c>
      <c r="CT28" s="20" t="e" cm="1">
        <f t="array" aca="1" ref="CT28" ca="1">(CS28-INDIRECT(SUBSTITUTE(ADDRESS(1,COLUMN($C$9),4),"1","")&amp;SUMPRODUCT(($B$10:$D$26=INDIRECT(SUBSTITUTE(ADDRESS(1,COLUMN()-1,4),"1","")&amp;ROW()-27))*ROW($B$10:$D$26))))/INDIRECT(SUBSTITUTE(ADDRESS(1,COLUMN($D$9),4),"1","")&amp;SUMPRODUCT(($B$10:$D$26=INDIRECT(SUBSTITUTE(ADDRESS(1,COLUMN()-1,4),"1","")&amp;ROW()-27))*ROW($B$10:$D$26)))*10+50</f>
        <v>#DIV/0!</v>
      </c>
      <c r="CU28" s="8"/>
      <c r="CV28" s="49">
        <v>45</v>
      </c>
      <c r="CW28" s="83">
        <f t="shared" si="35"/>
        <v>5</v>
      </c>
      <c r="CX28" s="164">
        <f t="shared" si="26"/>
        <v>40</v>
      </c>
      <c r="CY28" s="52">
        <v>3573</v>
      </c>
      <c r="CZ28" s="16">
        <f t="shared" si="16"/>
        <v>2.9523801654258351E-2</v>
      </c>
      <c r="DA28" s="17">
        <f>IF(AND(CV28&lt;&gt;"", CY28&lt;&gt;""), SUM(CY$4:CY28), "")</f>
        <v>73983</v>
      </c>
      <c r="DB28" s="16">
        <f t="shared" si="17"/>
        <v>0.61132365457234694</v>
      </c>
      <c r="FX28" s="28">
        <v>0</v>
      </c>
    </row>
    <row r="29" spans="1:180" ht="16" customHeight="1" x14ac:dyDescent="0.2">
      <c r="A29" s="82">
        <v>0.04</v>
      </c>
      <c r="B29" s="79">
        <v>1</v>
      </c>
      <c r="C29" s="1"/>
      <c r="D29" s="1"/>
      <c r="E29" s="1"/>
      <c r="F29" s="86"/>
      <c r="G29" s="85">
        <v>1</v>
      </c>
      <c r="H29" s="36"/>
      <c r="I29" s="86"/>
      <c r="J29" s="85">
        <v>1</v>
      </c>
      <c r="K29" s="36"/>
      <c r="L29" s="86"/>
      <c r="M29" s="85">
        <v>1</v>
      </c>
      <c r="N29"/>
      <c r="O29" s="38"/>
      <c r="P29" s="83" t="str">
        <f t="shared" si="27"/>
        <v/>
      </c>
      <c r="Q29" s="164" t="str">
        <f t="shared" si="18"/>
        <v/>
      </c>
      <c r="R29" s="43"/>
      <c r="S29" s="16" t="str">
        <f t="shared" si="0"/>
        <v/>
      </c>
      <c r="T29" s="17" t="str">
        <f>IF(AND(O29&lt;&gt;"", R29&lt;&gt;""), SUM(R$4:R29), "")</f>
        <v/>
      </c>
      <c r="U29" s="16" t="str">
        <f t="shared" si="1"/>
        <v/>
      </c>
      <c r="W29" s="38">
        <v>122</v>
      </c>
      <c r="X29" s="83">
        <f t="shared" si="28"/>
        <v>3</v>
      </c>
      <c r="Y29" s="164">
        <f t="shared" si="19"/>
        <v>83</v>
      </c>
      <c r="Z29" s="43">
        <v>8180</v>
      </c>
      <c r="AA29" s="16">
        <f t="shared" si="2"/>
        <v>2.1105592465974328E-2</v>
      </c>
      <c r="AB29" s="17">
        <f>IF(AND(W29&lt;&gt;"", Z29&lt;&gt;""), SUM(Z$4:Z29), "")</f>
        <v>69072</v>
      </c>
      <c r="AC29" s="16">
        <f t="shared" si="3"/>
        <v>0.17821582919434947</v>
      </c>
      <c r="AD29" s="1"/>
      <c r="AE29" s="19">
        <v>24</v>
      </c>
      <c r="AF29" s="20" t="e" cm="1">
        <f t="array" aca="1" ref="AF29" ca="1">(AE29-INDIRECT(SUBSTITUTE(ADDRESS(1,COLUMN($C$9),4),"1","")&amp;SUMPRODUCT(($B$10:$D$26=INDIRECT(SUBSTITUTE(ADDRESS(1,COLUMN()-1,4),"1","")&amp;ROW()-28))*ROW($B$10:$D$26))))/INDIRECT(SUBSTITUTE(ADDRESS(1,COLUMN($D$9),4),"1","")&amp;SUMPRODUCT(($B$10:$D$26=INDIRECT(SUBSTITUTE(ADDRESS(1,COLUMN()-1,4),"1","")&amp;ROW()-28))*ROW($B$10:$D$26)))*10+50</f>
        <v>#DIV/0!</v>
      </c>
      <c r="AG29" s="8"/>
      <c r="AH29" s="49">
        <v>40</v>
      </c>
      <c r="AI29" s="83">
        <f t="shared" si="29"/>
        <v>6</v>
      </c>
      <c r="AJ29" s="164">
        <f t="shared" si="20"/>
        <v>24</v>
      </c>
      <c r="AK29" s="52">
        <v>570</v>
      </c>
      <c r="AL29" s="16">
        <f t="shared" si="4"/>
        <v>1.2283423842772175E-2</v>
      </c>
      <c r="AM29" s="17">
        <f>IF(AND(AH29&lt;&gt;"", AK29&lt;&gt;""), SUM(AK$4:AK29), "")</f>
        <v>35766</v>
      </c>
      <c r="AN29" s="16">
        <f t="shared" si="5"/>
        <v>0.77075252133436778</v>
      </c>
      <c r="AO29" s="14"/>
      <c r="AP29" s="27">
        <v>24</v>
      </c>
      <c r="AQ29" s="20" t="e" cm="1">
        <f t="array" aca="1" ref="AQ29" ca="1">(AP29-INDIRECT(SUBSTITUTE(ADDRESS(1,COLUMN($C$9),4),"1","")&amp;SUMPRODUCT(($B$10:$D$26=INDIRECT(SUBSTITUTE(ADDRESS(1,COLUMN()-1,4),"1","")&amp;ROW()-28))*ROW($B$10:$D$26))))/INDIRECT(SUBSTITUTE(ADDRESS(1,COLUMN($D$9),4),"1","")&amp;SUMPRODUCT(($B$10:$D$26=INDIRECT(SUBSTITUTE(ADDRESS(1,COLUMN()-1,4),"1","")&amp;ROW()-28))*ROW($B$10:$D$26)))*10+50</f>
        <v>#DIV/0!</v>
      </c>
      <c r="AR29" s="8"/>
      <c r="AS29" s="49">
        <v>48</v>
      </c>
      <c r="AT29" s="83">
        <f t="shared" si="30"/>
        <v>5</v>
      </c>
      <c r="AU29" s="164">
        <f t="shared" si="21"/>
        <v>52</v>
      </c>
      <c r="AV29" s="52">
        <v>806</v>
      </c>
      <c r="AW29" s="16">
        <f t="shared" si="6"/>
        <v>2.624723199166341E-2</v>
      </c>
      <c r="AX29" s="17">
        <f>IF(AND(AS29&lt;&gt;"", AV29&lt;&gt;""), SUM(AV$4:AV29), "")</f>
        <v>15014</v>
      </c>
      <c r="AY29" s="16">
        <f t="shared" si="7"/>
        <v>0.48892796665364074</v>
      </c>
      <c r="AZ29" s="14"/>
      <c r="BA29" s="27">
        <v>24</v>
      </c>
      <c r="BB29" s="20" t="e" cm="1">
        <f t="array" aca="1" ref="BB29" ca="1">(BA29-INDIRECT(SUBSTITUTE(ADDRESS(1,COLUMN($C$9),4),"1","")&amp;SUMPRODUCT(($B$10:$D$26=INDIRECT(SUBSTITUTE(ADDRESS(1,COLUMN()-1,4),"1","")&amp;ROW()-28))*ROW($B$10:$D$26))))/INDIRECT(SUBSTITUTE(ADDRESS(1,COLUMN($D$9),4),"1","")&amp;SUMPRODUCT(($B$10:$D$26=INDIRECT(SUBSTITUTE(ADDRESS(1,COLUMN()-1,4),"1","")&amp;ROW()-28))*ROW($B$10:$D$26)))*10+50</f>
        <v>#DIV/0!</v>
      </c>
      <c r="BC29" s="8"/>
      <c r="BD29" s="49">
        <v>44</v>
      </c>
      <c r="BE29" s="83">
        <f t="shared" si="31"/>
        <v>6</v>
      </c>
      <c r="BF29" s="164">
        <f t="shared" si="22"/>
        <v>33</v>
      </c>
      <c r="BG29" s="52">
        <v>945</v>
      </c>
      <c r="BH29" s="16">
        <f t="shared" si="8"/>
        <v>2.9128009123693864E-2</v>
      </c>
      <c r="BI29" s="17">
        <f>IF(AND(BD29&lt;&gt;"", BG29&lt;&gt;""), SUM(BG$4:BG29), "")</f>
        <v>22273</v>
      </c>
      <c r="BJ29" s="16">
        <f t="shared" si="9"/>
        <v>0.68652713990691372</v>
      </c>
      <c r="BK29" s="14"/>
      <c r="BL29" s="27">
        <v>24</v>
      </c>
      <c r="BM29" s="20" t="e" cm="1">
        <f t="array" aca="1" ref="BM29" ca="1">(BL29-INDIRECT(SUBSTITUTE(ADDRESS(1,COLUMN($C$9),4),"1","")&amp;SUMPRODUCT(($B$10:$D$26=INDIRECT(SUBSTITUTE(ADDRESS(1,COLUMN()-1,4),"1","")&amp;ROW()-28))*ROW($B$10:$D$26))))/INDIRECT(SUBSTITUTE(ADDRESS(1,COLUMN($D$9),4),"1","")&amp;SUMPRODUCT(($B$10:$D$26=INDIRECT(SUBSTITUTE(ADDRESS(1,COLUMN()-1,4),"1","")&amp;ROW()-28))*ROW($B$10:$D$26)))*10+50</f>
        <v>#DIV/0!</v>
      </c>
      <c r="BN29" s="8"/>
      <c r="BO29" s="49">
        <v>42</v>
      </c>
      <c r="BP29" s="83">
        <f t="shared" si="32"/>
        <v>6</v>
      </c>
      <c r="BQ29" s="164">
        <f t="shared" si="23"/>
        <v>32</v>
      </c>
      <c r="BR29" s="52">
        <v>1201</v>
      </c>
      <c r="BS29" s="16">
        <f t="shared" si="10"/>
        <v>2.1551105368934825E-2</v>
      </c>
      <c r="BT29" s="17">
        <f>IF(AND(BO29&lt;&gt;"", BR29&lt;&gt;""), SUM(BR$4:BR29), "")</f>
        <v>38475</v>
      </c>
      <c r="BU29" s="16">
        <f t="shared" si="11"/>
        <v>0.69040697674418605</v>
      </c>
      <c r="BV29" s="14"/>
      <c r="BW29" s="27">
        <v>24</v>
      </c>
      <c r="BX29" s="20" cm="1">
        <f t="array" aca="1" ref="BX29" ca="1">(BW29-INDIRECT(SUBSTITUTE(ADDRESS(1,COLUMN($C$9),4),"1","")&amp;SUMPRODUCT(($B$10:$D$26=INDIRECT(SUBSTITUTE(ADDRESS(1,COLUMN()-1,4),"1","")&amp;ROW()-28))*ROW($B$10:$D$26))))/INDIRECT(SUBSTITUTE(ADDRESS(1,COLUMN($D$9),4),"1","")&amp;SUMPRODUCT(($B$10:$D$26=INDIRECT(SUBSTITUTE(ADDRESS(1,COLUMN()-1,4),"1","")&amp;ROW()-28))*ROW($B$10:$D$26)))*10+50</f>
        <v>50.915818686401479</v>
      </c>
      <c r="BY29" s="8"/>
      <c r="BZ29" s="49">
        <v>49</v>
      </c>
      <c r="CA29" s="83">
        <f t="shared" si="33"/>
        <v>5</v>
      </c>
      <c r="CB29" s="164">
        <f t="shared" si="24"/>
        <v>48</v>
      </c>
      <c r="CC29" s="52">
        <v>1311</v>
      </c>
      <c r="CD29" s="16">
        <f t="shared" si="12"/>
        <v>2.436984162391256E-2</v>
      </c>
      <c r="CE29" s="17">
        <f>IF(AND(BZ29&lt;&gt;"", CC29&lt;&gt;""), SUM(CC$4:CC29), "")</f>
        <v>28739</v>
      </c>
      <c r="CF29" s="16">
        <f t="shared" si="13"/>
        <v>0.53422187523235931</v>
      </c>
      <c r="CG29" s="14"/>
      <c r="CH29" s="27">
        <v>24</v>
      </c>
      <c r="CI29" s="20" t="e" cm="1">
        <f t="array" aca="1" ref="CI29" ca="1">(CH29-INDIRECT(SUBSTITUTE(ADDRESS(1,COLUMN($C$9),4),"1","")&amp;SUMPRODUCT(($B$10:$D$26=INDIRECT(SUBSTITUTE(ADDRESS(1,COLUMN()-1,4),"1","")&amp;ROW()-28))*ROW($B$10:$D$26))))/INDIRECT(SUBSTITUTE(ADDRESS(1,COLUMN($D$9),4),"1","")&amp;SUMPRODUCT(($B$10:$D$26=INDIRECT(SUBSTITUTE(ADDRESS(1,COLUMN()-1,4),"1","")&amp;ROW()-28))*ROW($B$10:$D$26)))*10+50</f>
        <v>#DIV/0!</v>
      </c>
      <c r="CJ29" s="8"/>
      <c r="CK29" s="49">
        <v>43</v>
      </c>
      <c r="CL29" s="83">
        <f t="shared" si="34"/>
        <v>6</v>
      </c>
      <c r="CM29" s="164">
        <f t="shared" si="25"/>
        <v>29</v>
      </c>
      <c r="CN29" s="52">
        <v>6058</v>
      </c>
      <c r="CO29" s="16">
        <f t="shared" si="14"/>
        <v>5.0626352779936656E-2</v>
      </c>
      <c r="CP29" s="17">
        <f>IF(AND(CK29&lt;&gt;"", CN29&lt;&gt;""), SUM(CN$4:CN29), "")</f>
        <v>87453</v>
      </c>
      <c r="CQ29" s="16">
        <f t="shared" si="15"/>
        <v>0.73083962193195773</v>
      </c>
      <c r="CR29" s="14"/>
      <c r="CS29" s="27">
        <v>24</v>
      </c>
      <c r="CT29" s="20" t="e" cm="1">
        <f t="array" aca="1" ref="CT29" ca="1">(CS29-INDIRECT(SUBSTITUTE(ADDRESS(1,COLUMN($C$9),4),"1","")&amp;SUMPRODUCT(($B$10:$D$26=INDIRECT(SUBSTITUTE(ADDRESS(1,COLUMN()-1,4),"1","")&amp;ROW()-28))*ROW($B$10:$D$26))))/INDIRECT(SUBSTITUTE(ADDRESS(1,COLUMN($D$9),4),"1","")&amp;SUMPRODUCT(($B$10:$D$26=INDIRECT(SUBSTITUTE(ADDRESS(1,COLUMN()-1,4),"1","")&amp;ROW()-28))*ROW($B$10:$D$26)))*10+50</f>
        <v>#DIV/0!</v>
      </c>
      <c r="CU29" s="8"/>
      <c r="CV29" s="49">
        <v>44</v>
      </c>
      <c r="CW29" s="83">
        <f t="shared" si="35"/>
        <v>6</v>
      </c>
      <c r="CX29" s="164">
        <f t="shared" si="26"/>
        <v>37</v>
      </c>
      <c r="CY29" s="52">
        <v>3375</v>
      </c>
      <c r="CZ29" s="16">
        <f t="shared" si="16"/>
        <v>2.7887721965609274E-2</v>
      </c>
      <c r="DA29" s="17">
        <f>IF(AND(CV29&lt;&gt;"", CY29&lt;&gt;""), SUM(CY$4:CY29), "")</f>
        <v>77358</v>
      </c>
      <c r="DB29" s="16">
        <f t="shared" si="17"/>
        <v>0.63921137653795623</v>
      </c>
      <c r="FX29" s="28">
        <v>0</v>
      </c>
    </row>
    <row r="30" spans="1:180" ht="16" customHeight="1" x14ac:dyDescent="0.2">
      <c r="A30" s="82">
        <v>0.11</v>
      </c>
      <c r="B30" s="80">
        <v>2</v>
      </c>
      <c r="C30" s="1"/>
      <c r="D30" s="1"/>
      <c r="E30" s="1"/>
      <c r="F30" s="86"/>
      <c r="G30" s="85">
        <v>2</v>
      </c>
      <c r="H30" s="36"/>
      <c r="I30" s="86"/>
      <c r="J30" s="85">
        <v>2</v>
      </c>
      <c r="K30" s="36"/>
      <c r="L30" s="86"/>
      <c r="M30" s="85">
        <v>2</v>
      </c>
      <c r="N30"/>
      <c r="O30" s="38"/>
      <c r="P30" s="83" t="str">
        <f t="shared" si="27"/>
        <v/>
      </c>
      <c r="Q30" s="164" t="str">
        <f t="shared" si="18"/>
        <v/>
      </c>
      <c r="R30" s="43"/>
      <c r="S30" s="16" t="str">
        <f t="shared" si="0"/>
        <v/>
      </c>
      <c r="T30" s="17" t="str">
        <f>IF(AND(O30&lt;&gt;"", R30&lt;&gt;""), SUM(R$4:R30), "")</f>
        <v/>
      </c>
      <c r="U30" s="16" t="str">
        <f t="shared" si="1"/>
        <v/>
      </c>
      <c r="W30" s="38">
        <v>121</v>
      </c>
      <c r="X30" s="83">
        <f t="shared" si="28"/>
        <v>3</v>
      </c>
      <c r="Y30" s="164">
        <f t="shared" si="19"/>
        <v>81</v>
      </c>
      <c r="Z30" s="43">
        <v>6258</v>
      </c>
      <c r="AA30" s="16">
        <f t="shared" si="2"/>
        <v>1.614655228020383E-2</v>
      </c>
      <c r="AB30" s="17">
        <f>IF(AND(W30&lt;&gt;"", Z30&lt;&gt;""), SUM(Z$4:Z30), "")</f>
        <v>75330</v>
      </c>
      <c r="AC30" s="16">
        <f t="shared" si="3"/>
        <v>0.19436238147455331</v>
      </c>
      <c r="AD30" s="1"/>
      <c r="AE30" s="19">
        <v>23</v>
      </c>
      <c r="AF30" s="20" t="e" cm="1">
        <f t="array" aca="1" ref="AF30" ca="1">(AE30-INDIRECT(SUBSTITUTE(ADDRESS(1,COLUMN($C$9),4),"1","")&amp;SUMPRODUCT(($B$10:$D$26=INDIRECT(SUBSTITUTE(ADDRESS(1,COLUMN()-1,4),"1","")&amp;ROW()-29))*ROW($B$10:$D$26))))/INDIRECT(SUBSTITUTE(ADDRESS(1,COLUMN($D$9),4),"1","")&amp;SUMPRODUCT(($B$10:$D$26=INDIRECT(SUBSTITUTE(ADDRESS(1,COLUMN()-1,4),"1","")&amp;ROW()-29))*ROW($B$10:$D$26)))*10+50</f>
        <v>#DIV/0!</v>
      </c>
      <c r="AG30" s="8"/>
      <c r="AH30" s="49">
        <v>39</v>
      </c>
      <c r="AI30" s="83">
        <f t="shared" si="29"/>
        <v>7</v>
      </c>
      <c r="AJ30" s="164">
        <f t="shared" si="20"/>
        <v>22</v>
      </c>
      <c r="AK30" s="52">
        <v>673</v>
      </c>
      <c r="AL30" s="16">
        <f t="shared" si="4"/>
        <v>1.4503060081027497E-2</v>
      </c>
      <c r="AM30" s="17">
        <f>IF(AND(AH30&lt;&gt;"", AK30&lt;&gt;""), SUM(AK$4:AK30), "")</f>
        <v>36439</v>
      </c>
      <c r="AN30" s="16">
        <f t="shared" si="5"/>
        <v>0.7852555814153952</v>
      </c>
      <c r="AO30" s="14"/>
      <c r="AP30" s="27">
        <v>23</v>
      </c>
      <c r="AQ30" s="20" t="e" cm="1">
        <f t="array" aca="1" ref="AQ30" ca="1">(AP30-INDIRECT(SUBSTITUTE(ADDRESS(1,COLUMN($C$9),4),"1","")&amp;SUMPRODUCT(($B$10:$D$26=INDIRECT(SUBSTITUTE(ADDRESS(1,COLUMN()-1,4),"1","")&amp;ROW()-29))*ROW($B$10:$D$26))))/INDIRECT(SUBSTITUTE(ADDRESS(1,COLUMN($D$9),4),"1","")&amp;SUMPRODUCT(($B$10:$D$26=INDIRECT(SUBSTITUTE(ADDRESS(1,COLUMN()-1,4),"1","")&amp;ROW()-29))*ROW($B$10:$D$26)))*10+50</f>
        <v>#DIV/0!</v>
      </c>
      <c r="AR30" s="8"/>
      <c r="AS30" s="49">
        <v>47</v>
      </c>
      <c r="AT30" s="83">
        <f t="shared" si="30"/>
        <v>5</v>
      </c>
      <c r="AU30" s="164">
        <f t="shared" si="21"/>
        <v>50</v>
      </c>
      <c r="AV30" s="52">
        <v>871</v>
      </c>
      <c r="AW30" s="16">
        <f t="shared" si="6"/>
        <v>2.8363944249055622E-2</v>
      </c>
      <c r="AX30" s="17">
        <f>IF(AND(AS30&lt;&gt;"", AV30&lt;&gt;""), SUM(AV$4:AV30), "")</f>
        <v>15885</v>
      </c>
      <c r="AY30" s="16">
        <f t="shared" si="7"/>
        <v>0.51729191090269633</v>
      </c>
      <c r="AZ30" s="14"/>
      <c r="BA30" s="27">
        <v>23</v>
      </c>
      <c r="BB30" s="20" t="e" cm="1">
        <f t="array" aca="1" ref="BB30" ca="1">(BA30-INDIRECT(SUBSTITUTE(ADDRESS(1,COLUMN($C$9),4),"1","")&amp;SUMPRODUCT(($B$10:$D$26=INDIRECT(SUBSTITUTE(ADDRESS(1,COLUMN()-1,4),"1","")&amp;ROW()-29))*ROW($B$10:$D$26))))/INDIRECT(SUBSTITUTE(ADDRESS(1,COLUMN($D$9),4),"1","")&amp;SUMPRODUCT(($B$10:$D$26=INDIRECT(SUBSTITUTE(ADDRESS(1,COLUMN()-1,4),"1","")&amp;ROW()-29))*ROW($B$10:$D$26)))*10+50</f>
        <v>#DIV/0!</v>
      </c>
      <c r="BC30" s="8"/>
      <c r="BD30" s="49">
        <v>43</v>
      </c>
      <c r="BE30" s="83">
        <f t="shared" si="31"/>
        <v>6</v>
      </c>
      <c r="BF30" s="164">
        <f t="shared" si="22"/>
        <v>30</v>
      </c>
      <c r="BG30" s="52">
        <v>963</v>
      </c>
      <c r="BH30" s="16">
        <f t="shared" si="8"/>
        <v>2.9682828345097556E-2</v>
      </c>
      <c r="BI30" s="17">
        <f>IF(AND(BD30&lt;&gt;"", BG30&lt;&gt;""), SUM(BG$4:BG30), "")</f>
        <v>23236</v>
      </c>
      <c r="BJ30" s="16">
        <f t="shared" si="9"/>
        <v>0.71620996825201122</v>
      </c>
      <c r="BK30" s="14"/>
      <c r="BL30" s="27">
        <v>23</v>
      </c>
      <c r="BM30" s="20" t="e" cm="1">
        <f t="array" aca="1" ref="BM30" ca="1">(BL30-INDIRECT(SUBSTITUTE(ADDRESS(1,COLUMN($C$9),4),"1","")&amp;SUMPRODUCT(($B$10:$D$26=INDIRECT(SUBSTITUTE(ADDRESS(1,COLUMN()-1,4),"1","")&amp;ROW()-29))*ROW($B$10:$D$26))))/INDIRECT(SUBSTITUTE(ADDRESS(1,COLUMN($D$9),4),"1","")&amp;SUMPRODUCT(($B$10:$D$26=INDIRECT(SUBSTITUTE(ADDRESS(1,COLUMN()-1,4),"1","")&amp;ROW()-29))*ROW($B$10:$D$26)))*10+50</f>
        <v>#DIV/0!</v>
      </c>
      <c r="BN30" s="8"/>
      <c r="BO30" s="49">
        <v>41</v>
      </c>
      <c r="BP30" s="83">
        <f t="shared" si="32"/>
        <v>6</v>
      </c>
      <c r="BQ30" s="164">
        <f t="shared" si="23"/>
        <v>30</v>
      </c>
      <c r="BR30" s="52">
        <v>1273</v>
      </c>
      <c r="BS30" s="16">
        <f t="shared" si="10"/>
        <v>2.2843095033017513E-2</v>
      </c>
      <c r="BT30" s="17">
        <f>IF(AND(BO30&lt;&gt;"", BR30&lt;&gt;""), SUM(BR$4:BR30), "")</f>
        <v>39748</v>
      </c>
      <c r="BU30" s="16">
        <f t="shared" si="11"/>
        <v>0.71325007177720356</v>
      </c>
      <c r="BV30" s="14"/>
      <c r="BW30" s="27">
        <v>23</v>
      </c>
      <c r="BX30" s="20" cm="1">
        <f t="array" aca="1" ref="BX30" ca="1">(BW30-INDIRECT(SUBSTITUTE(ADDRESS(1,COLUMN($C$9),4),"1","")&amp;SUMPRODUCT(($B$10:$D$26=INDIRECT(SUBSTITUTE(ADDRESS(1,COLUMN()-1,4),"1","")&amp;ROW()-29))*ROW($B$10:$D$26))))/INDIRECT(SUBSTITUTE(ADDRESS(1,COLUMN($D$9),4),"1","")&amp;SUMPRODUCT(($B$10:$D$26=INDIRECT(SUBSTITUTE(ADDRESS(1,COLUMN()-1,4),"1","")&amp;ROW()-29))*ROW($B$10:$D$26)))*10+50</f>
        <v>49.990749306197962</v>
      </c>
      <c r="BY30" s="8"/>
      <c r="BZ30" s="49">
        <v>48</v>
      </c>
      <c r="CA30" s="83">
        <f t="shared" si="33"/>
        <v>5</v>
      </c>
      <c r="CB30" s="164">
        <f t="shared" si="24"/>
        <v>45</v>
      </c>
      <c r="CC30" s="52">
        <v>1530</v>
      </c>
      <c r="CD30" s="16">
        <f t="shared" si="12"/>
        <v>2.8440776265893374E-2</v>
      </c>
      <c r="CE30" s="17">
        <f>IF(AND(BZ30&lt;&gt;"", CC30&lt;&gt;""), SUM(CC$4:CC30), "")</f>
        <v>30269</v>
      </c>
      <c r="CF30" s="16">
        <f t="shared" si="13"/>
        <v>0.56266265149825267</v>
      </c>
      <c r="CG30" s="14"/>
      <c r="CH30" s="27">
        <v>23</v>
      </c>
      <c r="CI30" s="20" t="e" cm="1">
        <f t="array" aca="1" ref="CI30" ca="1">(CH30-INDIRECT(SUBSTITUTE(ADDRESS(1,COLUMN($C$9),4),"1","")&amp;SUMPRODUCT(($B$10:$D$26=INDIRECT(SUBSTITUTE(ADDRESS(1,COLUMN()-1,4),"1","")&amp;ROW()-29))*ROW($B$10:$D$26))))/INDIRECT(SUBSTITUTE(ADDRESS(1,COLUMN($D$9),4),"1","")&amp;SUMPRODUCT(($B$10:$D$26=INDIRECT(SUBSTITUTE(ADDRESS(1,COLUMN()-1,4),"1","")&amp;ROW()-29))*ROW($B$10:$D$26)))*10+50</f>
        <v>#DIV/0!</v>
      </c>
      <c r="CJ30" s="8"/>
      <c r="CK30" s="49">
        <v>42</v>
      </c>
      <c r="CL30" s="83">
        <f t="shared" si="34"/>
        <v>6</v>
      </c>
      <c r="CM30" s="164">
        <f t="shared" si="25"/>
        <v>26</v>
      </c>
      <c r="CN30" s="52">
        <v>2950</v>
      </c>
      <c r="CO30" s="16">
        <f t="shared" si="14"/>
        <v>2.4652977996172519E-2</v>
      </c>
      <c r="CP30" s="17">
        <f>IF(AND(CK30&lt;&gt;"", CN30&lt;&gt;""), SUM(CN$4:CN30), "")</f>
        <v>90403</v>
      </c>
      <c r="CQ30" s="16">
        <f t="shared" si="15"/>
        <v>0.75549259992813034</v>
      </c>
      <c r="CR30" s="14"/>
      <c r="CS30" s="27">
        <v>23</v>
      </c>
      <c r="CT30" s="20" t="e" cm="1">
        <f t="array" aca="1" ref="CT30" ca="1">(CS30-INDIRECT(SUBSTITUTE(ADDRESS(1,COLUMN($C$9),4),"1","")&amp;SUMPRODUCT(($B$10:$D$26=INDIRECT(SUBSTITUTE(ADDRESS(1,COLUMN()-1,4),"1","")&amp;ROW()-29))*ROW($B$10:$D$26))))/INDIRECT(SUBSTITUTE(ADDRESS(1,COLUMN($D$9),4),"1","")&amp;SUMPRODUCT(($B$10:$D$26=INDIRECT(SUBSTITUTE(ADDRESS(1,COLUMN()-1,4),"1","")&amp;ROW()-29))*ROW($B$10:$D$26)))*10+50</f>
        <v>#DIV/0!</v>
      </c>
      <c r="CU30" s="8"/>
      <c r="CV30" s="49">
        <v>43</v>
      </c>
      <c r="CW30" s="83">
        <f t="shared" si="35"/>
        <v>6</v>
      </c>
      <c r="CX30" s="164">
        <f t="shared" si="26"/>
        <v>34</v>
      </c>
      <c r="CY30" s="52">
        <v>4115</v>
      </c>
      <c r="CZ30" s="16">
        <f t="shared" si="16"/>
        <v>3.4002363226216935E-2</v>
      </c>
      <c r="DA30" s="17">
        <f>IF(AND(CV30&lt;&gt;"", CY30&lt;&gt;""), SUM(CY$4:CY30), "")</f>
        <v>81473</v>
      </c>
      <c r="DB30" s="16">
        <f t="shared" si="17"/>
        <v>0.6732137397641732</v>
      </c>
      <c r="FX30" s="28">
        <v>0</v>
      </c>
    </row>
    <row r="31" spans="1:180" ht="16" customHeight="1" x14ac:dyDescent="0.2">
      <c r="A31" s="82">
        <v>0.23</v>
      </c>
      <c r="B31" s="80">
        <v>3</v>
      </c>
      <c r="C31" s="1"/>
      <c r="D31" s="1"/>
      <c r="E31" s="1"/>
      <c r="F31" s="86"/>
      <c r="G31" s="85">
        <v>3</v>
      </c>
      <c r="H31" s="36"/>
      <c r="I31" s="86"/>
      <c r="J31" s="85">
        <v>3</v>
      </c>
      <c r="K31" s="36"/>
      <c r="L31" s="86"/>
      <c r="M31" s="85">
        <v>3</v>
      </c>
      <c r="N31"/>
      <c r="O31" s="38"/>
      <c r="P31" s="83" t="str">
        <f t="shared" si="27"/>
        <v/>
      </c>
      <c r="Q31" s="164" t="str">
        <f t="shared" si="18"/>
        <v/>
      </c>
      <c r="R31" s="43"/>
      <c r="S31" s="16" t="str">
        <f t="shared" si="0"/>
        <v/>
      </c>
      <c r="T31" s="17" t="str">
        <f>IF(AND(O31&lt;&gt;"", R31&lt;&gt;""), SUM(R$4:R31), "")</f>
        <v/>
      </c>
      <c r="U31" s="16" t="str">
        <f t="shared" si="1"/>
        <v/>
      </c>
      <c r="W31" s="38">
        <v>120</v>
      </c>
      <c r="X31" s="83">
        <f t="shared" si="28"/>
        <v>3</v>
      </c>
      <c r="Y31" s="164">
        <f t="shared" si="19"/>
        <v>80</v>
      </c>
      <c r="Z31" s="43">
        <v>4335</v>
      </c>
      <c r="AA31" s="16">
        <f t="shared" si="2"/>
        <v>1.1184931948655099E-2</v>
      </c>
      <c r="AB31" s="17">
        <f>IF(AND(W31&lt;&gt;"", Z31&lt;&gt;""), SUM(Z$4:Z31), "")</f>
        <v>79665</v>
      </c>
      <c r="AC31" s="16">
        <f t="shared" si="3"/>
        <v>0.20554731342320842</v>
      </c>
      <c r="AD31" s="1"/>
      <c r="AE31" s="19">
        <v>22</v>
      </c>
      <c r="AF31" s="20" t="e" cm="1">
        <f t="array" aca="1" ref="AF31" ca="1">(AE31-INDIRECT(SUBSTITUTE(ADDRESS(1,COLUMN($C$9),4),"1","")&amp;SUMPRODUCT(($B$10:$D$26=INDIRECT(SUBSTITUTE(ADDRESS(1,COLUMN()-1,4),"1","")&amp;ROW()-30))*ROW($B$10:$D$26))))/INDIRECT(SUBSTITUTE(ADDRESS(1,COLUMN($D$9),4),"1","")&amp;SUMPRODUCT(($B$10:$D$26=INDIRECT(SUBSTITUTE(ADDRESS(1,COLUMN()-1,4),"1","")&amp;ROW()-30))*ROW($B$10:$D$26)))*10+50</f>
        <v>#DIV/0!</v>
      </c>
      <c r="AG31" s="8"/>
      <c r="AH31" s="49">
        <v>38</v>
      </c>
      <c r="AI31" s="83">
        <f t="shared" si="29"/>
        <v>7</v>
      </c>
      <c r="AJ31" s="164">
        <f t="shared" si="20"/>
        <v>20</v>
      </c>
      <c r="AK31" s="52">
        <v>1236</v>
      </c>
      <c r="AL31" s="16">
        <f t="shared" si="4"/>
        <v>2.6635634859063874E-2</v>
      </c>
      <c r="AM31" s="17">
        <f>IF(AND(AH31&lt;&gt;"", AK31&lt;&gt;""), SUM(AK$4:AK31), "")</f>
        <v>37675</v>
      </c>
      <c r="AN31" s="16">
        <f t="shared" si="5"/>
        <v>0.81189121627445915</v>
      </c>
      <c r="AO31" s="14"/>
      <c r="AP31" s="27">
        <v>22</v>
      </c>
      <c r="AQ31" s="20" t="e" cm="1">
        <f t="array" aca="1" ref="AQ31" ca="1">(AP31-INDIRECT(SUBSTITUTE(ADDRESS(1,COLUMN($C$9),4),"1","")&amp;SUMPRODUCT(($B$10:$D$26=INDIRECT(SUBSTITUTE(ADDRESS(1,COLUMN()-1,4),"1","")&amp;ROW()-30))*ROW($B$10:$D$26))))/INDIRECT(SUBSTITUTE(ADDRESS(1,COLUMN($D$9),4),"1","")&amp;SUMPRODUCT(($B$10:$D$26=INDIRECT(SUBSTITUTE(ADDRESS(1,COLUMN()-1,4),"1","")&amp;ROW()-30))*ROW($B$10:$D$26)))*10+50</f>
        <v>#DIV/0!</v>
      </c>
      <c r="AR31" s="8"/>
      <c r="AS31" s="49">
        <v>46</v>
      </c>
      <c r="AT31" s="83">
        <f t="shared" si="30"/>
        <v>5</v>
      </c>
      <c r="AU31" s="164">
        <f t="shared" si="21"/>
        <v>47</v>
      </c>
      <c r="AV31" s="52">
        <v>1010</v>
      </c>
      <c r="AW31" s="16">
        <f t="shared" si="6"/>
        <v>3.2890451999478966E-2</v>
      </c>
      <c r="AX31" s="17">
        <f>IF(AND(AS31&lt;&gt;"", AV31&lt;&gt;""), SUM(AV$4:AV31), "")</f>
        <v>16895</v>
      </c>
      <c r="AY31" s="16">
        <f t="shared" si="7"/>
        <v>0.55018236290217537</v>
      </c>
      <c r="AZ31" s="14"/>
      <c r="BA31" s="27">
        <v>22</v>
      </c>
      <c r="BB31" s="20" t="e" cm="1">
        <f t="array" aca="1" ref="BB31" ca="1">(BA31-INDIRECT(SUBSTITUTE(ADDRESS(1,COLUMN($C$9),4),"1","")&amp;SUMPRODUCT(($B$10:$D$26=INDIRECT(SUBSTITUTE(ADDRESS(1,COLUMN()-1,4),"1","")&amp;ROW()-30))*ROW($B$10:$D$26))))/INDIRECT(SUBSTITUTE(ADDRESS(1,COLUMN($D$9),4),"1","")&amp;SUMPRODUCT(($B$10:$D$26=INDIRECT(SUBSTITUTE(ADDRESS(1,COLUMN()-1,4),"1","")&amp;ROW()-30))*ROW($B$10:$D$26)))*10+50</f>
        <v>#DIV/0!</v>
      </c>
      <c r="BC31" s="8"/>
      <c r="BD31" s="49">
        <v>42</v>
      </c>
      <c r="BE31" s="83">
        <f t="shared" si="31"/>
        <v>6</v>
      </c>
      <c r="BF31" s="164">
        <f t="shared" si="22"/>
        <v>26</v>
      </c>
      <c r="BG31" s="52">
        <v>1758</v>
      </c>
      <c r="BH31" s="16">
        <f t="shared" si="8"/>
        <v>5.4187343957093979E-2</v>
      </c>
      <c r="BI31" s="17">
        <f>IF(AND(BD31&lt;&gt;"", BG31&lt;&gt;""), SUM(BG$4:BG31), "")</f>
        <v>24994</v>
      </c>
      <c r="BJ31" s="16">
        <f t="shared" si="9"/>
        <v>0.77039731220910523</v>
      </c>
      <c r="BK31" s="14"/>
      <c r="BL31" s="27">
        <v>22</v>
      </c>
      <c r="BM31" s="20" t="e" cm="1">
        <f t="array" aca="1" ref="BM31" ca="1">(BL31-INDIRECT(SUBSTITUTE(ADDRESS(1,COLUMN($C$9),4),"1","")&amp;SUMPRODUCT(($B$10:$D$26=INDIRECT(SUBSTITUTE(ADDRESS(1,COLUMN()-1,4),"1","")&amp;ROW()-30))*ROW($B$10:$D$26))))/INDIRECT(SUBSTITUTE(ADDRESS(1,COLUMN($D$9),4),"1","")&amp;SUMPRODUCT(($B$10:$D$26=INDIRECT(SUBSTITUTE(ADDRESS(1,COLUMN()-1,4),"1","")&amp;ROW()-30))*ROW($B$10:$D$26)))*10+50</f>
        <v>#DIV/0!</v>
      </c>
      <c r="BN31" s="8"/>
      <c r="BO31" s="49">
        <v>40</v>
      </c>
      <c r="BP31" s="83">
        <f t="shared" si="32"/>
        <v>6</v>
      </c>
      <c r="BQ31" s="164">
        <f t="shared" si="23"/>
        <v>26</v>
      </c>
      <c r="BR31" s="52">
        <v>2739</v>
      </c>
      <c r="BS31" s="16">
        <f t="shared" si="10"/>
        <v>4.9149440137812229E-2</v>
      </c>
      <c r="BT31" s="17">
        <f>IF(AND(BO31&lt;&gt;"", BR31&lt;&gt;""), SUM(BR$4:BR31), "")</f>
        <v>42487</v>
      </c>
      <c r="BU31" s="16">
        <f t="shared" si="11"/>
        <v>0.76239951191501576</v>
      </c>
      <c r="BV31" s="14"/>
      <c r="BW31" s="27">
        <v>22</v>
      </c>
      <c r="BX31" s="20" cm="1">
        <f t="array" aca="1" ref="BX31" ca="1">(BW31-INDIRECT(SUBSTITUTE(ADDRESS(1,COLUMN($C$9),4),"1","")&amp;SUMPRODUCT(($B$10:$D$26=INDIRECT(SUBSTITUTE(ADDRESS(1,COLUMN()-1,4),"1","")&amp;ROW()-30))*ROW($B$10:$D$26))))/INDIRECT(SUBSTITUTE(ADDRESS(1,COLUMN($D$9),4),"1","")&amp;SUMPRODUCT(($B$10:$D$26=INDIRECT(SUBSTITUTE(ADDRESS(1,COLUMN()-1,4),"1","")&amp;ROW()-30))*ROW($B$10:$D$26)))*10+50</f>
        <v>49.065679925994445</v>
      </c>
      <c r="BY31" s="8"/>
      <c r="BZ31" s="49">
        <v>47</v>
      </c>
      <c r="CA31" s="83">
        <f t="shared" si="33"/>
        <v>5</v>
      </c>
      <c r="CB31" s="164">
        <f t="shared" si="24"/>
        <v>42</v>
      </c>
      <c r="CC31" s="52">
        <v>1542</v>
      </c>
      <c r="CD31" s="16">
        <f t="shared" si="12"/>
        <v>2.8663841177782735E-2</v>
      </c>
      <c r="CE31" s="17">
        <f>IF(AND(BZ31&lt;&gt;"", CC31&lt;&gt;""), SUM(CC$4:CC31), "")</f>
        <v>31811</v>
      </c>
      <c r="CF31" s="16">
        <f t="shared" si="13"/>
        <v>0.59132649267603543</v>
      </c>
      <c r="CG31" s="14"/>
      <c r="CH31" s="27">
        <v>22</v>
      </c>
      <c r="CI31" s="20" t="e" cm="1">
        <f t="array" aca="1" ref="CI31" ca="1">(CH31-INDIRECT(SUBSTITUTE(ADDRESS(1,COLUMN($C$9),4),"1","")&amp;SUMPRODUCT(($B$10:$D$26=INDIRECT(SUBSTITUTE(ADDRESS(1,COLUMN()-1,4),"1","")&amp;ROW()-30))*ROW($B$10:$D$26))))/INDIRECT(SUBSTITUTE(ADDRESS(1,COLUMN($D$9),4),"1","")&amp;SUMPRODUCT(($B$10:$D$26=INDIRECT(SUBSTITUTE(ADDRESS(1,COLUMN()-1,4),"1","")&amp;ROW()-30))*ROW($B$10:$D$26)))*10+50</f>
        <v>#DIV/0!</v>
      </c>
      <c r="CJ31" s="8"/>
      <c r="CK31" s="49">
        <v>41</v>
      </c>
      <c r="CL31" s="83">
        <f t="shared" si="34"/>
        <v>6</v>
      </c>
      <c r="CM31" s="164">
        <f t="shared" si="25"/>
        <v>23</v>
      </c>
      <c r="CN31" s="52">
        <v>3003</v>
      </c>
      <c r="CO31" s="16">
        <f t="shared" si="14"/>
        <v>2.5095895905934265E-2</v>
      </c>
      <c r="CP31" s="17">
        <f>IF(AND(CK31&lt;&gt;"", CN31&lt;&gt;""), SUM(CN$4:CN31), "")</f>
        <v>93406</v>
      </c>
      <c r="CQ31" s="16">
        <f t="shared" si="15"/>
        <v>0.78058849583406453</v>
      </c>
      <c r="CR31" s="14"/>
      <c r="CS31" s="27">
        <v>22</v>
      </c>
      <c r="CT31" s="20" t="e" cm="1">
        <f t="array" aca="1" ref="CT31" ca="1">(CS31-INDIRECT(SUBSTITUTE(ADDRESS(1,COLUMN($C$9),4),"1","")&amp;SUMPRODUCT(($B$10:$D$26=INDIRECT(SUBSTITUTE(ADDRESS(1,COLUMN()-1,4),"1","")&amp;ROW()-30))*ROW($B$10:$D$26))))/INDIRECT(SUBSTITUTE(ADDRESS(1,COLUMN($D$9),4),"1","")&amp;SUMPRODUCT(($B$10:$D$26=INDIRECT(SUBSTITUTE(ADDRESS(1,COLUMN()-1,4),"1","")&amp;ROW()-30))*ROW($B$10:$D$26)))*10+50</f>
        <v>#DIV/0!</v>
      </c>
      <c r="CU31" s="8"/>
      <c r="CV31" s="49">
        <v>42</v>
      </c>
      <c r="CW31" s="83">
        <f t="shared" si="35"/>
        <v>6</v>
      </c>
      <c r="CX31" s="164">
        <f t="shared" si="26"/>
        <v>29</v>
      </c>
      <c r="CY31" s="52">
        <v>9273</v>
      </c>
      <c r="CZ31" s="16">
        <f t="shared" si="16"/>
        <v>7.6623065418398459E-2</v>
      </c>
      <c r="DA31" s="17">
        <f>IF(AND(CV31&lt;&gt;"", CY31&lt;&gt;""), SUM(CY$4:CY31), "")</f>
        <v>90746</v>
      </c>
      <c r="DB31" s="16">
        <f t="shared" si="17"/>
        <v>0.74983680518257168</v>
      </c>
      <c r="FX31" s="28">
        <v>0</v>
      </c>
    </row>
    <row r="32" spans="1:180" ht="16" customHeight="1" x14ac:dyDescent="0.2">
      <c r="A32" s="82">
        <v>0.4</v>
      </c>
      <c r="B32" s="80">
        <v>4</v>
      </c>
      <c r="C32" s="1"/>
      <c r="D32" s="1"/>
      <c r="E32" s="1"/>
      <c r="F32" s="86"/>
      <c r="G32" s="85">
        <v>4</v>
      </c>
      <c r="H32" s="36"/>
      <c r="I32" s="86"/>
      <c r="J32" s="85">
        <v>4</v>
      </c>
      <c r="K32" s="36"/>
      <c r="L32" s="86"/>
      <c r="M32" s="85">
        <v>4</v>
      </c>
      <c r="N32"/>
      <c r="O32" s="38"/>
      <c r="P32" s="83" t="str">
        <f t="shared" si="27"/>
        <v/>
      </c>
      <c r="Q32" s="164" t="str">
        <f t="shared" si="18"/>
        <v/>
      </c>
      <c r="R32" s="43"/>
      <c r="S32" s="16" t="str">
        <f t="shared" si="0"/>
        <v/>
      </c>
      <c r="T32" s="17" t="str">
        <f>IF(AND(O32&lt;&gt;"", R32&lt;&gt;""), SUM(R$4:R32), "")</f>
        <v/>
      </c>
      <c r="U32" s="16" t="str">
        <f t="shared" si="1"/>
        <v/>
      </c>
      <c r="W32" s="38">
        <v>119</v>
      </c>
      <c r="X32" s="83">
        <f t="shared" si="28"/>
        <v>3</v>
      </c>
      <c r="Y32" s="164">
        <f t="shared" si="19"/>
        <v>79</v>
      </c>
      <c r="Z32" s="43">
        <v>4856</v>
      </c>
      <c r="AA32" s="16">
        <f t="shared" si="2"/>
        <v>1.2529187899116299E-2</v>
      </c>
      <c r="AB32" s="17">
        <f>IF(AND(W32&lt;&gt;"", Z32&lt;&gt;""), SUM(Z$4:Z32), "")</f>
        <v>84521</v>
      </c>
      <c r="AC32" s="16">
        <f t="shared" si="3"/>
        <v>0.2180765013223247</v>
      </c>
      <c r="AD32" s="1"/>
      <c r="AE32" s="19">
        <v>21</v>
      </c>
      <c r="AF32" s="20" t="e" cm="1">
        <f t="array" aca="1" ref="AF32" ca="1">(AE32-INDIRECT(SUBSTITUTE(ADDRESS(1,COLUMN($C$9),4),"1","")&amp;SUMPRODUCT(($B$10:$D$26=INDIRECT(SUBSTITUTE(ADDRESS(1,COLUMN()-1,4),"1","")&amp;ROW()-31))*ROW($B$10:$D$26))))/INDIRECT(SUBSTITUTE(ADDRESS(1,COLUMN($D$9),4),"1","")&amp;SUMPRODUCT(($B$10:$D$26=INDIRECT(SUBSTITUTE(ADDRESS(1,COLUMN()-1,4),"1","")&amp;ROW()-31))*ROW($B$10:$D$26)))*10+50</f>
        <v>#DIV/0!</v>
      </c>
      <c r="AG32" s="8"/>
      <c r="AH32" s="49">
        <v>37</v>
      </c>
      <c r="AI32" s="83">
        <f t="shared" si="29"/>
        <v>7</v>
      </c>
      <c r="AJ32" s="164">
        <f t="shared" si="20"/>
        <v>18</v>
      </c>
      <c r="AK32" s="52">
        <v>699</v>
      </c>
      <c r="AL32" s="16">
        <f t="shared" si="4"/>
        <v>1.5063356607189035E-2</v>
      </c>
      <c r="AM32" s="17">
        <f>IF(AND(AH32&lt;&gt;"", AK32&lt;&gt;""), SUM(AK$4:AK32), "")</f>
        <v>38374</v>
      </c>
      <c r="AN32" s="16">
        <f t="shared" si="5"/>
        <v>0.82695457288164809</v>
      </c>
      <c r="AO32" s="14"/>
      <c r="AP32" s="27">
        <v>21</v>
      </c>
      <c r="AQ32" s="20" t="e" cm="1">
        <f t="array" aca="1" ref="AQ32" ca="1">(AP32-INDIRECT(SUBSTITUTE(ADDRESS(1,COLUMN($C$9),4),"1","")&amp;SUMPRODUCT(($B$10:$D$26=INDIRECT(SUBSTITUTE(ADDRESS(1,COLUMN()-1,4),"1","")&amp;ROW()-31))*ROW($B$10:$D$26))))/INDIRECT(SUBSTITUTE(ADDRESS(1,COLUMN($D$9),4),"1","")&amp;SUMPRODUCT(($B$10:$D$26=INDIRECT(SUBSTITUTE(ADDRESS(1,COLUMN()-1,4),"1","")&amp;ROW()-31))*ROW($B$10:$D$26)))*10+50</f>
        <v>#DIV/0!</v>
      </c>
      <c r="AR32" s="8"/>
      <c r="AS32" s="49">
        <v>45</v>
      </c>
      <c r="AT32" s="83">
        <f t="shared" si="30"/>
        <v>5</v>
      </c>
      <c r="AU32" s="164">
        <f t="shared" si="21"/>
        <v>43</v>
      </c>
      <c r="AV32" s="52">
        <v>993</v>
      </c>
      <c r="AW32" s="16">
        <f t="shared" si="6"/>
        <v>3.2336850332161E-2</v>
      </c>
      <c r="AX32" s="17">
        <f>IF(AND(AS32&lt;&gt;"", AV32&lt;&gt;""), SUM(AV$4:AV32), "")</f>
        <v>17888</v>
      </c>
      <c r="AY32" s="16">
        <f t="shared" si="7"/>
        <v>0.58251921323433631</v>
      </c>
      <c r="AZ32" s="14"/>
      <c r="BA32" s="27">
        <v>21</v>
      </c>
      <c r="BB32" s="20" t="e" cm="1">
        <f t="array" aca="1" ref="BB32" ca="1">(BA32-INDIRECT(SUBSTITUTE(ADDRESS(1,COLUMN($C$9),4),"1","")&amp;SUMPRODUCT(($B$10:$D$26=INDIRECT(SUBSTITUTE(ADDRESS(1,COLUMN()-1,4),"1","")&amp;ROW()-31))*ROW($B$10:$D$26))))/INDIRECT(SUBSTITUTE(ADDRESS(1,COLUMN($D$9),4),"1","")&amp;SUMPRODUCT(($B$10:$D$26=INDIRECT(SUBSTITUTE(ADDRESS(1,COLUMN()-1,4),"1","")&amp;ROW()-31))*ROW($B$10:$D$26)))*10+50</f>
        <v>#DIV/0!</v>
      </c>
      <c r="BC32" s="8"/>
      <c r="BD32" s="49">
        <v>41</v>
      </c>
      <c r="BE32" s="83">
        <f t="shared" si="31"/>
        <v>7</v>
      </c>
      <c r="BF32" s="164">
        <f t="shared" si="22"/>
        <v>22</v>
      </c>
      <c r="BG32" s="52">
        <v>750</v>
      </c>
      <c r="BH32" s="16">
        <f t="shared" si="8"/>
        <v>2.3117467558487193E-2</v>
      </c>
      <c r="BI32" s="17">
        <f>IF(AND(BD32&lt;&gt;"", BG32&lt;&gt;""), SUM(BG$4:BG32), "")</f>
        <v>25744</v>
      </c>
      <c r="BJ32" s="16">
        <f t="shared" si="9"/>
        <v>0.79351477976759244</v>
      </c>
      <c r="BK32" s="14"/>
      <c r="BL32" s="27">
        <v>21</v>
      </c>
      <c r="BM32" s="20" t="e" cm="1">
        <f t="array" aca="1" ref="BM32" ca="1">(BL32-INDIRECT(SUBSTITUTE(ADDRESS(1,COLUMN($C$9),4),"1","")&amp;SUMPRODUCT(($B$10:$D$26=INDIRECT(SUBSTITUTE(ADDRESS(1,COLUMN()-1,4),"1","")&amp;ROW()-31))*ROW($B$10:$D$26))))/INDIRECT(SUBSTITUTE(ADDRESS(1,COLUMN($D$9),4),"1","")&amp;SUMPRODUCT(($B$10:$D$26=INDIRECT(SUBSTITUTE(ADDRESS(1,COLUMN()-1,4),"1","")&amp;ROW()-31))*ROW($B$10:$D$26)))*10+50</f>
        <v>#DIV/0!</v>
      </c>
      <c r="BN32" s="8"/>
      <c r="BO32" s="49">
        <v>39</v>
      </c>
      <c r="BP32" s="83">
        <f t="shared" si="32"/>
        <v>6</v>
      </c>
      <c r="BQ32" s="164">
        <f t="shared" si="23"/>
        <v>22</v>
      </c>
      <c r="BR32" s="52">
        <v>1863</v>
      </c>
      <c r="BS32" s="16">
        <f t="shared" si="10"/>
        <v>3.3430232558139532E-2</v>
      </c>
      <c r="BT32" s="17">
        <f>IF(AND(BO32&lt;&gt;"", BR32&lt;&gt;""), SUM(BR$4:BR32), "")</f>
        <v>44350</v>
      </c>
      <c r="BU32" s="16">
        <f t="shared" si="11"/>
        <v>0.79582974447315535</v>
      </c>
      <c r="BV32" s="14"/>
      <c r="BW32" s="27">
        <v>21</v>
      </c>
      <c r="BX32" s="20" cm="1">
        <f t="array" aca="1" ref="BX32" ca="1">(BW32-INDIRECT(SUBSTITUTE(ADDRESS(1,COLUMN($C$9),4),"1","")&amp;SUMPRODUCT(($B$10:$D$26=INDIRECT(SUBSTITUTE(ADDRESS(1,COLUMN()-1,4),"1","")&amp;ROW()-31))*ROW($B$10:$D$26))))/INDIRECT(SUBSTITUTE(ADDRESS(1,COLUMN($D$9),4),"1","")&amp;SUMPRODUCT(($B$10:$D$26=INDIRECT(SUBSTITUTE(ADDRESS(1,COLUMN()-1,4),"1","")&amp;ROW()-31))*ROW($B$10:$D$26)))*10+50</f>
        <v>48.140610545790935</v>
      </c>
      <c r="BY32" s="8"/>
      <c r="BZ32" s="49">
        <v>46</v>
      </c>
      <c r="CA32" s="83">
        <f t="shared" si="33"/>
        <v>5</v>
      </c>
      <c r="CB32" s="164">
        <f t="shared" si="24"/>
        <v>38</v>
      </c>
      <c r="CC32" s="52">
        <v>3261</v>
      </c>
      <c r="CD32" s="16">
        <f t="shared" si="12"/>
        <v>6.0617889805933529E-2</v>
      </c>
      <c r="CE32" s="17">
        <f>IF(AND(BZ32&lt;&gt;"", CC32&lt;&gt;""), SUM(CC$4:CC32), "")</f>
        <v>35072</v>
      </c>
      <c r="CF32" s="16">
        <f t="shared" si="13"/>
        <v>0.65194438248196895</v>
      </c>
      <c r="CG32" s="14"/>
      <c r="CH32" s="27">
        <v>21</v>
      </c>
      <c r="CI32" s="20" t="e" cm="1">
        <f t="array" aca="1" ref="CI32" ca="1">(CH32-INDIRECT(SUBSTITUTE(ADDRESS(1,COLUMN($C$9),4),"1","")&amp;SUMPRODUCT(($B$10:$D$26=INDIRECT(SUBSTITUTE(ADDRESS(1,COLUMN()-1,4),"1","")&amp;ROW()-31))*ROW($B$10:$D$26))))/INDIRECT(SUBSTITUTE(ADDRESS(1,COLUMN($D$9),4),"1","")&amp;SUMPRODUCT(($B$10:$D$26=INDIRECT(SUBSTITUTE(ADDRESS(1,COLUMN()-1,4),"1","")&amp;ROW()-31))*ROW($B$10:$D$26)))*10+50</f>
        <v>#DIV/0!</v>
      </c>
      <c r="CJ32" s="8"/>
      <c r="CK32" s="49">
        <v>40</v>
      </c>
      <c r="CL32" s="83">
        <f t="shared" si="34"/>
        <v>7</v>
      </c>
      <c r="CM32" s="164">
        <f t="shared" si="25"/>
        <v>21</v>
      </c>
      <c r="CN32" s="52">
        <v>2726</v>
      </c>
      <c r="CO32" s="16">
        <f t="shared" si="14"/>
        <v>2.2781023056802133E-2</v>
      </c>
      <c r="CP32" s="17">
        <f>IF(AND(CK32&lt;&gt;"", CN32&lt;&gt;""), SUM(CN$4:CN32), "")</f>
        <v>96132</v>
      </c>
      <c r="CQ32" s="16">
        <f t="shared" si="15"/>
        <v>0.80336951889086672</v>
      </c>
      <c r="CR32" s="14"/>
      <c r="CS32" s="27">
        <v>21</v>
      </c>
      <c r="CT32" s="20" t="e" cm="1">
        <f t="array" aca="1" ref="CT32" ca="1">(CS32-INDIRECT(SUBSTITUTE(ADDRESS(1,COLUMN($C$9),4),"1","")&amp;SUMPRODUCT(($B$10:$D$26=INDIRECT(SUBSTITUTE(ADDRESS(1,COLUMN()-1,4),"1","")&amp;ROW()-31))*ROW($B$10:$D$26))))/INDIRECT(SUBSTITUTE(ADDRESS(1,COLUMN($D$9),4),"1","")&amp;SUMPRODUCT(($B$10:$D$26=INDIRECT(SUBSTITUTE(ADDRESS(1,COLUMN()-1,4),"1","")&amp;ROW()-31))*ROW($B$10:$D$26)))*10+50</f>
        <v>#DIV/0!</v>
      </c>
      <c r="CU32" s="8"/>
      <c r="CV32" s="49">
        <v>41</v>
      </c>
      <c r="CW32" s="83">
        <f t="shared" si="35"/>
        <v>6</v>
      </c>
      <c r="CX32" s="164">
        <f t="shared" si="26"/>
        <v>23</v>
      </c>
      <c r="CY32" s="52">
        <v>3720</v>
      </c>
      <c r="CZ32" s="16">
        <f t="shared" si="16"/>
        <v>3.0738466877649334E-2</v>
      </c>
      <c r="DA32" s="17">
        <f>IF(AND(CV32&lt;&gt;"", CY32&lt;&gt;""), SUM(CY$4:CY32), "")</f>
        <v>94466</v>
      </c>
      <c r="DB32" s="16">
        <f t="shared" si="17"/>
        <v>0.78057527206022093</v>
      </c>
      <c r="FX32" s="28">
        <v>0</v>
      </c>
    </row>
    <row r="33" spans="1:180" ht="16" customHeight="1" x14ac:dyDescent="0.2">
      <c r="A33" s="82">
        <v>0.6</v>
      </c>
      <c r="B33" s="80">
        <v>5</v>
      </c>
      <c r="C33" s="1"/>
      <c r="D33" s="1"/>
      <c r="E33" s="1"/>
      <c r="F33" s="86"/>
      <c r="G33" s="85">
        <v>5</v>
      </c>
      <c r="H33" s="36"/>
      <c r="I33" s="86"/>
      <c r="J33" s="85">
        <v>5</v>
      </c>
      <c r="K33" s="36"/>
      <c r="L33" s="86"/>
      <c r="M33" s="85">
        <v>5</v>
      </c>
      <c r="N33"/>
      <c r="O33" s="38"/>
      <c r="P33" s="83" t="str">
        <f t="shared" si="27"/>
        <v/>
      </c>
      <c r="Q33" s="164" t="str">
        <f t="shared" si="18"/>
        <v/>
      </c>
      <c r="R33" s="43"/>
      <c r="S33" s="16" t="str">
        <f t="shared" si="0"/>
        <v/>
      </c>
      <c r="T33" s="17" t="str">
        <f>IF(AND(O33&lt;&gt;"", R33&lt;&gt;""), SUM(R$4:R33), "")</f>
        <v/>
      </c>
      <c r="U33" s="16" t="str">
        <f t="shared" si="1"/>
        <v/>
      </c>
      <c r="W33" s="38">
        <v>118</v>
      </c>
      <c r="X33" s="83">
        <f t="shared" si="28"/>
        <v>3</v>
      </c>
      <c r="Y33" s="164">
        <f t="shared" si="19"/>
        <v>77</v>
      </c>
      <c r="Z33" s="43">
        <v>8672</v>
      </c>
      <c r="AA33" s="16">
        <f t="shared" si="2"/>
        <v>2.2375024188866673E-2</v>
      </c>
      <c r="AB33" s="17">
        <f>IF(AND(W33&lt;&gt;"", Z33&lt;&gt;""), SUM(Z$4:Z33), "")</f>
        <v>93193</v>
      </c>
      <c r="AC33" s="16">
        <f t="shared" si="3"/>
        <v>0.24045152551119139</v>
      </c>
      <c r="AD33" s="1"/>
      <c r="AE33" s="19">
        <v>20</v>
      </c>
      <c r="AF33" s="20" t="e" cm="1">
        <f t="array" aca="1" ref="AF33" ca="1">(AE33-INDIRECT(SUBSTITUTE(ADDRESS(1,COLUMN($C$9),4),"1","")&amp;SUMPRODUCT(($B$10:$D$26=INDIRECT(SUBSTITUTE(ADDRESS(1,COLUMN()-1,4),"1","")&amp;ROW()-32))*ROW($B$10:$D$26))))/INDIRECT(SUBSTITUTE(ADDRESS(1,COLUMN($D$9),4),"1","")&amp;SUMPRODUCT(($B$10:$D$26=INDIRECT(SUBSTITUTE(ADDRESS(1,COLUMN()-1,4),"1","")&amp;ROW()-32))*ROW($B$10:$D$26)))*10+50</f>
        <v>#DIV/0!</v>
      </c>
      <c r="AG33" s="8"/>
      <c r="AH33" s="49">
        <v>36</v>
      </c>
      <c r="AI33" s="83">
        <f t="shared" si="29"/>
        <v>7</v>
      </c>
      <c r="AJ33" s="164">
        <f t="shared" si="20"/>
        <v>17</v>
      </c>
      <c r="AK33" s="52">
        <v>580</v>
      </c>
      <c r="AL33" s="16">
        <f t="shared" si="4"/>
        <v>1.2498922506680459E-2</v>
      </c>
      <c r="AM33" s="17">
        <f>IF(AND(AH33&lt;&gt;"", AK33&lt;&gt;""), SUM(AK$4:AK33), "")</f>
        <v>38954</v>
      </c>
      <c r="AN33" s="16">
        <f t="shared" si="5"/>
        <v>0.83945349538832859</v>
      </c>
      <c r="AO33" s="14"/>
      <c r="AP33" s="27">
        <v>20</v>
      </c>
      <c r="AQ33" s="20" t="e" cm="1">
        <f t="array" aca="1" ref="AQ33" ca="1">(AP33-INDIRECT(SUBSTITUTE(ADDRESS(1,COLUMN($C$9),4),"1","")&amp;SUMPRODUCT(($B$10:$D$26=INDIRECT(SUBSTITUTE(ADDRESS(1,COLUMN()-1,4),"1","")&amp;ROW()-32))*ROW($B$10:$D$26))))/INDIRECT(SUBSTITUTE(ADDRESS(1,COLUMN($D$9),4),"1","")&amp;SUMPRODUCT(($B$10:$D$26=INDIRECT(SUBSTITUTE(ADDRESS(1,COLUMN()-1,4),"1","")&amp;ROW()-32))*ROW($B$10:$D$26)))*10+50</f>
        <v>#DIV/0!</v>
      </c>
      <c r="AR33" s="8"/>
      <c r="AS33" s="49">
        <v>44</v>
      </c>
      <c r="AT33" s="83">
        <f t="shared" si="30"/>
        <v>5</v>
      </c>
      <c r="AU33" s="164">
        <f t="shared" si="21"/>
        <v>35</v>
      </c>
      <c r="AV33" s="52">
        <v>3965</v>
      </c>
      <c r="AW33" s="16">
        <f t="shared" si="6"/>
        <v>0.12911944770092484</v>
      </c>
      <c r="AX33" s="17">
        <f>IF(AND(AS33&lt;&gt;"", AV33&lt;&gt;""), SUM(AV$4:AV33), "")</f>
        <v>21853</v>
      </c>
      <c r="AY33" s="16">
        <f t="shared" si="7"/>
        <v>0.71163866093526118</v>
      </c>
      <c r="AZ33" s="14"/>
      <c r="BA33" s="27">
        <v>20</v>
      </c>
      <c r="BB33" s="20" t="e" cm="1">
        <f t="array" aca="1" ref="BB33" ca="1">(BA33-INDIRECT(SUBSTITUTE(ADDRESS(1,COLUMN($C$9),4),"1","")&amp;SUMPRODUCT(($B$10:$D$26=INDIRECT(SUBSTITUTE(ADDRESS(1,COLUMN()-1,4),"1","")&amp;ROW()-32))*ROW($B$10:$D$26))))/INDIRECT(SUBSTITUTE(ADDRESS(1,COLUMN($D$9),4),"1","")&amp;SUMPRODUCT(($B$10:$D$26=INDIRECT(SUBSTITUTE(ADDRESS(1,COLUMN()-1,4),"1","")&amp;ROW()-32))*ROW($B$10:$D$26)))*10+50</f>
        <v>#DIV/0!</v>
      </c>
      <c r="BC33" s="8"/>
      <c r="BD33" s="49">
        <v>40</v>
      </c>
      <c r="BE33" s="83">
        <f t="shared" si="31"/>
        <v>7</v>
      </c>
      <c r="BF33" s="164">
        <f t="shared" si="22"/>
        <v>18</v>
      </c>
      <c r="BG33" s="52">
        <v>1720</v>
      </c>
      <c r="BH33" s="16">
        <f t="shared" si="8"/>
        <v>5.3016058934130632E-2</v>
      </c>
      <c r="BI33" s="17">
        <f>IF(AND(BD33&lt;&gt;"", BG33&lt;&gt;""), SUM(BG$4:BG33), "")</f>
        <v>27464</v>
      </c>
      <c r="BJ33" s="16">
        <f t="shared" si="9"/>
        <v>0.84653083870172308</v>
      </c>
      <c r="BK33" s="14"/>
      <c r="BL33" s="27">
        <v>20</v>
      </c>
      <c r="BM33" s="20" t="e" cm="1">
        <f t="array" aca="1" ref="BM33" ca="1">(BL33-INDIRECT(SUBSTITUTE(ADDRESS(1,COLUMN($C$9),4),"1","")&amp;SUMPRODUCT(($B$10:$D$26=INDIRECT(SUBSTITUTE(ADDRESS(1,COLUMN()-1,4),"1","")&amp;ROW()-32))*ROW($B$10:$D$26))))/INDIRECT(SUBSTITUTE(ADDRESS(1,COLUMN($D$9),4),"1","")&amp;SUMPRODUCT(($B$10:$D$26=INDIRECT(SUBSTITUTE(ADDRESS(1,COLUMN()-1,4),"1","")&amp;ROW()-32))*ROW($B$10:$D$26)))*10+50</f>
        <v>#DIV/0!</v>
      </c>
      <c r="BN33" s="8"/>
      <c r="BO33" s="49">
        <v>38</v>
      </c>
      <c r="BP33" s="83">
        <f t="shared" si="32"/>
        <v>7</v>
      </c>
      <c r="BQ33" s="164">
        <f t="shared" si="23"/>
        <v>19</v>
      </c>
      <c r="BR33" s="52">
        <v>1418</v>
      </c>
      <c r="BS33" s="16">
        <f t="shared" si="10"/>
        <v>2.5445018662072924E-2</v>
      </c>
      <c r="BT33" s="17">
        <f>IF(AND(BO33&lt;&gt;"", BR33&lt;&gt;""), SUM(BR$4:BR33), "")</f>
        <v>45768</v>
      </c>
      <c r="BU33" s="16">
        <f t="shared" si="11"/>
        <v>0.82127476313522829</v>
      </c>
      <c r="BV33" s="14"/>
      <c r="BW33" s="27">
        <v>20</v>
      </c>
      <c r="BX33" s="20" cm="1">
        <f t="array" aca="1" ref="BX33" ca="1">(BW33-INDIRECT(SUBSTITUTE(ADDRESS(1,COLUMN($C$9),4),"1","")&amp;SUMPRODUCT(($B$10:$D$26=INDIRECT(SUBSTITUTE(ADDRESS(1,COLUMN()-1,4),"1","")&amp;ROW()-32))*ROW($B$10:$D$26))))/INDIRECT(SUBSTITUTE(ADDRESS(1,COLUMN($D$9),4),"1","")&amp;SUMPRODUCT(($B$10:$D$26=INDIRECT(SUBSTITUTE(ADDRESS(1,COLUMN()-1,4),"1","")&amp;ROW()-32))*ROW($B$10:$D$26)))*10+50</f>
        <v>47.215541165587418</v>
      </c>
      <c r="BY33" s="8"/>
      <c r="BZ33" s="49">
        <v>45</v>
      </c>
      <c r="CA33" s="83">
        <f t="shared" si="33"/>
        <v>6</v>
      </c>
      <c r="CB33" s="164">
        <f t="shared" si="24"/>
        <v>33</v>
      </c>
      <c r="CC33" s="52">
        <v>1572</v>
      </c>
      <c r="CD33" s="16">
        <f t="shared" si="12"/>
        <v>2.9221503457506133E-2</v>
      </c>
      <c r="CE33" s="17">
        <f>IF(AND(BZ33&lt;&gt;"", CC33&lt;&gt;""), SUM(CC$4:CC33), "")</f>
        <v>36644</v>
      </c>
      <c r="CF33" s="16">
        <f t="shared" si="13"/>
        <v>0.68116588593947502</v>
      </c>
      <c r="CG33" s="14"/>
      <c r="CH33" s="27">
        <v>20</v>
      </c>
      <c r="CI33" s="20" t="e" cm="1">
        <f t="array" aca="1" ref="CI33" ca="1">(CH33-INDIRECT(SUBSTITUTE(ADDRESS(1,COLUMN($C$9),4),"1","")&amp;SUMPRODUCT(($B$10:$D$26=INDIRECT(SUBSTITUTE(ADDRESS(1,COLUMN()-1,4),"1","")&amp;ROW()-32))*ROW($B$10:$D$26))))/INDIRECT(SUBSTITUTE(ADDRESS(1,COLUMN($D$9),4),"1","")&amp;SUMPRODUCT(($B$10:$D$26=INDIRECT(SUBSTITUTE(ADDRESS(1,COLUMN()-1,4),"1","")&amp;ROW()-32))*ROW($B$10:$D$26)))*10+50</f>
        <v>#DIV/0!</v>
      </c>
      <c r="CJ33" s="8"/>
      <c r="CK33" s="49">
        <v>39</v>
      </c>
      <c r="CL33" s="83">
        <f t="shared" si="34"/>
        <v>7</v>
      </c>
      <c r="CM33" s="164">
        <f t="shared" si="25"/>
        <v>18</v>
      </c>
      <c r="CN33" s="52">
        <v>2820</v>
      </c>
      <c r="CO33" s="16">
        <f t="shared" si="14"/>
        <v>2.3566575576002207E-2</v>
      </c>
      <c r="CP33" s="17">
        <f>IF(AND(CK33&lt;&gt;"", CN33&lt;&gt;""), SUM(CN$4:CN33), "")</f>
        <v>98952</v>
      </c>
      <c r="CQ33" s="16">
        <f t="shared" si="15"/>
        <v>0.82693609446686889</v>
      </c>
      <c r="CR33" s="14"/>
      <c r="CS33" s="27">
        <v>20</v>
      </c>
      <c r="CT33" s="20" t="e" cm="1">
        <f t="array" aca="1" ref="CT33" ca="1">(CS33-INDIRECT(SUBSTITUTE(ADDRESS(1,COLUMN($C$9),4),"1","")&amp;SUMPRODUCT(($B$10:$D$26=INDIRECT(SUBSTITUTE(ADDRESS(1,COLUMN()-1,4),"1","")&amp;ROW()-32))*ROW($B$10:$D$26))))/INDIRECT(SUBSTITUTE(ADDRESS(1,COLUMN($D$9),4),"1","")&amp;SUMPRODUCT(($B$10:$D$26=INDIRECT(SUBSTITUTE(ADDRESS(1,COLUMN()-1,4),"1","")&amp;ROW()-32))*ROW($B$10:$D$26)))*10+50</f>
        <v>#DIV/0!</v>
      </c>
      <c r="CU33" s="8"/>
      <c r="CV33" s="49">
        <v>40</v>
      </c>
      <c r="CW33" s="83">
        <f t="shared" si="35"/>
        <v>7</v>
      </c>
      <c r="CX33" s="164">
        <f t="shared" si="26"/>
        <v>21</v>
      </c>
      <c r="CY33" s="52">
        <v>3176</v>
      </c>
      <c r="CZ33" s="16">
        <f t="shared" si="16"/>
        <v>2.6243379248229646E-2</v>
      </c>
      <c r="DA33" s="17">
        <f>IF(AND(CV33&lt;&gt;"", CY33&lt;&gt;""), SUM(CY$4:CY33), "")</f>
        <v>97642</v>
      </c>
      <c r="DB33" s="16">
        <f t="shared" si="17"/>
        <v>0.80681865130845065</v>
      </c>
      <c r="FX33" s="28">
        <v>0</v>
      </c>
    </row>
    <row r="34" spans="1:180" ht="16" customHeight="1" x14ac:dyDescent="0.2">
      <c r="A34" s="82">
        <v>0.77</v>
      </c>
      <c r="B34" s="80">
        <v>6</v>
      </c>
      <c r="C34" s="1"/>
      <c r="D34" s="1"/>
      <c r="E34" s="1"/>
      <c r="F34" s="86"/>
      <c r="G34" s="85">
        <v>6</v>
      </c>
      <c r="H34" s="36"/>
      <c r="I34" s="86"/>
      <c r="J34" s="85">
        <v>6</v>
      </c>
      <c r="K34" s="36"/>
      <c r="L34" s="86"/>
      <c r="M34" s="85">
        <v>6</v>
      </c>
      <c r="N34"/>
      <c r="O34" s="38"/>
      <c r="P34" s="83" t="str">
        <f t="shared" si="27"/>
        <v/>
      </c>
      <c r="Q34" s="164" t="str">
        <f t="shared" si="18"/>
        <v/>
      </c>
      <c r="R34" s="43"/>
      <c r="S34" s="16" t="str">
        <f t="shared" si="0"/>
        <v/>
      </c>
      <c r="T34" s="17" t="str">
        <f>IF(AND(O34&lt;&gt;"", R34&lt;&gt;""), SUM(R$4:R34), "")</f>
        <v/>
      </c>
      <c r="U34" s="16" t="str">
        <f t="shared" si="1"/>
        <v/>
      </c>
      <c r="W34" s="38">
        <v>117</v>
      </c>
      <c r="X34" s="83">
        <f t="shared" si="28"/>
        <v>4</v>
      </c>
      <c r="Y34" s="164">
        <f t="shared" si="19"/>
        <v>75</v>
      </c>
      <c r="Z34" s="43">
        <v>5071</v>
      </c>
      <c r="AA34" s="16">
        <f t="shared" si="2"/>
        <v>1.3083919241437141E-2</v>
      </c>
      <c r="AB34" s="17">
        <f>IF(AND(W34&lt;&gt;"", Z34&lt;&gt;""), SUM(Z$4:Z34), "")</f>
        <v>98264</v>
      </c>
      <c r="AC34" s="16">
        <f t="shared" si="3"/>
        <v>0.25353544475262851</v>
      </c>
      <c r="AD34" s="1"/>
      <c r="AE34" s="19">
        <v>19</v>
      </c>
      <c r="AF34" s="20" t="e" cm="1">
        <f t="array" aca="1" ref="AF34" ca="1">(AE34-INDIRECT(SUBSTITUTE(ADDRESS(1,COLUMN($C$9),4),"1","")&amp;SUMPRODUCT(($B$10:$D$26=INDIRECT(SUBSTITUTE(ADDRESS(1,COLUMN()-1,4),"1","")&amp;ROW()-33))*ROW($B$10:$D$26))))/INDIRECT(SUBSTITUTE(ADDRESS(1,COLUMN($D$9),4),"1","")&amp;SUMPRODUCT(($B$10:$D$26=INDIRECT(SUBSTITUTE(ADDRESS(1,COLUMN()-1,4),"1","")&amp;ROW()-33))*ROW($B$10:$D$26)))*10+50</f>
        <v>#DIV/0!</v>
      </c>
      <c r="AG34" s="8"/>
      <c r="AH34" s="49">
        <v>35</v>
      </c>
      <c r="AI34" s="83">
        <f t="shared" si="29"/>
        <v>7</v>
      </c>
      <c r="AJ34" s="164">
        <f t="shared" si="20"/>
        <v>15</v>
      </c>
      <c r="AK34" s="52">
        <v>1259</v>
      </c>
      <c r="AL34" s="16">
        <f t="shared" si="4"/>
        <v>2.7131281786052928E-2</v>
      </c>
      <c r="AM34" s="17">
        <f>IF(AND(AH34&lt;&gt;"", AK34&lt;&gt;""), SUM(AK$4:AK34), "")</f>
        <v>40213</v>
      </c>
      <c r="AN34" s="16">
        <f t="shared" si="5"/>
        <v>0.86658477717438154</v>
      </c>
      <c r="AO34" s="14"/>
      <c r="AP34" s="27">
        <v>19</v>
      </c>
      <c r="AQ34" s="20" t="e" cm="1">
        <f t="array" aca="1" ref="AQ34" ca="1">(AP34-INDIRECT(SUBSTITUTE(ADDRESS(1,COLUMN($C$9),4),"1","")&amp;SUMPRODUCT(($B$10:$D$26=INDIRECT(SUBSTITUTE(ADDRESS(1,COLUMN()-1,4),"1","")&amp;ROW()-33))*ROW($B$10:$D$26))))/INDIRECT(SUBSTITUTE(ADDRESS(1,COLUMN($D$9),4),"1","")&amp;SUMPRODUCT(($B$10:$D$26=INDIRECT(SUBSTITUTE(ADDRESS(1,COLUMN()-1,4),"1","")&amp;ROW()-33))*ROW($B$10:$D$26)))*10+50</f>
        <v>#DIV/0!</v>
      </c>
      <c r="AR34" s="8"/>
      <c r="AS34" s="49">
        <v>43</v>
      </c>
      <c r="AT34" s="83">
        <f t="shared" si="30"/>
        <v>6</v>
      </c>
      <c r="AU34" s="164">
        <f t="shared" si="21"/>
        <v>27</v>
      </c>
      <c r="AV34" s="52">
        <v>1027</v>
      </c>
      <c r="AW34" s="16">
        <f t="shared" si="6"/>
        <v>3.3444053666796925E-2</v>
      </c>
      <c r="AX34" s="17">
        <f>IF(AND(AS34&lt;&gt;"", AV34&lt;&gt;""), SUM(AV$4:AV34), "")</f>
        <v>22880</v>
      </c>
      <c r="AY34" s="16">
        <f t="shared" si="7"/>
        <v>0.7450827146020581</v>
      </c>
      <c r="AZ34" s="14"/>
      <c r="BA34" s="27">
        <v>19</v>
      </c>
      <c r="BB34" s="20" t="e" cm="1">
        <f t="array" aca="1" ref="BB34" ca="1">(BA34-INDIRECT(SUBSTITUTE(ADDRESS(1,COLUMN($C$9),4),"1","")&amp;SUMPRODUCT(($B$10:$D$26=INDIRECT(SUBSTITUTE(ADDRESS(1,COLUMN()-1,4),"1","")&amp;ROW()-33))*ROW($B$10:$D$26))))/INDIRECT(SUBSTITUTE(ADDRESS(1,COLUMN($D$9),4),"1","")&amp;SUMPRODUCT(($B$10:$D$26=INDIRECT(SUBSTITUTE(ADDRESS(1,COLUMN()-1,4),"1","")&amp;ROW()-33))*ROW($B$10:$D$26)))*10+50</f>
        <v>#DIV/0!</v>
      </c>
      <c r="BC34" s="8"/>
      <c r="BD34" s="49">
        <v>39</v>
      </c>
      <c r="BE34" s="83">
        <f t="shared" si="31"/>
        <v>7</v>
      </c>
      <c r="BF34" s="164">
        <f t="shared" si="22"/>
        <v>14</v>
      </c>
      <c r="BG34" s="52">
        <v>618</v>
      </c>
      <c r="BH34" s="16">
        <f t="shared" si="8"/>
        <v>1.9048793268193448E-2</v>
      </c>
      <c r="BI34" s="17">
        <f>IF(AND(BD34&lt;&gt;"", BG34&lt;&gt;""), SUM(BG$4:BG34), "")</f>
        <v>28082</v>
      </c>
      <c r="BJ34" s="16">
        <f t="shared" si="9"/>
        <v>0.8655796319699165</v>
      </c>
      <c r="BK34" s="14"/>
      <c r="BL34" s="27">
        <v>19</v>
      </c>
      <c r="BM34" s="20" t="e" cm="1">
        <f t="array" aca="1" ref="BM34" ca="1">(BL34-INDIRECT(SUBSTITUTE(ADDRESS(1,COLUMN($C$9),4),"1","")&amp;SUMPRODUCT(($B$10:$D$26=INDIRECT(SUBSTITUTE(ADDRESS(1,COLUMN()-1,4),"1","")&amp;ROW()-33))*ROW($B$10:$D$26))))/INDIRECT(SUBSTITUTE(ADDRESS(1,COLUMN($D$9),4),"1","")&amp;SUMPRODUCT(($B$10:$D$26=INDIRECT(SUBSTITUTE(ADDRESS(1,COLUMN()-1,4),"1","")&amp;ROW()-33))*ROW($B$10:$D$26)))*10+50</f>
        <v>#DIV/0!</v>
      </c>
      <c r="BN34" s="8"/>
      <c r="BO34" s="49">
        <v>37</v>
      </c>
      <c r="BP34" s="83">
        <f t="shared" si="32"/>
        <v>7</v>
      </c>
      <c r="BQ34" s="164">
        <f t="shared" si="23"/>
        <v>15</v>
      </c>
      <c r="BR34" s="52">
        <v>3621</v>
      </c>
      <c r="BS34" s="16">
        <f t="shared" si="10"/>
        <v>6.4976313522825152E-2</v>
      </c>
      <c r="BT34" s="17">
        <f>IF(AND(BO34&lt;&gt;"", BR34&lt;&gt;""), SUM(BR$4:BR34), "")</f>
        <v>49389</v>
      </c>
      <c r="BU34" s="16">
        <f t="shared" si="11"/>
        <v>0.88625107665805336</v>
      </c>
      <c r="BV34" s="14"/>
      <c r="BW34" s="27">
        <v>19</v>
      </c>
      <c r="BX34" s="20" cm="1">
        <f t="array" aca="1" ref="BX34" ca="1">(BW34-INDIRECT(SUBSTITUTE(ADDRESS(1,COLUMN($C$9),4),"1","")&amp;SUMPRODUCT(($B$10:$D$26=INDIRECT(SUBSTITUTE(ADDRESS(1,COLUMN()-1,4),"1","")&amp;ROW()-33))*ROW($B$10:$D$26))))/INDIRECT(SUBSTITUTE(ADDRESS(1,COLUMN($D$9),4),"1","")&amp;SUMPRODUCT(($B$10:$D$26=INDIRECT(SUBSTITUTE(ADDRESS(1,COLUMN()-1,4),"1","")&amp;ROW()-33))*ROW($B$10:$D$26)))*10+50</f>
        <v>46.2904717853839</v>
      </c>
      <c r="BY34" s="8"/>
      <c r="BZ34" s="49">
        <v>44</v>
      </c>
      <c r="CA34" s="83">
        <f t="shared" si="33"/>
        <v>6</v>
      </c>
      <c r="CB34" s="164">
        <f t="shared" si="24"/>
        <v>30</v>
      </c>
      <c r="CC34" s="52">
        <v>1855</v>
      </c>
      <c r="CD34" s="16">
        <f t="shared" si="12"/>
        <v>3.4482117629563533E-2</v>
      </c>
      <c r="CE34" s="17">
        <f>IF(AND(BZ34&lt;&gt;"", CC34&lt;&gt;""), SUM(CC$4:CC34), "")</f>
        <v>38499</v>
      </c>
      <c r="CF34" s="16">
        <f t="shared" si="13"/>
        <v>0.71564800356903857</v>
      </c>
      <c r="CG34" s="14"/>
      <c r="CH34" s="27">
        <v>19</v>
      </c>
      <c r="CI34" s="20" t="e" cm="1">
        <f t="array" aca="1" ref="CI34" ca="1">(CH34-INDIRECT(SUBSTITUTE(ADDRESS(1,COLUMN($C$9),4),"1","")&amp;SUMPRODUCT(($B$10:$D$26=INDIRECT(SUBSTITUTE(ADDRESS(1,COLUMN()-1,4),"1","")&amp;ROW()-33))*ROW($B$10:$D$26))))/INDIRECT(SUBSTITUTE(ADDRESS(1,COLUMN($D$9),4),"1","")&amp;SUMPRODUCT(($B$10:$D$26=INDIRECT(SUBSTITUTE(ADDRESS(1,COLUMN()-1,4),"1","")&amp;ROW()-33))*ROW($B$10:$D$26)))*10+50</f>
        <v>#DIV/0!</v>
      </c>
      <c r="CJ34" s="8"/>
      <c r="CK34" s="49">
        <v>38</v>
      </c>
      <c r="CL34" s="83">
        <f t="shared" si="34"/>
        <v>7</v>
      </c>
      <c r="CM34" s="164">
        <f t="shared" si="25"/>
        <v>15</v>
      </c>
      <c r="CN34" s="52">
        <v>5038</v>
      </c>
      <c r="CO34" s="16">
        <f t="shared" si="14"/>
        <v>4.2102272252446497E-2</v>
      </c>
      <c r="CP34" s="17">
        <f>IF(AND(CK34&lt;&gt;"", CN34&lt;&gt;""), SUM(CN$4:CN34), "")</f>
        <v>103990</v>
      </c>
      <c r="CQ34" s="16">
        <f t="shared" si="15"/>
        <v>0.86903836671931545</v>
      </c>
      <c r="CR34" s="14"/>
      <c r="CS34" s="27">
        <v>19</v>
      </c>
      <c r="CT34" s="20" t="e" cm="1">
        <f t="array" aca="1" ref="CT34" ca="1">(CS34-INDIRECT(SUBSTITUTE(ADDRESS(1,COLUMN($C$9),4),"1","")&amp;SUMPRODUCT(($B$10:$D$26=INDIRECT(SUBSTITUTE(ADDRESS(1,COLUMN()-1,4),"1","")&amp;ROW()-33))*ROW($B$10:$D$26))))/INDIRECT(SUBSTITUTE(ADDRESS(1,COLUMN($D$9),4),"1","")&amp;SUMPRODUCT(($B$10:$D$26=INDIRECT(SUBSTITUTE(ADDRESS(1,COLUMN()-1,4),"1","")&amp;ROW()-33))*ROW($B$10:$D$26)))*10+50</f>
        <v>#DIV/0!</v>
      </c>
      <c r="CU34" s="8"/>
      <c r="CV34" s="49">
        <v>39</v>
      </c>
      <c r="CW34" s="83">
        <f t="shared" si="35"/>
        <v>7</v>
      </c>
      <c r="CX34" s="164">
        <f t="shared" si="26"/>
        <v>18</v>
      </c>
      <c r="CY34" s="52">
        <v>3540</v>
      </c>
      <c r="CZ34" s="16">
        <f t="shared" si="16"/>
        <v>2.9251121706150171E-2</v>
      </c>
      <c r="DA34" s="17">
        <f>IF(AND(CV34&lt;&gt;"", CY34&lt;&gt;""), SUM(CY$4:CY34), "")</f>
        <v>101182</v>
      </c>
      <c r="DB34" s="16">
        <f t="shared" si="17"/>
        <v>0.83606977301460073</v>
      </c>
      <c r="FX34" s="28">
        <v>0</v>
      </c>
    </row>
    <row r="35" spans="1:180" ht="16" customHeight="1" x14ac:dyDescent="0.2">
      <c r="A35" s="82">
        <v>0.89</v>
      </c>
      <c r="B35" s="80">
        <v>7</v>
      </c>
      <c r="C35" s="1"/>
      <c r="D35" s="1"/>
      <c r="E35" s="1"/>
      <c r="F35" s="86"/>
      <c r="G35" s="85">
        <v>7</v>
      </c>
      <c r="H35" s="36"/>
      <c r="I35" s="86"/>
      <c r="J35" s="85">
        <v>7</v>
      </c>
      <c r="K35" s="36"/>
      <c r="L35" s="86"/>
      <c r="M35" s="85">
        <v>7</v>
      </c>
      <c r="N35"/>
      <c r="O35" s="38"/>
      <c r="P35" s="83" t="str">
        <f t="shared" si="27"/>
        <v/>
      </c>
      <c r="Q35" s="164" t="str">
        <f t="shared" si="18"/>
        <v/>
      </c>
      <c r="R35" s="43"/>
      <c r="S35" s="16" t="str">
        <f t="shared" si="0"/>
        <v/>
      </c>
      <c r="T35" s="17" t="str">
        <f>IF(AND(O35&lt;&gt;"", R35&lt;&gt;""), SUM(R$4:R35), "")</f>
        <v/>
      </c>
      <c r="U35" s="16" t="str">
        <f t="shared" si="1"/>
        <v/>
      </c>
      <c r="W35" s="38">
        <v>116</v>
      </c>
      <c r="X35" s="83">
        <f t="shared" si="28"/>
        <v>4</v>
      </c>
      <c r="Y35" s="164">
        <f t="shared" si="19"/>
        <v>74</v>
      </c>
      <c r="Z35" s="43">
        <v>6619</v>
      </c>
      <c r="AA35" s="16">
        <f t="shared" si="2"/>
        <v>1.7077984906147196E-2</v>
      </c>
      <c r="AB35" s="17">
        <f>IF(AND(W35&lt;&gt;"", Z35&lt;&gt;""), SUM(Z$4:Z35), "")</f>
        <v>104883</v>
      </c>
      <c r="AC35" s="16">
        <f t="shared" si="3"/>
        <v>0.27061342965877572</v>
      </c>
      <c r="AD35" s="1"/>
      <c r="AE35" s="19">
        <v>18</v>
      </c>
      <c r="AF35" s="20" t="e" cm="1">
        <f t="array" aca="1" ref="AF35" ca="1">(AE35-INDIRECT(SUBSTITUTE(ADDRESS(1,COLUMN($C$9),4),"1","")&amp;SUMPRODUCT(($B$10:$D$26=INDIRECT(SUBSTITUTE(ADDRESS(1,COLUMN()-1,4),"1","")&amp;ROW()-34))*ROW($B$10:$D$26))))/INDIRECT(SUBSTITUTE(ADDRESS(1,COLUMN($D$9),4),"1","")&amp;SUMPRODUCT(($B$10:$D$26=INDIRECT(SUBSTITUTE(ADDRESS(1,COLUMN()-1,4),"1","")&amp;ROW()-34))*ROW($B$10:$D$26)))*10+50</f>
        <v>#DIV/0!</v>
      </c>
      <c r="AG35" s="8"/>
      <c r="AH35" s="49">
        <v>34</v>
      </c>
      <c r="AI35" s="83">
        <f t="shared" si="29"/>
        <v>7</v>
      </c>
      <c r="AJ35" s="164">
        <f t="shared" si="20"/>
        <v>13</v>
      </c>
      <c r="AK35" s="52">
        <v>591</v>
      </c>
      <c r="AL35" s="16">
        <f t="shared" si="4"/>
        <v>1.2735971036979571E-2</v>
      </c>
      <c r="AM35" s="17">
        <f>IF(AND(AH35&lt;&gt;"", AK35&lt;&gt;""), SUM(AK$4:AK35), "")</f>
        <v>40804</v>
      </c>
      <c r="AN35" s="16">
        <f t="shared" si="5"/>
        <v>0.87932074821136108</v>
      </c>
      <c r="AO35" s="14"/>
      <c r="AP35" s="27">
        <v>18</v>
      </c>
      <c r="AQ35" s="20" t="e" cm="1">
        <f t="array" aca="1" ref="AQ35" ca="1">(AP35-INDIRECT(SUBSTITUTE(ADDRESS(1,COLUMN($C$9),4),"1","")&amp;SUMPRODUCT(($B$10:$D$26=INDIRECT(SUBSTITUTE(ADDRESS(1,COLUMN()-1,4),"1","")&amp;ROW()-34))*ROW($B$10:$D$26))))/INDIRECT(SUBSTITUTE(ADDRESS(1,COLUMN($D$9),4),"1","")&amp;SUMPRODUCT(($B$10:$D$26=INDIRECT(SUBSTITUTE(ADDRESS(1,COLUMN()-1,4),"1","")&amp;ROW()-34))*ROW($B$10:$D$26)))*10+50</f>
        <v>#DIV/0!</v>
      </c>
      <c r="AR35" s="8"/>
      <c r="AS35" s="49">
        <v>42</v>
      </c>
      <c r="AT35" s="83">
        <f t="shared" si="30"/>
        <v>6</v>
      </c>
      <c r="AU35" s="164">
        <f t="shared" si="21"/>
        <v>24</v>
      </c>
      <c r="AV35" s="52">
        <v>1086</v>
      </c>
      <c r="AW35" s="16">
        <f t="shared" si="6"/>
        <v>3.5365377100429855E-2</v>
      </c>
      <c r="AX35" s="17">
        <f>IF(AND(AS35&lt;&gt;"", AV35&lt;&gt;""), SUM(AV$4:AV35), "")</f>
        <v>23966</v>
      </c>
      <c r="AY35" s="16">
        <f t="shared" si="7"/>
        <v>0.78044809170248797</v>
      </c>
      <c r="AZ35" s="14"/>
      <c r="BA35" s="27">
        <v>18</v>
      </c>
      <c r="BB35" s="20" t="e" cm="1">
        <f t="array" aca="1" ref="BB35" ca="1">(BA35-INDIRECT(SUBSTITUTE(ADDRESS(1,COLUMN($C$9),4),"1","")&amp;SUMPRODUCT(($B$10:$D$26=INDIRECT(SUBSTITUTE(ADDRESS(1,COLUMN()-1,4),"1","")&amp;ROW()-34))*ROW($B$10:$D$26))))/INDIRECT(SUBSTITUTE(ADDRESS(1,COLUMN($D$9),4),"1","")&amp;SUMPRODUCT(($B$10:$D$26=INDIRECT(SUBSTITUTE(ADDRESS(1,COLUMN()-1,4),"1","")&amp;ROW()-34))*ROW($B$10:$D$26)))*10+50</f>
        <v>#DIV/0!</v>
      </c>
      <c r="BC35" s="8"/>
      <c r="BD35" s="49">
        <v>38</v>
      </c>
      <c r="BE35" s="83">
        <f t="shared" si="31"/>
        <v>7</v>
      </c>
      <c r="BF35" s="164">
        <f t="shared" si="22"/>
        <v>13</v>
      </c>
      <c r="BG35" s="52">
        <v>484</v>
      </c>
      <c r="BH35" s="16">
        <f t="shared" si="8"/>
        <v>1.4918472397743736E-2</v>
      </c>
      <c r="BI35" s="17">
        <f>IF(AND(BD35&lt;&gt;"", BG35&lt;&gt;""), SUM(BG$4:BG35), "")</f>
        <v>28566</v>
      </c>
      <c r="BJ35" s="16">
        <f t="shared" si="9"/>
        <v>0.88049810436766018</v>
      </c>
      <c r="BK35" s="14"/>
      <c r="BL35" s="27">
        <v>18</v>
      </c>
      <c r="BM35" s="20" t="e" cm="1">
        <f t="array" aca="1" ref="BM35" ca="1">(BL35-INDIRECT(SUBSTITUTE(ADDRESS(1,COLUMN($C$9),4),"1","")&amp;SUMPRODUCT(($B$10:$D$26=INDIRECT(SUBSTITUTE(ADDRESS(1,COLUMN()-1,4),"1","")&amp;ROW()-34))*ROW($B$10:$D$26))))/INDIRECT(SUBSTITUTE(ADDRESS(1,COLUMN($D$9),4),"1","")&amp;SUMPRODUCT(($B$10:$D$26=INDIRECT(SUBSTITUTE(ADDRESS(1,COLUMN()-1,4),"1","")&amp;ROW()-34))*ROW($B$10:$D$26)))*10+50</f>
        <v>#DIV/0!</v>
      </c>
      <c r="BN35" s="8"/>
      <c r="BO35" s="49">
        <v>36</v>
      </c>
      <c r="BP35" s="83">
        <f t="shared" si="32"/>
        <v>7</v>
      </c>
      <c r="BQ35" s="164">
        <f t="shared" si="23"/>
        <v>11</v>
      </c>
      <c r="BR35" s="52">
        <v>923</v>
      </c>
      <c r="BS35" s="16">
        <f t="shared" si="10"/>
        <v>1.6562589721504449E-2</v>
      </c>
      <c r="BT35" s="17">
        <f>IF(AND(BO35&lt;&gt;"", BR35&lt;&gt;""), SUM(BR$4:BR35), "")</f>
        <v>50312</v>
      </c>
      <c r="BU35" s="16">
        <f t="shared" si="11"/>
        <v>0.90281366637955784</v>
      </c>
      <c r="BV35" s="14"/>
      <c r="BW35" s="27">
        <v>18</v>
      </c>
      <c r="BX35" s="20" cm="1">
        <f t="array" aca="1" ref="BX35" ca="1">(BW35-INDIRECT(SUBSTITUTE(ADDRESS(1,COLUMN($C$9),4),"1","")&amp;SUMPRODUCT(($B$10:$D$26=INDIRECT(SUBSTITUTE(ADDRESS(1,COLUMN()-1,4),"1","")&amp;ROW()-34))*ROW($B$10:$D$26))))/INDIRECT(SUBSTITUTE(ADDRESS(1,COLUMN($D$9),4),"1","")&amp;SUMPRODUCT(($B$10:$D$26=INDIRECT(SUBSTITUTE(ADDRESS(1,COLUMN()-1,4),"1","")&amp;ROW()-34))*ROW($B$10:$D$26)))*10+50</f>
        <v>45.36540240518039</v>
      </c>
      <c r="BY35" s="8"/>
      <c r="BZ35" s="49">
        <v>43</v>
      </c>
      <c r="CA35" s="83">
        <f t="shared" si="33"/>
        <v>6</v>
      </c>
      <c r="CB35" s="164">
        <f t="shared" si="24"/>
        <v>27</v>
      </c>
      <c r="CC35" s="52">
        <v>1637</v>
      </c>
      <c r="CD35" s="16">
        <f t="shared" si="12"/>
        <v>3.0429771730240168E-2</v>
      </c>
      <c r="CE35" s="17">
        <f>IF(AND(BZ35&lt;&gt;"", CC35&lt;&gt;""), SUM(CC$4:CC35), "")</f>
        <v>40136</v>
      </c>
      <c r="CF35" s="16">
        <f t="shared" si="13"/>
        <v>0.74607777529927877</v>
      </c>
      <c r="CG35" s="14"/>
      <c r="CH35" s="27">
        <v>18</v>
      </c>
      <c r="CI35" s="20" t="e" cm="1">
        <f t="array" aca="1" ref="CI35" ca="1">(CH35-INDIRECT(SUBSTITUTE(ADDRESS(1,COLUMN($C$9),4),"1","")&amp;SUMPRODUCT(($B$10:$D$26=INDIRECT(SUBSTITUTE(ADDRESS(1,COLUMN()-1,4),"1","")&amp;ROW()-34))*ROW($B$10:$D$26))))/INDIRECT(SUBSTITUTE(ADDRESS(1,COLUMN($D$9),4),"1","")&amp;SUMPRODUCT(($B$10:$D$26=INDIRECT(SUBSTITUTE(ADDRESS(1,COLUMN()-1,4),"1","")&amp;ROW()-34))*ROW($B$10:$D$26)))*10+50</f>
        <v>#DIV/0!</v>
      </c>
      <c r="CJ35" s="8"/>
      <c r="CK35" s="49">
        <v>37</v>
      </c>
      <c r="CL35" s="83">
        <f t="shared" si="34"/>
        <v>7</v>
      </c>
      <c r="CM35" s="164">
        <f t="shared" si="25"/>
        <v>11</v>
      </c>
      <c r="CN35" s="52">
        <v>4195</v>
      </c>
      <c r="CO35" s="16">
        <f t="shared" si="14"/>
        <v>3.5057370404726687E-2</v>
      </c>
      <c r="CP35" s="17">
        <f>IF(AND(CK35&lt;&gt;"", CN35&lt;&gt;""), SUM(CN$4:CN35), "")</f>
        <v>108185</v>
      </c>
      <c r="CQ35" s="16">
        <f t="shared" si="15"/>
        <v>0.90409573712404212</v>
      </c>
      <c r="CR35" s="14"/>
      <c r="CS35" s="27">
        <v>18</v>
      </c>
      <c r="CT35" s="20" t="e" cm="1">
        <f t="array" aca="1" ref="CT35" ca="1">(CS35-INDIRECT(SUBSTITUTE(ADDRESS(1,COLUMN($C$9),4),"1","")&amp;SUMPRODUCT(($B$10:$D$26=INDIRECT(SUBSTITUTE(ADDRESS(1,COLUMN()-1,4),"1","")&amp;ROW()-34))*ROW($B$10:$D$26))))/INDIRECT(SUBSTITUTE(ADDRESS(1,COLUMN($D$9),4),"1","")&amp;SUMPRODUCT(($B$10:$D$26=INDIRECT(SUBSTITUTE(ADDRESS(1,COLUMN()-1,4),"1","")&amp;ROW()-34))*ROW($B$10:$D$26)))*10+50</f>
        <v>#DIV/0!</v>
      </c>
      <c r="CU35" s="8"/>
      <c r="CV35" s="49">
        <v>38</v>
      </c>
      <c r="CW35" s="83">
        <f t="shared" si="35"/>
        <v>7</v>
      </c>
      <c r="CX35" s="164">
        <f t="shared" si="26"/>
        <v>14</v>
      </c>
      <c r="CY35" s="52">
        <v>5670</v>
      </c>
      <c r="CZ35" s="16">
        <f t="shared" si="16"/>
        <v>4.6851372902223583E-2</v>
      </c>
      <c r="DA35" s="17">
        <f>IF(AND(CV35&lt;&gt;"", CY35&lt;&gt;""), SUM(CY$4:CY35), "")</f>
        <v>106852</v>
      </c>
      <c r="DB35" s="16">
        <f t="shared" si="17"/>
        <v>0.88292114591682436</v>
      </c>
      <c r="FX35" s="28">
        <v>0</v>
      </c>
    </row>
    <row r="36" spans="1:180" ht="16" customHeight="1" x14ac:dyDescent="0.2">
      <c r="A36" s="82">
        <v>0.96</v>
      </c>
      <c r="B36" s="80">
        <v>8</v>
      </c>
      <c r="C36" s="1"/>
      <c r="D36" s="1"/>
      <c r="E36" s="1"/>
      <c r="F36" s="86"/>
      <c r="G36" s="85">
        <v>8</v>
      </c>
      <c r="H36" s="36"/>
      <c r="I36" s="86"/>
      <c r="J36" s="85">
        <v>8</v>
      </c>
      <c r="K36" s="36"/>
      <c r="L36" s="86"/>
      <c r="M36" s="85">
        <v>8</v>
      </c>
      <c r="N36"/>
      <c r="O36" s="38"/>
      <c r="P36" s="83" t="str">
        <f t="shared" si="27"/>
        <v/>
      </c>
      <c r="Q36" s="164" t="str">
        <f t="shared" si="18"/>
        <v/>
      </c>
      <c r="R36" s="43"/>
      <c r="S36" s="16" t="str">
        <f t="shared" ref="S36:S67" si="36">IF(AND(O36&lt;&gt;"", R36&lt;&gt;""), R36/U$1, "")</f>
        <v/>
      </c>
      <c r="T36" s="17" t="str">
        <f>IF(AND(O36&lt;&gt;"", R36&lt;&gt;""), SUM(R$4:R36), "")</f>
        <v/>
      </c>
      <c r="U36" s="16" t="str">
        <f t="shared" ref="U36:U67" si="37">IF(AND(O36&lt;&gt;"", R36&lt;&gt;""), T36/U$1, "")</f>
        <v/>
      </c>
      <c r="W36" s="38">
        <v>115</v>
      </c>
      <c r="X36" s="83">
        <f t="shared" si="28"/>
        <v>4</v>
      </c>
      <c r="Y36" s="164">
        <f t="shared" si="19"/>
        <v>72</v>
      </c>
      <c r="Z36" s="43">
        <v>6460</v>
      </c>
      <c r="AA36" s="16">
        <f t="shared" ref="AA36:AA67" si="38">IF(AND(W36&lt;&gt;"", Z36&lt;&gt;""), Z36/AC$1, "")</f>
        <v>1.6667741727407599E-2</v>
      </c>
      <c r="AB36" s="17">
        <f>IF(AND(W36&lt;&gt;"", Z36&lt;&gt;""), SUM(Z$4:Z36), "")</f>
        <v>111343</v>
      </c>
      <c r="AC36" s="16">
        <f t="shared" ref="AC36:AC67" si="39">IF(AND(W36&lt;&gt;"", Z36&lt;&gt;""), AB36/AC$1, "")</f>
        <v>0.28728117138618331</v>
      </c>
      <c r="AD36" s="1"/>
      <c r="AE36" s="19">
        <v>17</v>
      </c>
      <c r="AF36" s="20" t="e" cm="1">
        <f t="array" aca="1" ref="AF36" ca="1">(AE36-INDIRECT(SUBSTITUTE(ADDRESS(1,COLUMN($C$9),4),"1","")&amp;SUMPRODUCT(($B$10:$D$26=INDIRECT(SUBSTITUTE(ADDRESS(1,COLUMN()-1,4),"1","")&amp;ROW()-35))*ROW($B$10:$D$26))))/INDIRECT(SUBSTITUTE(ADDRESS(1,COLUMN($D$9),4),"1","")&amp;SUMPRODUCT(($B$10:$D$26=INDIRECT(SUBSTITUTE(ADDRESS(1,COLUMN()-1,4),"1","")&amp;ROW()-35))*ROW($B$10:$D$26)))*10+50</f>
        <v>#DIV/0!</v>
      </c>
      <c r="AG36" s="8"/>
      <c r="AH36" s="49">
        <v>33</v>
      </c>
      <c r="AI36" s="83">
        <f t="shared" si="29"/>
        <v>7</v>
      </c>
      <c r="AJ36" s="164">
        <f t="shared" si="20"/>
        <v>11</v>
      </c>
      <c r="AK36" s="52">
        <v>707</v>
      </c>
      <c r="AL36" s="16">
        <f t="shared" ref="AL36:AL52" si="40">IF(AND(AH36&lt;&gt;"", AK36&lt;&gt;""), AK36/AN$1, "")</f>
        <v>1.5235755538315663E-2</v>
      </c>
      <c r="AM36" s="17">
        <f>IF(AND(AH36&lt;&gt;"", AK36&lt;&gt;""), SUM(AK$4:AK36), "")</f>
        <v>41511</v>
      </c>
      <c r="AN36" s="16">
        <f t="shared" ref="AN36:AN52" si="41">IF(AND(AH36&lt;&gt;"", AK36&lt;&gt;""), AM36/AN$1, "")</f>
        <v>0.89455650374967677</v>
      </c>
      <c r="AO36" s="14"/>
      <c r="AP36" s="27">
        <v>17</v>
      </c>
      <c r="AQ36" s="20" t="e" cm="1">
        <f t="array" aca="1" ref="AQ36" ca="1">(AP36-INDIRECT(SUBSTITUTE(ADDRESS(1,COLUMN($C$9),4),"1","")&amp;SUMPRODUCT(($B$10:$D$26=INDIRECT(SUBSTITUTE(ADDRESS(1,COLUMN()-1,4),"1","")&amp;ROW()-35))*ROW($B$10:$D$26))))/INDIRECT(SUBSTITUTE(ADDRESS(1,COLUMN($D$9),4),"1","")&amp;SUMPRODUCT(($B$10:$D$26=INDIRECT(SUBSTITUTE(ADDRESS(1,COLUMN()-1,4),"1","")&amp;ROW()-35))*ROW($B$10:$D$26)))*10+50</f>
        <v>#DIV/0!</v>
      </c>
      <c r="AR36" s="8"/>
      <c r="AS36" s="49">
        <v>41</v>
      </c>
      <c r="AT36" s="83">
        <f t="shared" si="30"/>
        <v>7</v>
      </c>
      <c r="AU36" s="164">
        <f t="shared" si="21"/>
        <v>19</v>
      </c>
      <c r="AV36" s="52">
        <v>1807</v>
      </c>
      <c r="AW36" s="16">
        <f t="shared" ref="AW36:AW52" si="42">IF(AND(AS36&lt;&gt;"", AV36&lt;&gt;""), AV36/AY$1, "")</f>
        <v>5.8844600755503455E-2</v>
      </c>
      <c r="AX36" s="17">
        <f>IF(AND(AS36&lt;&gt;"", AV36&lt;&gt;""), SUM(AV$4:AV36), "")</f>
        <v>25773</v>
      </c>
      <c r="AY36" s="16">
        <f t="shared" ref="AY36:AY52" si="43">IF(AND(AS36&lt;&gt;"", AV36&lt;&gt;""), AX36/AY$1, "")</f>
        <v>0.83929269245799143</v>
      </c>
      <c r="AZ36" s="14"/>
      <c r="BA36" s="27">
        <v>17</v>
      </c>
      <c r="BB36" s="20" t="e" cm="1">
        <f t="array" aca="1" ref="BB36" ca="1">(BA36-INDIRECT(SUBSTITUTE(ADDRESS(1,COLUMN($C$9),4),"1","")&amp;SUMPRODUCT(($B$10:$D$26=INDIRECT(SUBSTITUTE(ADDRESS(1,COLUMN()-1,4),"1","")&amp;ROW()-35))*ROW($B$10:$D$26))))/INDIRECT(SUBSTITUTE(ADDRESS(1,COLUMN($D$9),4),"1","")&amp;SUMPRODUCT(($B$10:$D$26=INDIRECT(SUBSTITUTE(ADDRESS(1,COLUMN()-1,4),"1","")&amp;ROW()-35))*ROW($B$10:$D$26)))*10+50</f>
        <v>#DIV/0!</v>
      </c>
      <c r="BC36" s="8"/>
      <c r="BD36" s="49">
        <v>37</v>
      </c>
      <c r="BE36" s="83">
        <f t="shared" si="31"/>
        <v>7</v>
      </c>
      <c r="BF36" s="164">
        <f t="shared" si="22"/>
        <v>10</v>
      </c>
      <c r="BG36" s="52">
        <v>1134</v>
      </c>
      <c r="BH36" s="16">
        <f t="shared" ref="BH36:BH52" si="44">IF(AND(BD36&lt;&gt;"", BG36&lt;&gt;""), BG36/BJ$1, "")</f>
        <v>3.4953610948432634E-2</v>
      </c>
      <c r="BI36" s="17">
        <f>IF(AND(BD36&lt;&gt;"", BG36&lt;&gt;""), SUM(BG$4:BG36), "")</f>
        <v>29700</v>
      </c>
      <c r="BJ36" s="16">
        <f t="shared" ref="BJ36:BJ52" si="45">IF(AND(BD36&lt;&gt;"", BG36&lt;&gt;""), BI36/BJ$1, "")</f>
        <v>0.91545171531609282</v>
      </c>
      <c r="BK36" s="14"/>
      <c r="BL36" s="27">
        <v>17</v>
      </c>
      <c r="BM36" s="20" t="e" cm="1">
        <f t="array" aca="1" ref="BM36" ca="1">(BL36-INDIRECT(SUBSTITUTE(ADDRESS(1,COLUMN($C$9),4),"1","")&amp;SUMPRODUCT(($B$10:$D$26=INDIRECT(SUBSTITUTE(ADDRESS(1,COLUMN()-1,4),"1","")&amp;ROW()-35))*ROW($B$10:$D$26))))/INDIRECT(SUBSTITUTE(ADDRESS(1,COLUMN($D$9),4),"1","")&amp;SUMPRODUCT(($B$10:$D$26=INDIRECT(SUBSTITUTE(ADDRESS(1,COLUMN()-1,4),"1","")&amp;ROW()-35))*ROW($B$10:$D$26)))*10+50</f>
        <v>#DIV/0!</v>
      </c>
      <c r="BN36" s="8"/>
      <c r="BO36" s="49">
        <v>35</v>
      </c>
      <c r="BP36" s="83">
        <f t="shared" si="32"/>
        <v>8</v>
      </c>
      <c r="BQ36" s="164">
        <f t="shared" si="23"/>
        <v>9</v>
      </c>
      <c r="BR36" s="52">
        <v>887</v>
      </c>
      <c r="BS36" s="16">
        <f t="shared" ref="BS36:BS52" si="46">IF(AND(BO36&lt;&gt;"", BR36&lt;&gt;""), BR36/BU$1, "")</f>
        <v>1.5916594889463107E-2</v>
      </c>
      <c r="BT36" s="17">
        <f>IF(AND(BO36&lt;&gt;"", BR36&lt;&gt;""), SUM(BR$4:BR36), "")</f>
        <v>51199</v>
      </c>
      <c r="BU36" s="16">
        <f t="shared" ref="BU36:BU52" si="47">IF(AND(BO36&lt;&gt;"", BR36&lt;&gt;""), BT36/BU$1, "")</f>
        <v>0.91873026126902091</v>
      </c>
      <c r="BV36" s="14"/>
      <c r="BW36" s="27">
        <v>17</v>
      </c>
      <c r="BX36" s="20" cm="1">
        <f t="array" aca="1" ref="BX36" ca="1">(BW36-INDIRECT(SUBSTITUTE(ADDRESS(1,COLUMN($C$9),4),"1","")&amp;SUMPRODUCT(($B$10:$D$26=INDIRECT(SUBSTITUTE(ADDRESS(1,COLUMN()-1,4),"1","")&amp;ROW()-35))*ROW($B$10:$D$26))))/INDIRECT(SUBSTITUTE(ADDRESS(1,COLUMN($D$9),4),"1","")&amp;SUMPRODUCT(($B$10:$D$26=INDIRECT(SUBSTITUTE(ADDRESS(1,COLUMN()-1,4),"1","")&amp;ROW()-35))*ROW($B$10:$D$26)))*10+50</f>
        <v>44.440333024976873</v>
      </c>
      <c r="BY36" s="8"/>
      <c r="BZ36" s="49">
        <v>42</v>
      </c>
      <c r="CA36" s="83">
        <f t="shared" si="33"/>
        <v>6</v>
      </c>
      <c r="CB36" s="164">
        <f t="shared" si="24"/>
        <v>24</v>
      </c>
      <c r="CC36" s="52">
        <v>1812</v>
      </c>
      <c r="CD36" s="16">
        <f t="shared" ref="CD36:CD52" si="48">IF(AND(BZ36&lt;&gt;"", CC36&lt;&gt;""), CC36/CF$1, "")</f>
        <v>3.3682801695293328E-2</v>
      </c>
      <c r="CE36" s="17">
        <f>IF(AND(BZ36&lt;&gt;"", CC36&lt;&gt;""), SUM(CC$4:CC36), "")</f>
        <v>41948</v>
      </c>
      <c r="CF36" s="16">
        <f t="shared" ref="CF36:CF52" si="49">IF(AND(BZ36&lt;&gt;"", CC36&lt;&gt;""), CE36/CF$1, "")</f>
        <v>0.77976057699457213</v>
      </c>
      <c r="CG36" s="14"/>
      <c r="CH36" s="27">
        <v>17</v>
      </c>
      <c r="CI36" s="20" t="e" cm="1">
        <f t="array" aca="1" ref="CI36" ca="1">(CH36-INDIRECT(SUBSTITUTE(ADDRESS(1,COLUMN($C$9),4),"1","")&amp;SUMPRODUCT(($B$10:$D$26=INDIRECT(SUBSTITUTE(ADDRESS(1,COLUMN()-1,4),"1","")&amp;ROW()-35))*ROW($B$10:$D$26))))/INDIRECT(SUBSTITUTE(ADDRESS(1,COLUMN($D$9),4),"1","")&amp;SUMPRODUCT(($B$10:$D$26=INDIRECT(SUBSTITUTE(ADDRESS(1,COLUMN()-1,4),"1","")&amp;ROW()-35))*ROW($B$10:$D$26)))*10+50</f>
        <v>#DIV/0!</v>
      </c>
      <c r="CJ36" s="8"/>
      <c r="CK36" s="49">
        <v>36</v>
      </c>
      <c r="CL36" s="83">
        <f t="shared" si="34"/>
        <v>8</v>
      </c>
      <c r="CM36" s="164">
        <f t="shared" si="25"/>
        <v>9</v>
      </c>
      <c r="CN36" s="52">
        <v>2220</v>
      </c>
      <c r="CO36" s="16">
        <f t="shared" ref="CO36:CO52" si="50">IF(AND(CK36&lt;&gt;"", CN36&lt;&gt;""), CN36/CQ$1, "")</f>
        <v>1.8552410559831523E-2</v>
      </c>
      <c r="CP36" s="17">
        <f>IF(AND(CK36&lt;&gt;"", CN36&lt;&gt;""), SUM(CN$4:CN36), "")</f>
        <v>110405</v>
      </c>
      <c r="CQ36" s="16">
        <f t="shared" ref="CQ36:CQ52" si="51">IF(AND(CK36&lt;&gt;"", CN36&lt;&gt;""), CP36/CQ$1, "")</f>
        <v>0.9226481476838736</v>
      </c>
      <c r="CR36" s="14"/>
      <c r="CS36" s="27">
        <v>17</v>
      </c>
      <c r="CT36" s="20" t="e" cm="1">
        <f t="array" aca="1" ref="CT36" ca="1">(CS36-INDIRECT(SUBSTITUTE(ADDRESS(1,COLUMN($C$9),4),"1","")&amp;SUMPRODUCT(($B$10:$D$26=INDIRECT(SUBSTITUTE(ADDRESS(1,COLUMN()-1,4),"1","")&amp;ROW()-35))*ROW($B$10:$D$26))))/INDIRECT(SUBSTITUTE(ADDRESS(1,COLUMN($D$9),4),"1","")&amp;SUMPRODUCT(($B$10:$D$26=INDIRECT(SUBSTITUTE(ADDRESS(1,COLUMN()-1,4),"1","")&amp;ROW()-35))*ROW($B$10:$D$26)))*10+50</f>
        <v>#DIV/0!</v>
      </c>
      <c r="CU36" s="8"/>
      <c r="CV36" s="49">
        <v>37</v>
      </c>
      <c r="CW36" s="83">
        <f t="shared" si="35"/>
        <v>7</v>
      </c>
      <c r="CX36" s="164">
        <f t="shared" si="26"/>
        <v>11</v>
      </c>
      <c r="CY36" s="52">
        <v>2332</v>
      </c>
      <c r="CZ36" s="16">
        <f t="shared" ref="CZ36:CZ52" si="52">IF(AND(CV36&lt;&gt;"", CY36&lt;&gt;""), CY36/DB$1, "")</f>
        <v>1.9269382999644688E-2</v>
      </c>
      <c r="DA36" s="17">
        <f>IF(AND(CV36&lt;&gt;"", CY36&lt;&gt;""), SUM(CY$4:CY36), "")</f>
        <v>109184</v>
      </c>
      <c r="DB36" s="16">
        <f t="shared" ref="DB36:DB52" si="53">IF(AND(CV36&lt;&gt;"", CY36&lt;&gt;""), DA36/DB$1, "")</f>
        <v>0.902190528916469</v>
      </c>
      <c r="FX36" s="28">
        <v>0</v>
      </c>
    </row>
    <row r="37" spans="1:180" ht="16" customHeight="1" x14ac:dyDescent="0.2">
      <c r="A37" s="82">
        <v>1</v>
      </c>
      <c r="B37" s="80">
        <v>9</v>
      </c>
      <c r="C37" s="1"/>
      <c r="D37" s="1"/>
      <c r="E37" s="1"/>
      <c r="F37" s="86"/>
      <c r="G37" s="85">
        <v>9</v>
      </c>
      <c r="H37" s="36"/>
      <c r="I37" s="86"/>
      <c r="J37" s="85">
        <v>9</v>
      </c>
      <c r="K37" s="36"/>
      <c r="L37" s="86"/>
      <c r="M37" s="85">
        <v>9</v>
      </c>
      <c r="N37"/>
      <c r="O37" s="38"/>
      <c r="P37" s="83" t="str">
        <f t="shared" si="27"/>
        <v/>
      </c>
      <c r="Q37" s="164" t="str">
        <f t="shared" si="18"/>
        <v/>
      </c>
      <c r="R37" s="43"/>
      <c r="S37" s="16" t="str">
        <f t="shared" si="36"/>
        <v/>
      </c>
      <c r="T37" s="17" t="str">
        <f>IF(AND(O37&lt;&gt;"", R37&lt;&gt;""), SUM(R$4:R37), "")</f>
        <v/>
      </c>
      <c r="U37" s="16" t="str">
        <f t="shared" si="37"/>
        <v/>
      </c>
      <c r="W37" s="38">
        <v>114</v>
      </c>
      <c r="X37" s="83">
        <f t="shared" si="28"/>
        <v>4</v>
      </c>
      <c r="Y37" s="164">
        <f t="shared" si="19"/>
        <v>70</v>
      </c>
      <c r="Z37" s="43">
        <v>6762</v>
      </c>
      <c r="AA37" s="16">
        <f t="shared" si="38"/>
        <v>1.7446945752435012E-2</v>
      </c>
      <c r="AB37" s="17">
        <f>IF(AND(W37&lt;&gt;"", Z37&lt;&gt;""), SUM(Z$4:Z37), "")</f>
        <v>118105</v>
      </c>
      <c r="AC37" s="16">
        <f t="shared" si="39"/>
        <v>0.30472811713861836</v>
      </c>
      <c r="AD37" s="1"/>
      <c r="AE37" s="19">
        <v>16</v>
      </c>
      <c r="AF37" s="20" t="e" cm="1">
        <f t="array" aca="1" ref="AF37" ca="1">(AE37-INDIRECT(SUBSTITUTE(ADDRESS(1,COLUMN($C$9),4),"1","")&amp;SUMPRODUCT(($B$10:$D$26=INDIRECT(SUBSTITUTE(ADDRESS(1,COLUMN()-1,4),"1","")&amp;ROW()-36))*ROW($B$10:$D$26))))/INDIRECT(SUBSTITUTE(ADDRESS(1,COLUMN($D$9),4),"1","")&amp;SUMPRODUCT(($B$10:$D$26=INDIRECT(SUBSTITUTE(ADDRESS(1,COLUMN()-1,4),"1","")&amp;ROW()-36))*ROW($B$10:$D$26)))*10+50</f>
        <v>#DIV/0!</v>
      </c>
      <c r="AG37" s="8"/>
      <c r="AH37" s="49">
        <v>32</v>
      </c>
      <c r="AI37" s="83">
        <f t="shared" si="29"/>
        <v>8</v>
      </c>
      <c r="AJ37" s="164">
        <f t="shared" si="20"/>
        <v>9</v>
      </c>
      <c r="AK37" s="52">
        <v>1129</v>
      </c>
      <c r="AL37" s="16">
        <f t="shared" si="40"/>
        <v>2.4329799155245236E-2</v>
      </c>
      <c r="AM37" s="17">
        <f>IF(AND(AH37&lt;&gt;"", AK37&lt;&gt;""), SUM(AK$4:AK37), "")</f>
        <v>42640</v>
      </c>
      <c r="AN37" s="16">
        <f t="shared" si="41"/>
        <v>0.91888630290492201</v>
      </c>
      <c r="AO37" s="14"/>
      <c r="AP37" s="27">
        <v>16</v>
      </c>
      <c r="AQ37" s="20" t="e" cm="1">
        <f t="array" aca="1" ref="AQ37" ca="1">(AP37-INDIRECT(SUBSTITUTE(ADDRESS(1,COLUMN($C$9),4),"1","")&amp;SUMPRODUCT(($B$10:$D$26=INDIRECT(SUBSTITUTE(ADDRESS(1,COLUMN()-1,4),"1","")&amp;ROW()-36))*ROW($B$10:$D$26))))/INDIRECT(SUBSTITUTE(ADDRESS(1,COLUMN($D$9),4),"1","")&amp;SUMPRODUCT(($B$10:$D$26=INDIRECT(SUBSTITUTE(ADDRESS(1,COLUMN()-1,4),"1","")&amp;ROW()-36))*ROW($B$10:$D$26)))*10+50</f>
        <v>#DIV/0!</v>
      </c>
      <c r="AR37" s="8"/>
      <c r="AS37" s="49">
        <v>40</v>
      </c>
      <c r="AT37" s="83">
        <f t="shared" si="30"/>
        <v>7</v>
      </c>
      <c r="AU37" s="164">
        <f t="shared" si="21"/>
        <v>14</v>
      </c>
      <c r="AV37" s="52">
        <v>1096</v>
      </c>
      <c r="AW37" s="16">
        <f t="shared" si="42"/>
        <v>3.5691025140028657E-2</v>
      </c>
      <c r="AX37" s="17">
        <f>IF(AND(AS37&lt;&gt;"", AV37&lt;&gt;""), SUM(AV$4:AV37), "")</f>
        <v>26869</v>
      </c>
      <c r="AY37" s="16">
        <f t="shared" si="43"/>
        <v>0.87498371759802007</v>
      </c>
      <c r="AZ37" s="14"/>
      <c r="BA37" s="27">
        <v>16</v>
      </c>
      <c r="BB37" s="20" t="e" cm="1">
        <f t="array" aca="1" ref="BB37" ca="1">(BA37-INDIRECT(SUBSTITUTE(ADDRESS(1,COLUMN($C$9),4),"1","")&amp;SUMPRODUCT(($B$10:$D$26=INDIRECT(SUBSTITUTE(ADDRESS(1,COLUMN()-1,4),"1","")&amp;ROW()-36))*ROW($B$10:$D$26))))/INDIRECT(SUBSTITUTE(ADDRESS(1,COLUMN($D$9),4),"1","")&amp;SUMPRODUCT(($B$10:$D$26=INDIRECT(SUBSTITUTE(ADDRESS(1,COLUMN()-1,4),"1","")&amp;ROW()-36))*ROW($B$10:$D$26)))*10+50</f>
        <v>#DIV/0!</v>
      </c>
      <c r="BC37" s="8"/>
      <c r="BD37" s="49">
        <v>36</v>
      </c>
      <c r="BE37" s="83">
        <f t="shared" si="31"/>
        <v>8</v>
      </c>
      <c r="BF37" s="164">
        <f t="shared" si="22"/>
        <v>8</v>
      </c>
      <c r="BG37" s="52">
        <v>398</v>
      </c>
      <c r="BH37" s="16">
        <f t="shared" si="44"/>
        <v>1.2267669451037204E-2</v>
      </c>
      <c r="BI37" s="17">
        <f>IF(AND(BD37&lt;&gt;"", BG37&lt;&gt;""), SUM(BG$4:BG37), "")</f>
        <v>30098</v>
      </c>
      <c r="BJ37" s="16">
        <f t="shared" si="45"/>
        <v>0.92771938476713001</v>
      </c>
      <c r="BK37" s="14"/>
      <c r="BL37" s="27">
        <v>16</v>
      </c>
      <c r="BM37" s="20" t="e" cm="1">
        <f t="array" aca="1" ref="BM37" ca="1">(BL37-INDIRECT(SUBSTITUTE(ADDRESS(1,COLUMN($C$9),4),"1","")&amp;SUMPRODUCT(($B$10:$D$26=INDIRECT(SUBSTITUTE(ADDRESS(1,COLUMN()-1,4),"1","")&amp;ROW()-36))*ROW($B$10:$D$26))))/INDIRECT(SUBSTITUTE(ADDRESS(1,COLUMN($D$9),4),"1","")&amp;SUMPRODUCT(($B$10:$D$26=INDIRECT(SUBSTITUTE(ADDRESS(1,COLUMN()-1,4),"1","")&amp;ROW()-36))*ROW($B$10:$D$26)))*10+50</f>
        <v>#DIV/0!</v>
      </c>
      <c r="BN37" s="8"/>
      <c r="BO37" s="49">
        <v>34</v>
      </c>
      <c r="BP37" s="83">
        <f t="shared" si="32"/>
        <v>8</v>
      </c>
      <c r="BQ37" s="164">
        <f t="shared" si="23"/>
        <v>7</v>
      </c>
      <c r="BR37" s="52">
        <v>946</v>
      </c>
      <c r="BS37" s="16">
        <f t="shared" si="46"/>
        <v>1.6975308641975308E-2</v>
      </c>
      <c r="BT37" s="17">
        <f>IF(AND(BO37&lt;&gt;"", BR37&lt;&gt;""), SUM(BR$4:BR37), "")</f>
        <v>52145</v>
      </c>
      <c r="BU37" s="16">
        <f t="shared" si="47"/>
        <v>0.93570556991099629</v>
      </c>
      <c r="BV37" s="14"/>
      <c r="BW37" s="27">
        <v>16</v>
      </c>
      <c r="BX37" s="20" cm="1">
        <f t="array" aca="1" ref="BX37" ca="1">(BW37-INDIRECT(SUBSTITUTE(ADDRESS(1,COLUMN($C$9),4),"1","")&amp;SUMPRODUCT(($B$10:$D$26=INDIRECT(SUBSTITUTE(ADDRESS(1,COLUMN()-1,4),"1","")&amp;ROW()-36))*ROW($B$10:$D$26))))/INDIRECT(SUBSTITUTE(ADDRESS(1,COLUMN($D$9),4),"1","")&amp;SUMPRODUCT(($B$10:$D$26=INDIRECT(SUBSTITUTE(ADDRESS(1,COLUMN()-1,4),"1","")&amp;ROW()-36))*ROW($B$10:$D$26)))*10+50</f>
        <v>43.515263644773356</v>
      </c>
      <c r="BY37" s="8"/>
      <c r="BZ37" s="49">
        <v>41</v>
      </c>
      <c r="CA37" s="83">
        <f t="shared" si="33"/>
        <v>7</v>
      </c>
      <c r="CB37" s="164">
        <f t="shared" si="24"/>
        <v>20</v>
      </c>
      <c r="CC37" s="52">
        <v>1825</v>
      </c>
      <c r="CD37" s="16">
        <f t="shared" si="48"/>
        <v>3.3924455349840135E-2</v>
      </c>
      <c r="CE37" s="17">
        <f>IF(AND(BZ37&lt;&gt;"", CC37&lt;&gt;""), SUM(CC$4:CC37), "")</f>
        <v>43773</v>
      </c>
      <c r="CF37" s="16">
        <f t="shared" si="49"/>
        <v>0.81368503234441225</v>
      </c>
      <c r="CG37" s="14"/>
      <c r="CH37" s="27">
        <v>16</v>
      </c>
      <c r="CI37" s="20" t="e" cm="1">
        <f t="array" aca="1" ref="CI37" ca="1">(CH37-INDIRECT(SUBSTITUTE(ADDRESS(1,COLUMN($C$9),4),"1","")&amp;SUMPRODUCT(($B$10:$D$26=INDIRECT(SUBSTITUTE(ADDRESS(1,COLUMN()-1,4),"1","")&amp;ROW()-36))*ROW($B$10:$D$26))))/INDIRECT(SUBSTITUTE(ADDRESS(1,COLUMN($D$9),4),"1","")&amp;SUMPRODUCT(($B$10:$D$26=INDIRECT(SUBSTITUTE(ADDRESS(1,COLUMN()-1,4),"1","")&amp;ROW()-36))*ROW($B$10:$D$26)))*10+50</f>
        <v>#DIV/0!</v>
      </c>
      <c r="CJ37" s="8"/>
      <c r="CK37" s="49">
        <v>35</v>
      </c>
      <c r="CL37" s="83">
        <f t="shared" si="34"/>
        <v>8</v>
      </c>
      <c r="CM37" s="164">
        <f t="shared" si="25"/>
        <v>7</v>
      </c>
      <c r="CN37" s="52">
        <v>1916</v>
      </c>
      <c r="CO37" s="16">
        <f t="shared" si="50"/>
        <v>1.6011900284971712E-2</v>
      </c>
      <c r="CP37" s="17">
        <f>IF(AND(CK37&lt;&gt;"", CN37&lt;&gt;""), SUM(CN$4:CN37), "")</f>
        <v>112321</v>
      </c>
      <c r="CQ37" s="16">
        <f t="shared" si="51"/>
        <v>0.93866004796884528</v>
      </c>
      <c r="CR37" s="14"/>
      <c r="CS37" s="27">
        <v>16</v>
      </c>
      <c r="CT37" s="20" t="e" cm="1">
        <f t="array" aca="1" ref="CT37" ca="1">(CS37-INDIRECT(SUBSTITUTE(ADDRESS(1,COLUMN($C$9),4),"1","")&amp;SUMPRODUCT(($B$10:$D$26=INDIRECT(SUBSTITUTE(ADDRESS(1,COLUMN()-1,4),"1","")&amp;ROW()-36))*ROW($B$10:$D$26))))/INDIRECT(SUBSTITUTE(ADDRESS(1,COLUMN($D$9),4),"1","")&amp;SUMPRODUCT(($B$10:$D$26=INDIRECT(SUBSTITUTE(ADDRESS(1,COLUMN()-1,4),"1","")&amp;ROW()-36))*ROW($B$10:$D$26)))*10+50</f>
        <v>#DIV/0!</v>
      </c>
      <c r="CU37" s="8"/>
      <c r="CV37" s="49">
        <v>36</v>
      </c>
      <c r="CW37" s="83">
        <f t="shared" si="35"/>
        <v>8</v>
      </c>
      <c r="CX37" s="164">
        <f t="shared" si="26"/>
        <v>9</v>
      </c>
      <c r="CY37" s="52">
        <v>1399</v>
      </c>
      <c r="CZ37" s="16">
        <f t="shared" si="52"/>
        <v>1.1559977194040704E-2</v>
      </c>
      <c r="DA37" s="17">
        <f>IF(AND(CV37&lt;&gt;"", CY37&lt;&gt;""), SUM(CY$4:CY37), "")</f>
        <v>110583</v>
      </c>
      <c r="DB37" s="16">
        <f t="shared" si="53"/>
        <v>0.91375050611050979</v>
      </c>
      <c r="FX37" s="28">
        <v>0</v>
      </c>
    </row>
    <row r="38" spans="1:180" ht="16" customHeight="1" x14ac:dyDescent="0.2">
      <c r="E38" s="1"/>
      <c r="F38" s="1"/>
      <c r="G38" s="1"/>
      <c r="H38" s="1"/>
      <c r="I38" s="1"/>
      <c r="J38" s="1"/>
      <c r="K38" s="1"/>
      <c r="L38" s="1"/>
      <c r="M38" s="1"/>
      <c r="N38"/>
      <c r="O38" s="38"/>
      <c r="P38" s="83" t="str">
        <f t="shared" si="27"/>
        <v/>
      </c>
      <c r="Q38" s="164" t="str">
        <f t="shared" si="18"/>
        <v/>
      </c>
      <c r="R38" s="43"/>
      <c r="S38" s="16" t="str">
        <f t="shared" si="36"/>
        <v/>
      </c>
      <c r="T38" s="17" t="str">
        <f>IF(AND(O38&lt;&gt;"", R38&lt;&gt;""), SUM(R$4:R38), "")</f>
        <v/>
      </c>
      <c r="U38" s="16" t="str">
        <f t="shared" si="37"/>
        <v/>
      </c>
      <c r="W38" s="38">
        <v>113</v>
      </c>
      <c r="X38" s="83">
        <f t="shared" si="28"/>
        <v>4</v>
      </c>
      <c r="Y38" s="164">
        <f t="shared" si="19"/>
        <v>69</v>
      </c>
      <c r="Z38" s="43">
        <v>6748</v>
      </c>
      <c r="AA38" s="16">
        <f t="shared" si="38"/>
        <v>1.7410823711539701E-2</v>
      </c>
      <c r="AB38" s="17">
        <f>IF(AND(W38&lt;&gt;"", Z38&lt;&gt;""), SUM(Z$4:Z38), "")</f>
        <v>124853</v>
      </c>
      <c r="AC38" s="16">
        <f t="shared" si="39"/>
        <v>0.32213894085015804</v>
      </c>
      <c r="AD38" s="1"/>
      <c r="AE38" s="19">
        <v>15</v>
      </c>
      <c r="AF38" s="20" t="e" cm="1">
        <f t="array" aca="1" ref="AF38" ca="1">(AE38-INDIRECT(SUBSTITUTE(ADDRESS(1,COLUMN($C$9),4),"1","")&amp;SUMPRODUCT(($B$10:$D$26=INDIRECT(SUBSTITUTE(ADDRESS(1,COLUMN()-1,4),"1","")&amp;ROW()-37))*ROW($B$10:$D$26))))/INDIRECT(SUBSTITUTE(ADDRESS(1,COLUMN($D$9),4),"1","")&amp;SUMPRODUCT(($B$10:$D$26=INDIRECT(SUBSTITUTE(ADDRESS(1,COLUMN()-1,4),"1","")&amp;ROW()-37))*ROW($B$10:$D$26)))*10+50</f>
        <v>#DIV/0!</v>
      </c>
      <c r="AG38" s="8"/>
      <c r="AH38" s="49">
        <v>31</v>
      </c>
      <c r="AI38" s="83">
        <f t="shared" si="29"/>
        <v>8</v>
      </c>
      <c r="AJ38" s="164">
        <f t="shared" si="20"/>
        <v>7</v>
      </c>
      <c r="AK38" s="52">
        <v>1027</v>
      </c>
      <c r="AL38" s="16">
        <f t="shared" si="40"/>
        <v>2.2131712783380744E-2</v>
      </c>
      <c r="AM38" s="17">
        <f>IF(AND(AH38&lt;&gt;"", AK38&lt;&gt;""), SUM(AK$4:AK38), "")</f>
        <v>43667</v>
      </c>
      <c r="AN38" s="16">
        <f t="shared" si="41"/>
        <v>0.94101801568830268</v>
      </c>
      <c r="AO38" s="14"/>
      <c r="AP38" s="27">
        <v>15</v>
      </c>
      <c r="AQ38" s="20" t="e" cm="1">
        <f t="array" aca="1" ref="AQ38" ca="1">(AP38-INDIRECT(SUBSTITUTE(ADDRESS(1,COLUMN($C$9),4),"1","")&amp;SUMPRODUCT(($B$10:$D$26=INDIRECT(SUBSTITUTE(ADDRESS(1,COLUMN()-1,4),"1","")&amp;ROW()-37))*ROW($B$10:$D$26))))/INDIRECT(SUBSTITUTE(ADDRESS(1,COLUMN($D$9),4),"1","")&amp;SUMPRODUCT(($B$10:$D$26=INDIRECT(SUBSTITUTE(ADDRESS(1,COLUMN()-1,4),"1","")&amp;ROW()-37))*ROW($B$10:$D$26)))*10+50</f>
        <v>#DIV/0!</v>
      </c>
      <c r="AR38" s="8"/>
      <c r="AS38" s="49">
        <v>39</v>
      </c>
      <c r="AT38" s="83">
        <f t="shared" si="30"/>
        <v>7</v>
      </c>
      <c r="AU38" s="164">
        <f t="shared" si="21"/>
        <v>10</v>
      </c>
      <c r="AV38" s="52">
        <v>1762</v>
      </c>
      <c r="AW38" s="16">
        <f t="shared" si="42"/>
        <v>5.7379184577308846E-2</v>
      </c>
      <c r="AX38" s="17">
        <f>IF(AND(AS38&lt;&gt;"", AV38&lt;&gt;""), SUM(AV$4:AV38), "")</f>
        <v>28631</v>
      </c>
      <c r="AY38" s="16">
        <f t="shared" si="43"/>
        <v>0.93236290217532891</v>
      </c>
      <c r="AZ38" s="14"/>
      <c r="BA38" s="27">
        <v>15</v>
      </c>
      <c r="BB38" s="20" t="e" cm="1">
        <f t="array" aca="1" ref="BB38" ca="1">(BA38-INDIRECT(SUBSTITUTE(ADDRESS(1,COLUMN($C$9),4),"1","")&amp;SUMPRODUCT(($B$10:$D$26=INDIRECT(SUBSTITUTE(ADDRESS(1,COLUMN()-1,4),"1","")&amp;ROW()-37))*ROW($B$10:$D$26))))/INDIRECT(SUBSTITUTE(ADDRESS(1,COLUMN($D$9),4),"1","")&amp;SUMPRODUCT(($B$10:$D$26=INDIRECT(SUBSTITUTE(ADDRESS(1,COLUMN()-1,4),"1","")&amp;ROW()-37))*ROW($B$10:$D$26)))*10+50</f>
        <v>#DIV/0!</v>
      </c>
      <c r="BC38" s="8"/>
      <c r="BD38" s="49">
        <v>35</v>
      </c>
      <c r="BE38" s="83">
        <f t="shared" si="31"/>
        <v>8</v>
      </c>
      <c r="BF38" s="164">
        <f t="shared" si="22"/>
        <v>7</v>
      </c>
      <c r="BG38" s="52">
        <v>461</v>
      </c>
      <c r="BH38" s="16">
        <f t="shared" si="44"/>
        <v>1.4209536725950128E-2</v>
      </c>
      <c r="BI38" s="17">
        <f>IF(AND(BD38&lt;&gt;"", BG38&lt;&gt;""), SUM(BG$4:BG38), "")</f>
        <v>30559</v>
      </c>
      <c r="BJ38" s="16">
        <f t="shared" si="45"/>
        <v>0.94192892149308016</v>
      </c>
      <c r="BK38" s="14"/>
      <c r="BL38" s="27">
        <v>15</v>
      </c>
      <c r="BM38" s="20" t="e" cm="1">
        <f t="array" aca="1" ref="BM38" ca="1">(BL38-INDIRECT(SUBSTITUTE(ADDRESS(1,COLUMN($C$9),4),"1","")&amp;SUMPRODUCT(($B$10:$D$26=INDIRECT(SUBSTITUTE(ADDRESS(1,COLUMN()-1,4),"1","")&amp;ROW()-37))*ROW($B$10:$D$26))))/INDIRECT(SUBSTITUTE(ADDRESS(1,COLUMN($D$9),4),"1","")&amp;SUMPRODUCT(($B$10:$D$26=INDIRECT(SUBSTITUTE(ADDRESS(1,COLUMN()-1,4),"1","")&amp;ROW()-37))*ROW($B$10:$D$26)))*10+50</f>
        <v>#DIV/0!</v>
      </c>
      <c r="BN38" s="8"/>
      <c r="BO38" s="49">
        <v>33</v>
      </c>
      <c r="BP38" s="83">
        <f t="shared" si="32"/>
        <v>8</v>
      </c>
      <c r="BQ38" s="164">
        <f t="shared" si="23"/>
        <v>6</v>
      </c>
      <c r="BR38" s="52">
        <v>358</v>
      </c>
      <c r="BS38" s="16">
        <f t="shared" si="46"/>
        <v>6.4240597186333622E-3</v>
      </c>
      <c r="BT38" s="17">
        <f>IF(AND(BO38&lt;&gt;"", BR38&lt;&gt;""), SUM(BR$4:BR38), "")</f>
        <v>52503</v>
      </c>
      <c r="BU38" s="16">
        <f t="shared" si="47"/>
        <v>0.94212962962962965</v>
      </c>
      <c r="BV38" s="14"/>
      <c r="BW38" s="27">
        <v>15</v>
      </c>
      <c r="BX38" s="20" cm="1">
        <f t="array" aca="1" ref="BX38" ca="1">(BW38-INDIRECT(SUBSTITUTE(ADDRESS(1,COLUMN($C$9),4),"1","")&amp;SUMPRODUCT(($B$10:$D$26=INDIRECT(SUBSTITUTE(ADDRESS(1,COLUMN()-1,4),"1","")&amp;ROW()-37))*ROW($B$10:$D$26))))/INDIRECT(SUBSTITUTE(ADDRESS(1,COLUMN($D$9),4),"1","")&amp;SUMPRODUCT(($B$10:$D$26=INDIRECT(SUBSTITUTE(ADDRESS(1,COLUMN()-1,4),"1","")&amp;ROW()-37))*ROW($B$10:$D$26)))*10+50</f>
        <v>42.590194264569845</v>
      </c>
      <c r="BY38" s="8"/>
      <c r="BZ38" s="49">
        <v>40</v>
      </c>
      <c r="CA38" s="83">
        <f t="shared" si="33"/>
        <v>7</v>
      </c>
      <c r="CB38" s="164">
        <f t="shared" si="24"/>
        <v>16</v>
      </c>
      <c r="CC38" s="52">
        <v>2786</v>
      </c>
      <c r="CD38" s="16">
        <f t="shared" si="48"/>
        <v>5.1788237043646365E-2</v>
      </c>
      <c r="CE38" s="17">
        <f>IF(AND(BZ38&lt;&gt;"", CC38&lt;&gt;""), SUM(CC$4:CC38), "")</f>
        <v>46559</v>
      </c>
      <c r="CF38" s="16">
        <f t="shared" si="49"/>
        <v>0.86547326938805857</v>
      </c>
      <c r="CG38" s="14"/>
      <c r="CH38" s="27">
        <v>15</v>
      </c>
      <c r="CI38" s="20" t="e" cm="1">
        <f t="array" aca="1" ref="CI38" ca="1">(CH38-INDIRECT(SUBSTITUTE(ADDRESS(1,COLUMN($C$9),4),"1","")&amp;SUMPRODUCT(($B$10:$D$26=INDIRECT(SUBSTITUTE(ADDRESS(1,COLUMN()-1,4),"1","")&amp;ROW()-37))*ROW($B$10:$D$26))))/INDIRECT(SUBSTITUTE(ADDRESS(1,COLUMN($D$9),4),"1","")&amp;SUMPRODUCT(($B$10:$D$26=INDIRECT(SUBSTITUTE(ADDRESS(1,COLUMN()-1,4),"1","")&amp;ROW()-37))*ROW($B$10:$D$26)))*10+50</f>
        <v>#DIV/0!</v>
      </c>
      <c r="CJ38" s="8"/>
      <c r="CK38" s="49">
        <v>34</v>
      </c>
      <c r="CL38" s="83">
        <f t="shared" si="34"/>
        <v>8</v>
      </c>
      <c r="CM38" s="164">
        <f t="shared" si="25"/>
        <v>6</v>
      </c>
      <c r="CN38" s="52">
        <v>1332</v>
      </c>
      <c r="CO38" s="16">
        <f t="shared" si="50"/>
        <v>1.1131446335898914E-2</v>
      </c>
      <c r="CP38" s="17">
        <f>IF(AND(CK38&lt;&gt;"", CN38&lt;&gt;""), SUM(CN$4:CN38), "")</f>
        <v>113653</v>
      </c>
      <c r="CQ38" s="16">
        <f t="shared" si="51"/>
        <v>0.94979149430474419</v>
      </c>
      <c r="CR38" s="14"/>
      <c r="CS38" s="27">
        <v>15</v>
      </c>
      <c r="CT38" s="20" t="e" cm="1">
        <f t="array" aca="1" ref="CT38" ca="1">(CS38-INDIRECT(SUBSTITUTE(ADDRESS(1,COLUMN($C$9),4),"1","")&amp;SUMPRODUCT(($B$10:$D$26=INDIRECT(SUBSTITUTE(ADDRESS(1,COLUMN()-1,4),"1","")&amp;ROW()-37))*ROW($B$10:$D$26))))/INDIRECT(SUBSTITUTE(ADDRESS(1,COLUMN($D$9),4),"1","")&amp;SUMPRODUCT(($B$10:$D$26=INDIRECT(SUBSTITUTE(ADDRESS(1,COLUMN()-1,4),"1","")&amp;ROW()-37))*ROW($B$10:$D$26)))*10+50</f>
        <v>#DIV/0!</v>
      </c>
      <c r="CU38" s="8"/>
      <c r="CV38" s="49">
        <v>35</v>
      </c>
      <c r="CW38" s="83">
        <f t="shared" si="35"/>
        <v>8</v>
      </c>
      <c r="CX38" s="164">
        <f t="shared" si="26"/>
        <v>7</v>
      </c>
      <c r="CY38" s="52">
        <v>3006</v>
      </c>
      <c r="CZ38" s="16">
        <f t="shared" si="52"/>
        <v>2.4838664364035992E-2</v>
      </c>
      <c r="DA38" s="17">
        <f>IF(AND(CV38&lt;&gt;"", CY38&lt;&gt;""), SUM(CY$4:CY38), "")</f>
        <v>113589</v>
      </c>
      <c r="DB38" s="16">
        <f t="shared" si="53"/>
        <v>0.93858917047454571</v>
      </c>
      <c r="FX38" s="28">
        <v>0</v>
      </c>
    </row>
    <row r="39" spans="1:180" ht="16" customHeight="1" thickBot="1" x14ac:dyDescent="0.25">
      <c r="A39" s="28" t="s">
        <v>47</v>
      </c>
      <c r="B39" s="163">
        <v>0</v>
      </c>
      <c r="E39" s="1"/>
      <c r="F39" s="117" t="s">
        <v>21</v>
      </c>
      <c r="G39" s="118"/>
      <c r="H39" s="36"/>
      <c r="I39" s="117" t="s">
        <v>22</v>
      </c>
      <c r="J39" s="118"/>
      <c r="K39" s="36"/>
      <c r="L39" s="117" t="s">
        <v>23</v>
      </c>
      <c r="M39" s="118"/>
      <c r="N39"/>
      <c r="O39" s="38"/>
      <c r="P39" s="83" t="str">
        <f t="shared" si="27"/>
        <v/>
      </c>
      <c r="Q39" s="164" t="str">
        <f t="shared" si="18"/>
        <v/>
      </c>
      <c r="R39" s="43"/>
      <c r="S39" s="16" t="str">
        <f t="shared" si="36"/>
        <v/>
      </c>
      <c r="T39" s="17" t="str">
        <f>IF(AND(O39&lt;&gt;"", R39&lt;&gt;""), SUM(R$4:R39), "")</f>
        <v/>
      </c>
      <c r="U39" s="16" t="str">
        <f t="shared" si="37"/>
        <v/>
      </c>
      <c r="W39" s="38">
        <v>112</v>
      </c>
      <c r="X39" s="83">
        <f t="shared" si="28"/>
        <v>4</v>
      </c>
      <c r="Y39" s="164">
        <f t="shared" si="19"/>
        <v>67</v>
      </c>
      <c r="Z39" s="43">
        <v>5031</v>
      </c>
      <c r="AA39" s="16">
        <f t="shared" si="38"/>
        <v>1.2980713410307682E-2</v>
      </c>
      <c r="AB39" s="17">
        <f>IF(AND(W39&lt;&gt;"", Z39&lt;&gt;""), SUM(Z$4:Z39), "")</f>
        <v>129884</v>
      </c>
      <c r="AC39" s="16">
        <f t="shared" si="39"/>
        <v>0.33511965426046569</v>
      </c>
      <c r="AD39" s="1"/>
      <c r="AE39" s="19">
        <v>14</v>
      </c>
      <c r="AF39" s="20" t="e" cm="1">
        <f t="array" aca="1" ref="AF39" ca="1">(AE39-INDIRECT(SUBSTITUTE(ADDRESS(1,COLUMN($C$9),4),"1","")&amp;SUMPRODUCT(($B$10:$D$26=INDIRECT(SUBSTITUTE(ADDRESS(1,COLUMN()-1,4),"1","")&amp;ROW()-38))*ROW($B$10:$D$26))))/INDIRECT(SUBSTITUTE(ADDRESS(1,COLUMN($D$9),4),"1","")&amp;SUMPRODUCT(($B$10:$D$26=INDIRECT(SUBSTITUTE(ADDRESS(1,COLUMN()-1,4),"1","")&amp;ROW()-38))*ROW($B$10:$D$26)))*10+50</f>
        <v>#DIV/0!</v>
      </c>
      <c r="AG39" s="8"/>
      <c r="AH39" s="49">
        <v>30</v>
      </c>
      <c r="AI39" s="83">
        <f t="shared" si="29"/>
        <v>8</v>
      </c>
      <c r="AJ39" s="164">
        <f t="shared" si="20"/>
        <v>5</v>
      </c>
      <c r="AK39" s="52">
        <v>1241</v>
      </c>
      <c r="AL39" s="16">
        <f t="shared" si="40"/>
        <v>2.6743384191018016E-2</v>
      </c>
      <c r="AM39" s="17">
        <f>IF(AND(AH39&lt;&gt;"", AK39&lt;&gt;""), SUM(AK$4:AK39), "")</f>
        <v>44908</v>
      </c>
      <c r="AN39" s="16">
        <f t="shared" si="41"/>
        <v>0.96776139987932075</v>
      </c>
      <c r="AO39" s="14"/>
      <c r="AP39" s="27">
        <v>14</v>
      </c>
      <c r="AQ39" s="20" t="e" cm="1">
        <f t="array" aca="1" ref="AQ39" ca="1">(AP39-INDIRECT(SUBSTITUTE(ADDRESS(1,COLUMN($C$9),4),"1","")&amp;SUMPRODUCT(($B$10:$D$26=INDIRECT(SUBSTITUTE(ADDRESS(1,COLUMN()-1,4),"1","")&amp;ROW()-38))*ROW($B$10:$D$26))))/INDIRECT(SUBSTITUTE(ADDRESS(1,COLUMN($D$9),4),"1","")&amp;SUMPRODUCT(($B$10:$D$26=INDIRECT(SUBSTITUTE(ADDRESS(1,COLUMN()-1,4),"1","")&amp;ROW()-38))*ROW($B$10:$D$26)))*10+50</f>
        <v>#DIV/0!</v>
      </c>
      <c r="AR39" s="8"/>
      <c r="AS39" s="49">
        <v>38</v>
      </c>
      <c r="AT39" s="83">
        <f t="shared" si="30"/>
        <v>8</v>
      </c>
      <c r="AU39" s="164">
        <f t="shared" si="21"/>
        <v>5</v>
      </c>
      <c r="AV39" s="52">
        <v>936</v>
      </c>
      <c r="AW39" s="16">
        <f t="shared" si="42"/>
        <v>3.048065650644783E-2</v>
      </c>
      <c r="AX39" s="17">
        <f>IF(AND(AS39&lt;&gt;"", AV39&lt;&gt;""), SUM(AV$4:AV39), "")</f>
        <v>29567</v>
      </c>
      <c r="AY39" s="16">
        <f t="shared" si="43"/>
        <v>0.96284355868177673</v>
      </c>
      <c r="AZ39" s="14"/>
      <c r="BA39" s="27">
        <v>14</v>
      </c>
      <c r="BB39" s="20" t="e" cm="1">
        <f t="array" aca="1" ref="BB39" ca="1">(BA39-INDIRECT(SUBSTITUTE(ADDRESS(1,COLUMN($C$9),4),"1","")&amp;SUMPRODUCT(($B$10:$D$26=INDIRECT(SUBSTITUTE(ADDRESS(1,COLUMN()-1,4),"1","")&amp;ROW()-38))*ROW($B$10:$D$26))))/INDIRECT(SUBSTITUTE(ADDRESS(1,COLUMN($D$9),4),"1","")&amp;SUMPRODUCT(($B$10:$D$26=INDIRECT(SUBSTITUTE(ADDRESS(1,COLUMN()-1,4),"1","")&amp;ROW()-38))*ROW($B$10:$D$26)))*10+50</f>
        <v>#DIV/0!</v>
      </c>
      <c r="BC39" s="8"/>
      <c r="BD39" s="49">
        <v>34</v>
      </c>
      <c r="BE39" s="83">
        <f t="shared" si="31"/>
        <v>8</v>
      </c>
      <c r="BF39" s="164">
        <f t="shared" si="22"/>
        <v>4</v>
      </c>
      <c r="BG39" s="52">
        <v>915</v>
      </c>
      <c r="BH39" s="16">
        <f t="shared" si="44"/>
        <v>2.8203310421354374E-2</v>
      </c>
      <c r="BI39" s="17">
        <f>IF(AND(BD39&lt;&gt;"", BG39&lt;&gt;""), SUM(BG$4:BG39), "")</f>
        <v>31474</v>
      </c>
      <c r="BJ39" s="16">
        <f t="shared" si="45"/>
        <v>0.97013223191443454</v>
      </c>
      <c r="BK39" s="14"/>
      <c r="BL39" s="27">
        <v>14</v>
      </c>
      <c r="BM39" s="20" t="e" cm="1">
        <f t="array" aca="1" ref="BM39" ca="1">(BL39-INDIRECT(SUBSTITUTE(ADDRESS(1,COLUMN($C$9),4),"1","")&amp;SUMPRODUCT(($B$10:$D$26=INDIRECT(SUBSTITUTE(ADDRESS(1,COLUMN()-1,4),"1","")&amp;ROW()-38))*ROW($B$10:$D$26))))/INDIRECT(SUBSTITUTE(ADDRESS(1,COLUMN($D$9),4),"1","")&amp;SUMPRODUCT(($B$10:$D$26=INDIRECT(SUBSTITUTE(ADDRESS(1,COLUMN()-1,4),"1","")&amp;ROW()-38))*ROW($B$10:$D$26)))*10+50</f>
        <v>#DIV/0!</v>
      </c>
      <c r="BN39" s="8"/>
      <c r="BO39" s="49">
        <v>32</v>
      </c>
      <c r="BP39" s="83">
        <f t="shared" si="32"/>
        <v>8</v>
      </c>
      <c r="BQ39" s="164">
        <f t="shared" si="23"/>
        <v>6</v>
      </c>
      <c r="BR39" s="52">
        <v>169</v>
      </c>
      <c r="BS39" s="16">
        <f t="shared" si="46"/>
        <v>3.032586850416308E-3</v>
      </c>
      <c r="BT39" s="17">
        <f>IF(AND(BO39&lt;&gt;"", BR39&lt;&gt;""), SUM(BR$4:BR39), "")</f>
        <v>52672</v>
      </c>
      <c r="BU39" s="16">
        <f t="shared" si="47"/>
        <v>0.94516221648004595</v>
      </c>
      <c r="BV39" s="14"/>
      <c r="BW39" s="27">
        <v>14</v>
      </c>
      <c r="BX39" s="20" cm="1">
        <f t="array" aca="1" ref="BX39" ca="1">(BW39-INDIRECT(SUBSTITUTE(ADDRESS(1,COLUMN($C$9),4),"1","")&amp;SUMPRODUCT(($B$10:$D$26=INDIRECT(SUBSTITUTE(ADDRESS(1,COLUMN()-1,4),"1","")&amp;ROW()-38))*ROW($B$10:$D$26))))/INDIRECT(SUBSTITUTE(ADDRESS(1,COLUMN($D$9),4),"1","")&amp;SUMPRODUCT(($B$10:$D$26=INDIRECT(SUBSTITUTE(ADDRESS(1,COLUMN()-1,4),"1","")&amp;ROW()-38))*ROW($B$10:$D$26)))*10+50</f>
        <v>41.665124884366328</v>
      </c>
      <c r="BY39" s="8"/>
      <c r="BZ39" s="49">
        <v>39</v>
      </c>
      <c r="CA39" s="83">
        <f t="shared" si="33"/>
        <v>7</v>
      </c>
      <c r="CB39" s="164">
        <f t="shared" si="24"/>
        <v>10</v>
      </c>
      <c r="CC39" s="52">
        <v>3330</v>
      </c>
      <c r="CD39" s="16">
        <f t="shared" si="48"/>
        <v>6.1900513049297348E-2</v>
      </c>
      <c r="CE39" s="17">
        <f>IF(AND(BZ39&lt;&gt;"", CC39&lt;&gt;""), SUM(CC$4:CC39), "")</f>
        <v>49889</v>
      </c>
      <c r="CF39" s="16">
        <f t="shared" si="49"/>
        <v>0.92737378243735591</v>
      </c>
      <c r="CG39" s="14"/>
      <c r="CH39" s="27">
        <v>14</v>
      </c>
      <c r="CI39" s="20" t="e" cm="1">
        <f t="array" aca="1" ref="CI39" ca="1">(CH39-INDIRECT(SUBSTITUTE(ADDRESS(1,COLUMN($C$9),4),"1","")&amp;SUMPRODUCT(($B$10:$D$26=INDIRECT(SUBSTITUTE(ADDRESS(1,COLUMN()-1,4),"1","")&amp;ROW()-38))*ROW($B$10:$D$26))))/INDIRECT(SUBSTITUTE(ADDRESS(1,COLUMN($D$9),4),"1","")&amp;SUMPRODUCT(($B$10:$D$26=INDIRECT(SUBSTITUTE(ADDRESS(1,COLUMN()-1,4),"1","")&amp;ROW()-38))*ROW($B$10:$D$26)))*10+50</f>
        <v>#DIV/0!</v>
      </c>
      <c r="CJ39" s="8"/>
      <c r="CK39" s="49">
        <v>33</v>
      </c>
      <c r="CL39" s="83">
        <f t="shared" si="34"/>
        <v>8</v>
      </c>
      <c r="CM39" s="164">
        <f t="shared" si="25"/>
        <v>4</v>
      </c>
      <c r="CN39" s="52">
        <v>3189</v>
      </c>
      <c r="CO39" s="16">
        <f t="shared" si="50"/>
        <v>2.6650287060947176E-2</v>
      </c>
      <c r="CP39" s="17">
        <f>IF(AND(CK39&lt;&gt;"", CN39&lt;&gt;""), SUM(CN$4:CN39), "")</f>
        <v>116842</v>
      </c>
      <c r="CQ39" s="16">
        <f t="shared" si="51"/>
        <v>0.97644178136569137</v>
      </c>
      <c r="CR39" s="14"/>
      <c r="CS39" s="27">
        <v>14</v>
      </c>
      <c r="CT39" s="20" t="e" cm="1">
        <f t="array" aca="1" ref="CT39" ca="1">(CS39-INDIRECT(SUBSTITUTE(ADDRESS(1,COLUMN($C$9),4),"1","")&amp;SUMPRODUCT(($B$10:$D$26=INDIRECT(SUBSTITUTE(ADDRESS(1,COLUMN()-1,4),"1","")&amp;ROW()-38))*ROW($B$10:$D$26))))/INDIRECT(SUBSTITUTE(ADDRESS(1,COLUMN($D$9),4),"1","")&amp;SUMPRODUCT(($B$10:$D$26=INDIRECT(SUBSTITUTE(ADDRESS(1,COLUMN()-1,4),"1","")&amp;ROW()-38))*ROW($B$10:$D$26)))*10+50</f>
        <v>#DIV/0!</v>
      </c>
      <c r="CU39" s="8"/>
      <c r="CV39" s="49">
        <v>34</v>
      </c>
      <c r="CW39" s="83">
        <f t="shared" si="35"/>
        <v>8</v>
      </c>
      <c r="CX39" s="164">
        <f t="shared" si="26"/>
        <v>5</v>
      </c>
      <c r="CY39" s="52">
        <v>1583</v>
      </c>
      <c r="CZ39" s="16">
        <f t="shared" si="52"/>
        <v>1.3080374480462068E-2</v>
      </c>
      <c r="DA39" s="17">
        <f>IF(AND(CV39&lt;&gt;"", CY39&lt;&gt;""), SUM(CY$4:CY39), "")</f>
        <v>115172</v>
      </c>
      <c r="DB39" s="16">
        <f t="shared" si="53"/>
        <v>0.95166954495500777</v>
      </c>
      <c r="FX39" s="28">
        <v>0</v>
      </c>
    </row>
    <row r="40" spans="1:180" ht="16" customHeight="1" x14ac:dyDescent="0.2">
      <c r="A40" s="28" t="s">
        <v>48</v>
      </c>
      <c r="B40" s="163"/>
      <c r="E40" s="1"/>
      <c r="F40" s="30" t="s">
        <v>30</v>
      </c>
      <c r="G40" s="30" t="s">
        <v>14</v>
      </c>
      <c r="H40" s="36"/>
      <c r="I40" s="30" t="s">
        <v>30</v>
      </c>
      <c r="J40" s="30" t="s">
        <v>14</v>
      </c>
      <c r="K40" s="36"/>
      <c r="L40" s="30" t="s">
        <v>30</v>
      </c>
      <c r="M40" s="30" t="s">
        <v>14</v>
      </c>
      <c r="N40"/>
      <c r="O40" s="38"/>
      <c r="P40" s="83" t="str">
        <f t="shared" si="27"/>
        <v/>
      </c>
      <c r="Q40" s="164" t="str">
        <f t="shared" si="18"/>
        <v/>
      </c>
      <c r="R40" s="43"/>
      <c r="S40" s="16" t="str">
        <f t="shared" si="36"/>
        <v/>
      </c>
      <c r="T40" s="17" t="str">
        <f>IF(AND(O40&lt;&gt;"", R40&lt;&gt;""), SUM(R$4:R40), "")</f>
        <v/>
      </c>
      <c r="U40" s="16" t="str">
        <f t="shared" si="37"/>
        <v/>
      </c>
      <c r="W40" s="38">
        <v>111</v>
      </c>
      <c r="X40" s="83">
        <f t="shared" si="28"/>
        <v>4</v>
      </c>
      <c r="Y40" s="164">
        <f t="shared" si="19"/>
        <v>66</v>
      </c>
      <c r="Z40" s="43">
        <v>5498</v>
      </c>
      <c r="AA40" s="16">
        <f t="shared" si="38"/>
        <v>1.4185641488744113E-2</v>
      </c>
      <c r="AB40" s="17">
        <f>IF(AND(W40&lt;&gt;"", Z40&lt;&gt;""), SUM(Z$4:Z40), "")</f>
        <v>135382</v>
      </c>
      <c r="AC40" s="16">
        <f t="shared" si="39"/>
        <v>0.34930529574920982</v>
      </c>
      <c r="AD40" s="1"/>
      <c r="AE40" s="19">
        <v>13</v>
      </c>
      <c r="AF40" s="20" t="e" cm="1">
        <f t="array" aca="1" ref="AF40" ca="1">(AE40-INDIRECT(SUBSTITUTE(ADDRESS(1,COLUMN($C$9),4),"1","")&amp;SUMPRODUCT(($B$10:$D$26=INDIRECT(SUBSTITUTE(ADDRESS(1,COLUMN()-1,4),"1","")&amp;ROW()-39))*ROW($B$10:$D$26))))/INDIRECT(SUBSTITUTE(ADDRESS(1,COLUMN($D$9),4),"1","")&amp;SUMPRODUCT(($B$10:$D$26=INDIRECT(SUBSTITUTE(ADDRESS(1,COLUMN()-1,4),"1","")&amp;ROW()-39))*ROW($B$10:$D$26)))*10+50</f>
        <v>#DIV/0!</v>
      </c>
      <c r="AG40" s="8"/>
      <c r="AH40" s="49">
        <v>29</v>
      </c>
      <c r="AI40" s="83">
        <f t="shared" si="29"/>
        <v>9</v>
      </c>
      <c r="AJ40" s="164">
        <f t="shared" si="20"/>
        <v>3</v>
      </c>
      <c r="AK40" s="52">
        <v>374</v>
      </c>
      <c r="AL40" s="16">
        <f t="shared" si="40"/>
        <v>8.0596500301698126E-3</v>
      </c>
      <c r="AM40" s="17">
        <f>IF(AND(AH40&lt;&gt;"", AK40&lt;&gt;""), SUM(AK$4:AK40), "")</f>
        <v>45282</v>
      </c>
      <c r="AN40" s="16">
        <f t="shared" si="41"/>
        <v>0.97582104990949059</v>
      </c>
      <c r="AO40" s="14"/>
      <c r="AP40" s="27">
        <v>13</v>
      </c>
      <c r="AQ40" s="20" t="e" cm="1">
        <f t="array" aca="1" ref="AQ40" ca="1">(AP40-INDIRECT(SUBSTITUTE(ADDRESS(1,COLUMN($C$9),4),"1","")&amp;SUMPRODUCT(($B$10:$D$26=INDIRECT(SUBSTITUTE(ADDRESS(1,COLUMN()-1,4),"1","")&amp;ROW()-39))*ROW($B$10:$D$26))))/INDIRECT(SUBSTITUTE(ADDRESS(1,COLUMN($D$9),4),"1","")&amp;SUMPRODUCT(($B$10:$D$26=INDIRECT(SUBSTITUTE(ADDRESS(1,COLUMN()-1,4),"1","")&amp;ROW()-39))*ROW($B$10:$D$26)))*10+50</f>
        <v>#DIV/0!</v>
      </c>
      <c r="AR40" s="8"/>
      <c r="AS40" s="49">
        <v>37</v>
      </c>
      <c r="AT40" s="83">
        <f t="shared" si="30"/>
        <v>9</v>
      </c>
      <c r="AU40" s="164">
        <f t="shared" si="21"/>
        <v>3</v>
      </c>
      <c r="AV40" s="52">
        <v>315</v>
      </c>
      <c r="AW40" s="16">
        <f t="shared" si="42"/>
        <v>1.0257913247362251E-2</v>
      </c>
      <c r="AX40" s="17">
        <f>IF(AND(AS40&lt;&gt;"", AV40&lt;&gt;""), SUM(AV$4:AV40), "")</f>
        <v>29882</v>
      </c>
      <c r="AY40" s="16">
        <f t="shared" si="43"/>
        <v>0.97310147192913898</v>
      </c>
      <c r="AZ40" s="14"/>
      <c r="BA40" s="27">
        <v>13</v>
      </c>
      <c r="BB40" s="20" t="e" cm="1">
        <f t="array" aca="1" ref="BB40" ca="1">(BA40-INDIRECT(SUBSTITUTE(ADDRESS(1,COLUMN($C$9),4),"1","")&amp;SUMPRODUCT(($B$10:$D$26=INDIRECT(SUBSTITUTE(ADDRESS(1,COLUMN()-1,4),"1","")&amp;ROW()-39))*ROW($B$10:$D$26))))/INDIRECT(SUBSTITUTE(ADDRESS(1,COLUMN($D$9),4),"1","")&amp;SUMPRODUCT(($B$10:$D$26=INDIRECT(SUBSTITUTE(ADDRESS(1,COLUMN()-1,4),"1","")&amp;ROW()-39))*ROW($B$10:$D$26)))*10+50</f>
        <v>#DIV/0!</v>
      </c>
      <c r="BC40" s="8"/>
      <c r="BD40" s="49">
        <v>33</v>
      </c>
      <c r="BE40" s="83">
        <f t="shared" si="31"/>
        <v>9</v>
      </c>
      <c r="BF40" s="164">
        <f t="shared" si="22"/>
        <v>3</v>
      </c>
      <c r="BG40" s="52">
        <v>148</v>
      </c>
      <c r="BH40" s="16">
        <f t="shared" si="44"/>
        <v>4.5618469315414729E-3</v>
      </c>
      <c r="BI40" s="17">
        <f>IF(AND(BD40&lt;&gt;"", BG40&lt;&gt;""), SUM(BG$4:BG40), "")</f>
        <v>31622</v>
      </c>
      <c r="BJ40" s="16">
        <f t="shared" si="45"/>
        <v>0.97469407884597603</v>
      </c>
      <c r="BK40" s="14"/>
      <c r="BL40" s="27">
        <v>13</v>
      </c>
      <c r="BM40" s="20" t="e" cm="1">
        <f t="array" aca="1" ref="BM40" ca="1">(BL40-INDIRECT(SUBSTITUTE(ADDRESS(1,COLUMN($C$9),4),"1","")&amp;SUMPRODUCT(($B$10:$D$26=INDIRECT(SUBSTITUTE(ADDRESS(1,COLUMN()-1,4),"1","")&amp;ROW()-39))*ROW($B$10:$D$26))))/INDIRECT(SUBSTITUTE(ADDRESS(1,COLUMN($D$9),4),"1","")&amp;SUMPRODUCT(($B$10:$D$26=INDIRECT(SUBSTITUTE(ADDRESS(1,COLUMN()-1,4),"1","")&amp;ROW()-39))*ROW($B$10:$D$26)))*10+50</f>
        <v>#DIV/0!</v>
      </c>
      <c r="BN40" s="8"/>
      <c r="BO40" s="49">
        <v>31</v>
      </c>
      <c r="BP40" s="83">
        <f t="shared" si="32"/>
        <v>8</v>
      </c>
      <c r="BQ40" s="164">
        <f t="shared" si="23"/>
        <v>5</v>
      </c>
      <c r="BR40" s="52">
        <v>183</v>
      </c>
      <c r="BS40" s="16">
        <f t="shared" si="46"/>
        <v>3.2838070628768302E-3</v>
      </c>
      <c r="BT40" s="17">
        <f>IF(AND(BO40&lt;&gt;"", BR40&lt;&gt;""), SUM(BR$4:BR40), "")</f>
        <v>52855</v>
      </c>
      <c r="BU40" s="16">
        <f t="shared" si="47"/>
        <v>0.94844602354292273</v>
      </c>
      <c r="BV40" s="14"/>
      <c r="BW40" s="27">
        <v>13</v>
      </c>
      <c r="BX40" s="20" cm="1">
        <f t="array" aca="1" ref="BX40" ca="1">(BW40-INDIRECT(SUBSTITUTE(ADDRESS(1,COLUMN($C$9),4),"1","")&amp;SUMPRODUCT(($B$10:$D$26=INDIRECT(SUBSTITUTE(ADDRESS(1,COLUMN()-1,4),"1","")&amp;ROW()-39))*ROW($B$10:$D$26))))/INDIRECT(SUBSTITUTE(ADDRESS(1,COLUMN($D$9),4),"1","")&amp;SUMPRODUCT(($B$10:$D$26=INDIRECT(SUBSTITUTE(ADDRESS(1,COLUMN()-1,4),"1","")&amp;ROW()-39))*ROW($B$10:$D$26)))*10+50</f>
        <v>40.740055504162811</v>
      </c>
      <c r="BY40" s="8"/>
      <c r="BZ40" s="49">
        <v>38</v>
      </c>
      <c r="CA40" s="83">
        <f t="shared" si="33"/>
        <v>8</v>
      </c>
      <c r="CB40" s="164">
        <f t="shared" si="24"/>
        <v>6</v>
      </c>
      <c r="CC40" s="52">
        <v>1107</v>
      </c>
      <c r="CD40" s="16">
        <f t="shared" si="48"/>
        <v>2.0577738121793442E-2</v>
      </c>
      <c r="CE40" s="17">
        <f>IF(AND(BZ40&lt;&gt;"", CC40&lt;&gt;""), SUM(CC$4:CC40), "")</f>
        <v>50996</v>
      </c>
      <c r="CF40" s="16">
        <f t="shared" si="49"/>
        <v>0.94795152055914933</v>
      </c>
      <c r="CG40" s="14"/>
      <c r="CH40" s="27">
        <v>13</v>
      </c>
      <c r="CI40" s="20" t="e" cm="1">
        <f t="array" aca="1" ref="CI40" ca="1">(CH40-INDIRECT(SUBSTITUTE(ADDRESS(1,COLUMN($C$9),4),"1","")&amp;SUMPRODUCT(($B$10:$D$26=INDIRECT(SUBSTITUTE(ADDRESS(1,COLUMN()-1,4),"1","")&amp;ROW()-39))*ROW($B$10:$D$26))))/INDIRECT(SUBSTITUTE(ADDRESS(1,COLUMN($D$9),4),"1","")&amp;SUMPRODUCT(($B$10:$D$26=INDIRECT(SUBSTITUTE(ADDRESS(1,COLUMN()-1,4),"1","")&amp;ROW()-39))*ROW($B$10:$D$26)))*10+50</f>
        <v>#DIV/0!</v>
      </c>
      <c r="CJ40" s="8"/>
      <c r="CK40" s="49">
        <v>32</v>
      </c>
      <c r="CL40" s="83">
        <f t="shared" si="34"/>
        <v>9</v>
      </c>
      <c r="CM40" s="164">
        <f t="shared" si="25"/>
        <v>2</v>
      </c>
      <c r="CN40" s="52">
        <v>530</v>
      </c>
      <c r="CO40" s="16">
        <f t="shared" si="50"/>
        <v>4.4291790976174359E-3</v>
      </c>
      <c r="CP40" s="17">
        <f>IF(AND(CK40&lt;&gt;"", CN40&lt;&gt;""), SUM(CN$4:CN40), "")</f>
        <v>117372</v>
      </c>
      <c r="CQ40" s="16">
        <f t="shared" si="51"/>
        <v>0.98087096046330879</v>
      </c>
      <c r="CR40" s="14"/>
      <c r="CS40" s="27">
        <v>13</v>
      </c>
      <c r="CT40" s="20" t="e" cm="1">
        <f t="array" aca="1" ref="CT40" ca="1">(CS40-INDIRECT(SUBSTITUTE(ADDRESS(1,COLUMN($C$9),4),"1","")&amp;SUMPRODUCT(($B$10:$D$26=INDIRECT(SUBSTITUTE(ADDRESS(1,COLUMN()-1,4),"1","")&amp;ROW()-39))*ROW($B$10:$D$26))))/INDIRECT(SUBSTITUTE(ADDRESS(1,COLUMN($D$9),4),"1","")&amp;SUMPRODUCT(($B$10:$D$26=INDIRECT(SUBSTITUTE(ADDRESS(1,COLUMN()-1,4),"1","")&amp;ROW()-39))*ROW($B$10:$D$26)))*10+50</f>
        <v>#DIV/0!</v>
      </c>
      <c r="CU40" s="8"/>
      <c r="CV40" s="49">
        <v>33</v>
      </c>
      <c r="CW40" s="83">
        <f t="shared" si="35"/>
        <v>8</v>
      </c>
      <c r="CX40" s="164">
        <f t="shared" si="26"/>
        <v>5</v>
      </c>
      <c r="CY40" s="52">
        <v>494</v>
      </c>
      <c r="CZ40" s="16">
        <f t="shared" si="52"/>
        <v>4.0819361928921428E-3</v>
      </c>
      <c r="DA40" s="17">
        <f>IF(AND(CV40&lt;&gt;"", CY40&lt;&gt;""), SUM(CY$4:CY40), "")</f>
        <v>115666</v>
      </c>
      <c r="DB40" s="16">
        <f t="shared" si="53"/>
        <v>0.95575148114789998</v>
      </c>
      <c r="FX40" s="28">
        <v>0</v>
      </c>
    </row>
    <row r="41" spans="1:180" ht="16" customHeight="1" x14ac:dyDescent="0.2">
      <c r="E41" s="1"/>
      <c r="F41" s="86"/>
      <c r="G41" s="85">
        <v>1</v>
      </c>
      <c r="H41" s="36"/>
      <c r="I41" s="86"/>
      <c r="J41" s="85">
        <v>1</v>
      </c>
      <c r="K41" s="36"/>
      <c r="L41" s="86"/>
      <c r="M41" s="85">
        <v>1</v>
      </c>
      <c r="N41"/>
      <c r="O41" s="38"/>
      <c r="P41" s="83" t="str">
        <f t="shared" si="27"/>
        <v/>
      </c>
      <c r="Q41" s="164" t="str">
        <f t="shared" si="18"/>
        <v/>
      </c>
      <c r="R41" s="43"/>
      <c r="S41" s="16" t="str">
        <f t="shared" si="36"/>
        <v/>
      </c>
      <c r="T41" s="17" t="str">
        <f>IF(AND(O41&lt;&gt;"", R41&lt;&gt;""), SUM(R$4:R41), "")</f>
        <v/>
      </c>
      <c r="U41" s="16" t="str">
        <f t="shared" si="37"/>
        <v/>
      </c>
      <c r="W41" s="38">
        <v>110</v>
      </c>
      <c r="X41" s="83">
        <f t="shared" si="28"/>
        <v>4</v>
      </c>
      <c r="Y41" s="164">
        <f t="shared" si="19"/>
        <v>64</v>
      </c>
      <c r="Z41" s="43">
        <v>7527</v>
      </c>
      <c r="AA41" s="16">
        <f t="shared" si="38"/>
        <v>1.9420757272785912E-2</v>
      </c>
      <c r="AB41" s="17">
        <f>IF(AND(W41&lt;&gt;"", Z41&lt;&gt;""), SUM(Z$4:Z41), "")</f>
        <v>142909</v>
      </c>
      <c r="AC41" s="16">
        <f t="shared" si="39"/>
        <v>0.36872605302199574</v>
      </c>
      <c r="AD41" s="1"/>
      <c r="AE41" s="19">
        <v>12</v>
      </c>
      <c r="AF41" s="20" t="e" cm="1">
        <f t="array" aca="1" ref="AF41" ca="1">(AE41-INDIRECT(SUBSTITUTE(ADDRESS(1,COLUMN($C$9),4),"1","")&amp;SUMPRODUCT(($B$10:$D$26=INDIRECT(SUBSTITUTE(ADDRESS(1,COLUMN()-1,4),"1","")&amp;ROW()-40))*ROW($B$10:$D$26))))/INDIRECT(SUBSTITUTE(ADDRESS(1,COLUMN($D$9),4),"1","")&amp;SUMPRODUCT(($B$10:$D$26=INDIRECT(SUBSTITUTE(ADDRESS(1,COLUMN()-1,4),"1","")&amp;ROW()-40))*ROW($B$10:$D$26)))*10+50</f>
        <v>#DIV/0!</v>
      </c>
      <c r="AG41" s="8"/>
      <c r="AH41" s="49">
        <v>28</v>
      </c>
      <c r="AI41" s="83">
        <f t="shared" si="29"/>
        <v>9</v>
      </c>
      <c r="AJ41" s="164">
        <f t="shared" si="20"/>
        <v>2</v>
      </c>
      <c r="AK41" s="52">
        <v>672</v>
      </c>
      <c r="AL41" s="16">
        <f t="shared" si="40"/>
        <v>1.4481510214636669E-2</v>
      </c>
      <c r="AM41" s="17">
        <f>IF(AND(AH41&lt;&gt;"", AK41&lt;&gt;""), SUM(AK$4:AK41), "")</f>
        <v>45954</v>
      </c>
      <c r="AN41" s="16">
        <f t="shared" si="41"/>
        <v>0.99030256012412721</v>
      </c>
      <c r="AO41" s="14"/>
      <c r="AP41" s="27">
        <v>12</v>
      </c>
      <c r="AQ41" s="20" t="e" cm="1">
        <f t="array" aca="1" ref="AQ41" ca="1">(AP41-INDIRECT(SUBSTITUTE(ADDRESS(1,COLUMN($C$9),4),"1","")&amp;SUMPRODUCT(($B$10:$D$26=INDIRECT(SUBSTITUTE(ADDRESS(1,COLUMN()-1,4),"1","")&amp;ROW()-40))*ROW($B$10:$D$26))))/INDIRECT(SUBSTITUTE(ADDRESS(1,COLUMN($D$9),4),"1","")&amp;SUMPRODUCT(($B$10:$D$26=INDIRECT(SUBSTITUTE(ADDRESS(1,COLUMN()-1,4),"1","")&amp;ROW()-40))*ROW($B$10:$D$26)))*10+50</f>
        <v>#DIV/0!</v>
      </c>
      <c r="AR41" s="8"/>
      <c r="AS41" s="49">
        <v>36</v>
      </c>
      <c r="AT41" s="83">
        <f t="shared" si="30"/>
        <v>9</v>
      </c>
      <c r="AU41" s="164">
        <f t="shared" si="21"/>
        <v>2</v>
      </c>
      <c r="AV41" s="52">
        <v>347</v>
      </c>
      <c r="AW41" s="16">
        <f t="shared" si="42"/>
        <v>1.1299986974078417E-2</v>
      </c>
      <c r="AX41" s="17">
        <f>IF(AND(AS41&lt;&gt;"", AV41&lt;&gt;""), SUM(AV$4:AV41), "")</f>
        <v>30229</v>
      </c>
      <c r="AY41" s="16">
        <f t="shared" si="43"/>
        <v>0.9844014589032174</v>
      </c>
      <c r="AZ41" s="14"/>
      <c r="BA41" s="27">
        <v>12</v>
      </c>
      <c r="BB41" s="20" t="e" cm="1">
        <f t="array" aca="1" ref="BB41" ca="1">(BA41-INDIRECT(SUBSTITUTE(ADDRESS(1,COLUMN($C$9),4),"1","")&amp;SUMPRODUCT(($B$10:$D$26=INDIRECT(SUBSTITUTE(ADDRESS(1,COLUMN()-1,4),"1","")&amp;ROW()-40))*ROW($B$10:$D$26))))/INDIRECT(SUBSTITUTE(ADDRESS(1,COLUMN($D$9),4),"1","")&amp;SUMPRODUCT(($B$10:$D$26=INDIRECT(SUBSTITUTE(ADDRESS(1,COLUMN()-1,4),"1","")&amp;ROW()-40))*ROW($B$10:$D$26)))*10+50</f>
        <v>#DIV/0!</v>
      </c>
      <c r="BC41" s="8"/>
      <c r="BD41" s="49">
        <v>32</v>
      </c>
      <c r="BE41" s="83">
        <f t="shared" si="31"/>
        <v>9</v>
      </c>
      <c r="BF41" s="164">
        <f t="shared" si="22"/>
        <v>2</v>
      </c>
      <c r="BG41" s="52">
        <v>295</v>
      </c>
      <c r="BH41" s="16">
        <f t="shared" si="44"/>
        <v>9.0928705730049623E-3</v>
      </c>
      <c r="BI41" s="17">
        <f>IF(AND(BD41&lt;&gt;"", BG41&lt;&gt;""), SUM(BG$4:BG41), "")</f>
        <v>31917</v>
      </c>
      <c r="BJ41" s="16">
        <f t="shared" si="45"/>
        <v>0.98378694941898093</v>
      </c>
      <c r="BK41" s="14"/>
      <c r="BL41" s="27">
        <v>12</v>
      </c>
      <c r="BM41" s="20" t="e" cm="1">
        <f t="array" aca="1" ref="BM41" ca="1">(BL41-INDIRECT(SUBSTITUTE(ADDRESS(1,COLUMN($C$9),4),"1","")&amp;SUMPRODUCT(($B$10:$D$26=INDIRECT(SUBSTITUTE(ADDRESS(1,COLUMN()-1,4),"1","")&amp;ROW()-40))*ROW($B$10:$D$26))))/INDIRECT(SUBSTITUTE(ADDRESS(1,COLUMN($D$9),4),"1","")&amp;SUMPRODUCT(($B$10:$D$26=INDIRECT(SUBSTITUTE(ADDRESS(1,COLUMN()-1,4),"1","")&amp;ROW()-40))*ROW($B$10:$D$26)))*10+50</f>
        <v>#DIV/0!</v>
      </c>
      <c r="BN41" s="8"/>
      <c r="BO41" s="49">
        <v>30</v>
      </c>
      <c r="BP41" s="83">
        <f t="shared" si="32"/>
        <v>8</v>
      </c>
      <c r="BQ41" s="164">
        <f t="shared" si="23"/>
        <v>5</v>
      </c>
      <c r="BR41" s="52">
        <v>76</v>
      </c>
      <c r="BS41" s="16">
        <f t="shared" si="46"/>
        <v>1.3637668676428367E-3</v>
      </c>
      <c r="BT41" s="17">
        <f>IF(AND(BO41&lt;&gt;"", BR41&lt;&gt;""), SUM(BR$4:BR41), "")</f>
        <v>52931</v>
      </c>
      <c r="BU41" s="16">
        <f t="shared" si="47"/>
        <v>0.94980979041056557</v>
      </c>
      <c r="BV41" s="14"/>
      <c r="BW41" s="27">
        <v>12</v>
      </c>
      <c r="BX41" s="20" cm="1">
        <f t="array" aca="1" ref="BX41" ca="1">(BW41-INDIRECT(SUBSTITUTE(ADDRESS(1,COLUMN($C$9),4),"1","")&amp;SUMPRODUCT(($B$10:$D$26=INDIRECT(SUBSTITUTE(ADDRESS(1,COLUMN()-1,4),"1","")&amp;ROW()-40))*ROW($B$10:$D$26))))/INDIRECT(SUBSTITUTE(ADDRESS(1,COLUMN($D$9),4),"1","")&amp;SUMPRODUCT(($B$10:$D$26=INDIRECT(SUBSTITUTE(ADDRESS(1,COLUMN()-1,4),"1","")&amp;ROW()-40))*ROW($B$10:$D$26)))*10+50</f>
        <v>39.814986123959294</v>
      </c>
      <c r="BY41" s="8"/>
      <c r="BZ41" s="49">
        <v>37</v>
      </c>
      <c r="CA41" s="83">
        <f t="shared" si="33"/>
        <v>8</v>
      </c>
      <c r="CB41" s="164">
        <f t="shared" si="24"/>
        <v>4</v>
      </c>
      <c r="CC41" s="52">
        <v>889</v>
      </c>
      <c r="CD41" s="16">
        <f t="shared" si="48"/>
        <v>1.6525392222470073E-2</v>
      </c>
      <c r="CE41" s="17">
        <f>IF(AND(BZ41&lt;&gt;"", CC41&lt;&gt;""), SUM(CC$4:CC41), "")</f>
        <v>51885</v>
      </c>
      <c r="CF41" s="16">
        <f t="shared" si="49"/>
        <v>0.9644769127816194</v>
      </c>
      <c r="CG41" s="14"/>
      <c r="CH41" s="27">
        <v>12</v>
      </c>
      <c r="CI41" s="20" t="e" cm="1">
        <f t="array" aca="1" ref="CI41" ca="1">(CH41-INDIRECT(SUBSTITUTE(ADDRESS(1,COLUMN($C$9),4),"1","")&amp;SUMPRODUCT(($B$10:$D$26=INDIRECT(SUBSTITUTE(ADDRESS(1,COLUMN()-1,4),"1","")&amp;ROW()-40))*ROW($B$10:$D$26))))/INDIRECT(SUBSTITUTE(ADDRESS(1,COLUMN($D$9),4),"1","")&amp;SUMPRODUCT(($B$10:$D$26=INDIRECT(SUBSTITUTE(ADDRESS(1,COLUMN()-1,4),"1","")&amp;ROW()-40))*ROW($B$10:$D$26)))*10+50</f>
        <v>#DIV/0!</v>
      </c>
      <c r="CJ41" s="8"/>
      <c r="CK41" s="49">
        <v>31</v>
      </c>
      <c r="CL41" s="83">
        <f t="shared" si="34"/>
        <v>9</v>
      </c>
      <c r="CM41" s="164">
        <f t="shared" si="25"/>
        <v>2</v>
      </c>
      <c r="CN41" s="52">
        <v>690</v>
      </c>
      <c r="CO41" s="16">
        <f t="shared" si="50"/>
        <v>5.7662897685962847E-3</v>
      </c>
      <c r="CP41" s="17">
        <f>IF(AND(CK41&lt;&gt;"", CN41&lt;&gt;""), SUM(CN$4:CN41), "")</f>
        <v>118062</v>
      </c>
      <c r="CQ41" s="16">
        <f t="shared" si="51"/>
        <v>0.98663725023190518</v>
      </c>
      <c r="CR41" s="14"/>
      <c r="CS41" s="27">
        <v>12</v>
      </c>
      <c r="CT41" s="20" t="e" cm="1">
        <f t="array" aca="1" ref="CT41" ca="1">(CS41-INDIRECT(SUBSTITUTE(ADDRESS(1,COLUMN($C$9),4),"1","")&amp;SUMPRODUCT(($B$10:$D$26=INDIRECT(SUBSTITUTE(ADDRESS(1,COLUMN()-1,4),"1","")&amp;ROW()-40))*ROW($B$10:$D$26))))/INDIRECT(SUBSTITUTE(ADDRESS(1,COLUMN($D$9),4),"1","")&amp;SUMPRODUCT(($B$10:$D$26=INDIRECT(SUBSTITUTE(ADDRESS(1,COLUMN()-1,4),"1","")&amp;ROW()-40))*ROW($B$10:$D$26)))*10+50</f>
        <v>#DIV/0!</v>
      </c>
      <c r="CU41" s="8"/>
      <c r="CV41" s="49">
        <v>32</v>
      </c>
      <c r="CW41" s="83">
        <f t="shared" si="35"/>
        <v>8</v>
      </c>
      <c r="CX41" s="164">
        <f t="shared" si="26"/>
        <v>4</v>
      </c>
      <c r="CY41" s="52">
        <v>187</v>
      </c>
      <c r="CZ41" s="16">
        <f t="shared" si="52"/>
        <v>1.5451863726130175E-3</v>
      </c>
      <c r="DA41" s="17">
        <f>IF(AND(CV41&lt;&gt;"", CY41&lt;&gt;""), SUM(CY$4:CY41), "")</f>
        <v>115853</v>
      </c>
      <c r="DB41" s="16">
        <f t="shared" si="53"/>
        <v>0.95729666752051301</v>
      </c>
      <c r="FX41" s="28">
        <v>0</v>
      </c>
    </row>
    <row r="42" spans="1:180" ht="16" customHeight="1" x14ac:dyDescent="0.2">
      <c r="E42" s="1"/>
      <c r="F42" s="86"/>
      <c r="G42" s="85">
        <v>2</v>
      </c>
      <c r="H42" s="36"/>
      <c r="I42" s="86"/>
      <c r="J42" s="85">
        <v>2</v>
      </c>
      <c r="K42" s="36"/>
      <c r="L42" s="86"/>
      <c r="M42" s="85">
        <v>2</v>
      </c>
      <c r="N42"/>
      <c r="O42" s="38"/>
      <c r="P42" s="83" t="str">
        <f t="shared" si="27"/>
        <v/>
      </c>
      <c r="Q42" s="164" t="str">
        <f t="shared" si="18"/>
        <v/>
      </c>
      <c r="R42" s="43"/>
      <c r="S42" s="16" t="str">
        <f t="shared" si="36"/>
        <v/>
      </c>
      <c r="T42" s="17" t="str">
        <f>IF(AND(O42&lt;&gt;"", R42&lt;&gt;""), SUM(R$4:R42), "")</f>
        <v/>
      </c>
      <c r="U42" s="16" t="str">
        <f t="shared" si="37"/>
        <v/>
      </c>
      <c r="W42" s="38">
        <v>109</v>
      </c>
      <c r="X42" s="83">
        <f t="shared" si="28"/>
        <v>4</v>
      </c>
      <c r="Y42" s="164">
        <f t="shared" si="19"/>
        <v>62</v>
      </c>
      <c r="Z42" s="43">
        <v>5427</v>
      </c>
      <c r="AA42" s="16">
        <f t="shared" si="38"/>
        <v>1.4002451138489325E-2</v>
      </c>
      <c r="AB42" s="17">
        <f>IF(AND(W42&lt;&gt;"", Z42&lt;&gt;""), SUM(Z$4:Z42), "")</f>
        <v>148336</v>
      </c>
      <c r="AC42" s="16">
        <f t="shared" si="39"/>
        <v>0.38272850416048509</v>
      </c>
      <c r="AD42" s="1"/>
      <c r="AE42" s="19">
        <v>11</v>
      </c>
      <c r="AF42" s="20" t="e" cm="1">
        <f t="array" aca="1" ref="AF42" ca="1">(AE42-INDIRECT(SUBSTITUTE(ADDRESS(1,COLUMN($C$9),4),"1","")&amp;SUMPRODUCT(($B$10:$D$26=INDIRECT(SUBSTITUTE(ADDRESS(1,COLUMN()-1,4),"1","")&amp;ROW()-41))*ROW($B$10:$D$26))))/INDIRECT(SUBSTITUTE(ADDRESS(1,COLUMN($D$9),4),"1","")&amp;SUMPRODUCT(($B$10:$D$26=INDIRECT(SUBSTITUTE(ADDRESS(1,COLUMN()-1,4),"1","")&amp;ROW()-41))*ROW($B$10:$D$26)))*10+50</f>
        <v>#DIV/0!</v>
      </c>
      <c r="AG42" s="8"/>
      <c r="AH42" s="49">
        <v>27</v>
      </c>
      <c r="AI42" s="83">
        <f t="shared" si="29"/>
        <v>9</v>
      </c>
      <c r="AJ42" s="164">
        <f t="shared" si="20"/>
        <v>1</v>
      </c>
      <c r="AK42" s="52">
        <v>136</v>
      </c>
      <c r="AL42" s="16">
        <f t="shared" si="40"/>
        <v>2.9307818291526592E-3</v>
      </c>
      <c r="AM42" s="17">
        <f>IF(AND(AH42&lt;&gt;"", AK42&lt;&gt;""), SUM(AK$4:AK42), "")</f>
        <v>46090</v>
      </c>
      <c r="AN42" s="16">
        <f t="shared" si="41"/>
        <v>0.99323334195327984</v>
      </c>
      <c r="AO42" s="14"/>
      <c r="AP42" s="27">
        <v>11</v>
      </c>
      <c r="AQ42" s="20" t="e" cm="1">
        <f t="array" aca="1" ref="AQ42" ca="1">(AP42-INDIRECT(SUBSTITUTE(ADDRESS(1,COLUMN($C$9),4),"1","")&amp;SUMPRODUCT(($B$10:$D$26=INDIRECT(SUBSTITUTE(ADDRESS(1,COLUMN()-1,4),"1","")&amp;ROW()-41))*ROW($B$10:$D$26))))/INDIRECT(SUBSTITUTE(ADDRESS(1,COLUMN($D$9),4),"1","")&amp;SUMPRODUCT(($B$10:$D$26=INDIRECT(SUBSTITUTE(ADDRESS(1,COLUMN()-1,4),"1","")&amp;ROW()-41))*ROW($B$10:$D$26)))*10+50</f>
        <v>#DIV/0!</v>
      </c>
      <c r="AR42" s="8"/>
      <c r="AS42" s="49">
        <v>35</v>
      </c>
      <c r="AT42" s="83">
        <f t="shared" si="30"/>
        <v>9</v>
      </c>
      <c r="AU42" s="164">
        <f t="shared" si="21"/>
        <v>1</v>
      </c>
      <c r="AV42" s="52">
        <v>188</v>
      </c>
      <c r="AW42" s="16">
        <f t="shared" si="42"/>
        <v>6.1221831444574701E-3</v>
      </c>
      <c r="AX42" s="17">
        <f>IF(AND(AS42&lt;&gt;"", AV42&lt;&gt;""), SUM(AV$4:AV42), "")</f>
        <v>30417</v>
      </c>
      <c r="AY42" s="16">
        <f t="shared" si="43"/>
        <v>0.99052364204767485</v>
      </c>
      <c r="AZ42" s="14"/>
      <c r="BA42" s="27">
        <v>11</v>
      </c>
      <c r="BB42" s="20" t="e" cm="1">
        <f t="array" aca="1" ref="BB42" ca="1">(BA42-INDIRECT(SUBSTITUTE(ADDRESS(1,COLUMN($C$9),4),"1","")&amp;SUMPRODUCT(($B$10:$D$26=INDIRECT(SUBSTITUTE(ADDRESS(1,COLUMN()-1,4),"1","")&amp;ROW()-41))*ROW($B$10:$D$26))))/INDIRECT(SUBSTITUTE(ADDRESS(1,COLUMN($D$9),4),"1","")&amp;SUMPRODUCT(($B$10:$D$26=INDIRECT(SUBSTITUTE(ADDRESS(1,COLUMN()-1,4),"1","")&amp;ROW()-41))*ROW($B$10:$D$26)))*10+50</f>
        <v>#DIV/0!</v>
      </c>
      <c r="BC42" s="8"/>
      <c r="BD42" s="49">
        <v>31</v>
      </c>
      <c r="BE42" s="83">
        <f t="shared" si="31"/>
        <v>9</v>
      </c>
      <c r="BF42" s="164">
        <f t="shared" si="22"/>
        <v>2</v>
      </c>
      <c r="BG42" s="52">
        <v>42</v>
      </c>
      <c r="BH42" s="16">
        <f t="shared" si="44"/>
        <v>1.2945781832752828E-3</v>
      </c>
      <c r="BI42" s="17">
        <f>IF(AND(BD42&lt;&gt;"", BG42&lt;&gt;""), SUM(BG$4:BG42), "")</f>
        <v>31959</v>
      </c>
      <c r="BJ42" s="16">
        <f t="shared" si="45"/>
        <v>0.98508152760225631</v>
      </c>
      <c r="BK42" s="14"/>
      <c r="BL42" s="27">
        <v>11</v>
      </c>
      <c r="BM42" s="20" t="e" cm="1">
        <f t="array" aca="1" ref="BM42" ca="1">(BL42-INDIRECT(SUBSTITUTE(ADDRESS(1,COLUMN($C$9),4),"1","")&amp;SUMPRODUCT(($B$10:$D$26=INDIRECT(SUBSTITUTE(ADDRESS(1,COLUMN()-1,4),"1","")&amp;ROW()-41))*ROW($B$10:$D$26))))/INDIRECT(SUBSTITUTE(ADDRESS(1,COLUMN($D$9),4),"1","")&amp;SUMPRODUCT(($B$10:$D$26=INDIRECT(SUBSTITUTE(ADDRESS(1,COLUMN()-1,4),"1","")&amp;ROW()-41))*ROW($B$10:$D$26)))*10+50</f>
        <v>#DIV/0!</v>
      </c>
      <c r="BN42" s="8"/>
      <c r="BO42" s="49">
        <v>36</v>
      </c>
      <c r="BP42" s="83">
        <f t="shared" si="32"/>
        <v>8</v>
      </c>
      <c r="BQ42" s="164">
        <f t="shared" si="23"/>
        <v>4</v>
      </c>
      <c r="BR42" s="52">
        <v>822</v>
      </c>
      <c r="BS42" s="16">
        <f t="shared" si="46"/>
        <v>1.475021533161068E-2</v>
      </c>
      <c r="BT42" s="17">
        <f>IF(AND(BO42&lt;&gt;"", BR42&lt;&gt;""), SUM(BR$4:BR42), "")</f>
        <v>53753</v>
      </c>
      <c r="BU42" s="16">
        <f t="shared" si="47"/>
        <v>0.96456000574217626</v>
      </c>
      <c r="BV42" s="14"/>
      <c r="BW42" s="27">
        <v>11</v>
      </c>
      <c r="BX42" s="20" cm="1">
        <f t="array" aca="1" ref="BX42" ca="1">(BW42-INDIRECT(SUBSTITUTE(ADDRESS(1,COLUMN($C$9),4),"1","")&amp;SUMPRODUCT(($B$10:$D$26=INDIRECT(SUBSTITUTE(ADDRESS(1,COLUMN()-1,4),"1","")&amp;ROW()-41))*ROW($B$10:$D$26))))/INDIRECT(SUBSTITUTE(ADDRESS(1,COLUMN($D$9),4),"1","")&amp;SUMPRODUCT(($B$10:$D$26=INDIRECT(SUBSTITUTE(ADDRESS(1,COLUMN()-1,4),"1","")&amp;ROW()-41))*ROW($B$10:$D$26)))*10+50</f>
        <v>38.889916743755784</v>
      </c>
      <c r="BY42" s="8"/>
      <c r="BZ42" s="49">
        <v>36</v>
      </c>
      <c r="CA42" s="83">
        <f t="shared" si="33"/>
        <v>9</v>
      </c>
      <c r="CB42" s="164">
        <f t="shared" si="24"/>
        <v>3</v>
      </c>
      <c r="CC42" s="52">
        <v>655</v>
      </c>
      <c r="CD42" s="16">
        <f t="shared" si="48"/>
        <v>1.2175626440627555E-2</v>
      </c>
      <c r="CE42" s="17">
        <f>IF(AND(BZ42&lt;&gt;"", CC42&lt;&gt;""), SUM(CC$4:CC42), "")</f>
        <v>52540</v>
      </c>
      <c r="CF42" s="16">
        <f t="shared" si="49"/>
        <v>0.97665253922224704</v>
      </c>
      <c r="CG42" s="14"/>
      <c r="CH42" s="27">
        <v>11</v>
      </c>
      <c r="CI42" s="20" t="e" cm="1">
        <f t="array" aca="1" ref="CI42" ca="1">(CH42-INDIRECT(SUBSTITUTE(ADDRESS(1,COLUMN($C$9),4),"1","")&amp;SUMPRODUCT(($B$10:$D$26=INDIRECT(SUBSTITUTE(ADDRESS(1,COLUMN()-1,4),"1","")&amp;ROW()-41))*ROW($B$10:$D$26))))/INDIRECT(SUBSTITUTE(ADDRESS(1,COLUMN($D$9),4),"1","")&amp;SUMPRODUCT(($B$10:$D$26=INDIRECT(SUBSTITUTE(ADDRESS(1,COLUMN()-1,4),"1","")&amp;ROW()-41))*ROW($B$10:$D$26)))*10+50</f>
        <v>#DIV/0!</v>
      </c>
      <c r="CJ42" s="8"/>
      <c r="CK42" s="49">
        <v>30</v>
      </c>
      <c r="CL42" s="83">
        <f t="shared" si="34"/>
        <v>9</v>
      </c>
      <c r="CM42" s="164">
        <f t="shared" si="25"/>
        <v>1</v>
      </c>
      <c r="CN42" s="52">
        <v>333</v>
      </c>
      <c r="CO42" s="16">
        <f t="shared" si="50"/>
        <v>2.7828615839747286E-3</v>
      </c>
      <c r="CP42" s="17">
        <f>IF(AND(CK42&lt;&gt;"", CN42&lt;&gt;""), SUM(CN$4:CN42), "")</f>
        <v>118395</v>
      </c>
      <c r="CQ42" s="16">
        <f t="shared" si="51"/>
        <v>0.98942011181587985</v>
      </c>
      <c r="CR42" s="14"/>
      <c r="CS42" s="27">
        <v>11</v>
      </c>
      <c r="CT42" s="20" t="e" cm="1">
        <f t="array" aca="1" ref="CT42" ca="1">(CS42-INDIRECT(SUBSTITUTE(ADDRESS(1,COLUMN($C$9),4),"1","")&amp;SUMPRODUCT(($B$10:$D$26=INDIRECT(SUBSTITUTE(ADDRESS(1,COLUMN()-1,4),"1","")&amp;ROW()-41))*ROW($B$10:$D$26))))/INDIRECT(SUBSTITUTE(ADDRESS(1,COLUMN($D$9),4),"1","")&amp;SUMPRODUCT(($B$10:$D$26=INDIRECT(SUBSTITUTE(ADDRESS(1,COLUMN()-1,4),"1","")&amp;ROW()-41))*ROW($B$10:$D$26)))*10+50</f>
        <v>#DIV/0!</v>
      </c>
      <c r="CU42" s="8"/>
      <c r="CV42" s="49">
        <v>31</v>
      </c>
      <c r="CW42" s="83">
        <f t="shared" si="35"/>
        <v>8</v>
      </c>
      <c r="CX42" s="164">
        <f t="shared" si="26"/>
        <v>4</v>
      </c>
      <c r="CY42" s="52">
        <v>275</v>
      </c>
      <c r="CZ42" s="16">
        <f t="shared" si="52"/>
        <v>2.2723329009014964E-3</v>
      </c>
      <c r="DA42" s="17">
        <f>IF(AND(CV42&lt;&gt;"", CY42&lt;&gt;""), SUM(CY$4:CY42), "")</f>
        <v>116128</v>
      </c>
      <c r="DB42" s="16">
        <f t="shared" si="53"/>
        <v>0.95956900042141446</v>
      </c>
      <c r="FX42" s="28">
        <v>0</v>
      </c>
    </row>
    <row r="43" spans="1:180" ht="16" customHeight="1" x14ac:dyDescent="0.2">
      <c r="E43" s="1"/>
      <c r="F43" s="86"/>
      <c r="G43" s="85">
        <v>3</v>
      </c>
      <c r="H43" s="36"/>
      <c r="I43" s="86"/>
      <c r="J43" s="85">
        <v>3</v>
      </c>
      <c r="K43" s="36"/>
      <c r="L43" s="86"/>
      <c r="M43" s="85">
        <v>3</v>
      </c>
      <c r="N43"/>
      <c r="O43" s="38"/>
      <c r="P43" s="83" t="str">
        <f t="shared" si="27"/>
        <v/>
      </c>
      <c r="Q43" s="164" t="str">
        <f t="shared" si="18"/>
        <v/>
      </c>
      <c r="R43" s="43"/>
      <c r="S43" s="16" t="str">
        <f t="shared" si="36"/>
        <v/>
      </c>
      <c r="T43" s="17" t="str">
        <f>IF(AND(O43&lt;&gt;"", R43&lt;&gt;""), SUM(R$4:R43), "")</f>
        <v/>
      </c>
      <c r="U43" s="16" t="str">
        <f t="shared" si="37"/>
        <v/>
      </c>
      <c r="W43" s="38">
        <v>108</v>
      </c>
      <c r="X43" s="83">
        <f t="shared" si="28"/>
        <v>4</v>
      </c>
      <c r="Y43" s="164">
        <f t="shared" si="19"/>
        <v>61</v>
      </c>
      <c r="Z43" s="43">
        <v>5138</v>
      </c>
      <c r="AA43" s="16">
        <f t="shared" si="38"/>
        <v>1.3256789008578984E-2</v>
      </c>
      <c r="AB43" s="17">
        <f>IF(AND(W43&lt;&gt;"", Z43&lt;&gt;""), SUM(Z$4:Z43), "")</f>
        <v>153474</v>
      </c>
      <c r="AC43" s="16">
        <f t="shared" si="39"/>
        <v>0.39598529316906406</v>
      </c>
      <c r="AD43" s="1"/>
      <c r="AE43" s="19">
        <v>10</v>
      </c>
      <c r="AF43" s="20" t="e" cm="1">
        <f t="array" aca="1" ref="AF43" ca="1">(AE43-INDIRECT(SUBSTITUTE(ADDRESS(1,COLUMN($C$9),4),"1","")&amp;SUMPRODUCT(($B$10:$D$26=INDIRECT(SUBSTITUTE(ADDRESS(1,COLUMN()-1,4),"1","")&amp;ROW()-42))*ROW($B$10:$D$26))))/INDIRECT(SUBSTITUTE(ADDRESS(1,COLUMN($D$9),4),"1","")&amp;SUMPRODUCT(($B$10:$D$26=INDIRECT(SUBSTITUTE(ADDRESS(1,COLUMN()-1,4),"1","")&amp;ROW()-42))*ROW($B$10:$D$26)))*10+50</f>
        <v>#DIV/0!</v>
      </c>
      <c r="AG43" s="8"/>
      <c r="AH43" s="49">
        <v>26</v>
      </c>
      <c r="AI43" s="83">
        <f t="shared" si="29"/>
        <v>9</v>
      </c>
      <c r="AJ43" s="164">
        <f t="shared" si="20"/>
        <v>1</v>
      </c>
      <c r="AK43" s="52">
        <v>119</v>
      </c>
      <c r="AL43" s="16">
        <f t="shared" si="40"/>
        <v>2.5644341005085767E-3</v>
      </c>
      <c r="AM43" s="17">
        <f>IF(AND(AH43&lt;&gt;"", AK43&lt;&gt;""), SUM(AK$4:AK43), "")</f>
        <v>46209</v>
      </c>
      <c r="AN43" s="16">
        <f t="shared" si="41"/>
        <v>0.9957977760537885</v>
      </c>
      <c r="AO43" s="14"/>
      <c r="AP43" s="27">
        <v>10</v>
      </c>
      <c r="AQ43" s="20" t="e" cm="1">
        <f t="array" aca="1" ref="AQ43" ca="1">(AP43-INDIRECT(SUBSTITUTE(ADDRESS(1,COLUMN($C$9),4),"1","")&amp;SUMPRODUCT(($B$10:$D$26=INDIRECT(SUBSTITUTE(ADDRESS(1,COLUMN()-1,4),"1","")&amp;ROW()-42))*ROW($B$10:$D$26))))/INDIRECT(SUBSTITUTE(ADDRESS(1,COLUMN($D$9),4),"1","")&amp;SUMPRODUCT(($B$10:$D$26=INDIRECT(SUBSTITUTE(ADDRESS(1,COLUMN()-1,4),"1","")&amp;ROW()-42))*ROW($B$10:$D$26)))*10+50</f>
        <v>#DIV/0!</v>
      </c>
      <c r="AR43" s="8"/>
      <c r="AS43" s="49">
        <v>34</v>
      </c>
      <c r="AT43" s="83">
        <f t="shared" si="30"/>
        <v>9</v>
      </c>
      <c r="AU43" s="164">
        <f t="shared" si="21"/>
        <v>1</v>
      </c>
      <c r="AV43" s="52">
        <v>231</v>
      </c>
      <c r="AW43" s="16">
        <f t="shared" si="42"/>
        <v>7.5224697147323171E-3</v>
      </c>
      <c r="AX43" s="17">
        <f>IF(AND(AS43&lt;&gt;"", AV43&lt;&gt;""), SUM(AV$4:AV43), "")</f>
        <v>30648</v>
      </c>
      <c r="AY43" s="16">
        <f t="shared" si="43"/>
        <v>0.99804611176240721</v>
      </c>
      <c r="AZ43" s="14"/>
      <c r="BA43" s="27">
        <v>10</v>
      </c>
      <c r="BB43" s="20" t="e" cm="1">
        <f t="array" aca="1" ref="BB43" ca="1">(BA43-INDIRECT(SUBSTITUTE(ADDRESS(1,COLUMN($C$9),4),"1","")&amp;SUMPRODUCT(($B$10:$D$26=INDIRECT(SUBSTITUTE(ADDRESS(1,COLUMN()-1,4),"1","")&amp;ROW()-42))*ROW($B$10:$D$26))))/INDIRECT(SUBSTITUTE(ADDRESS(1,COLUMN($D$9),4),"1","")&amp;SUMPRODUCT(($B$10:$D$26=INDIRECT(SUBSTITUTE(ADDRESS(1,COLUMN()-1,4),"1","")&amp;ROW()-42))*ROW($B$10:$D$26)))*10+50</f>
        <v>#DIV/0!</v>
      </c>
      <c r="BC43" s="8"/>
      <c r="BD43" s="49">
        <v>30</v>
      </c>
      <c r="BE43" s="83">
        <f t="shared" si="31"/>
        <v>9</v>
      </c>
      <c r="BF43" s="164">
        <f t="shared" si="22"/>
        <v>1</v>
      </c>
      <c r="BG43" s="52">
        <v>98</v>
      </c>
      <c r="BH43" s="16">
        <f t="shared" si="44"/>
        <v>3.0206824276423267E-3</v>
      </c>
      <c r="BI43" s="17">
        <f>IF(AND(BD43&lt;&gt;"", BG43&lt;&gt;""), SUM(BG$4:BG43), "")</f>
        <v>32057</v>
      </c>
      <c r="BJ43" s="16">
        <f t="shared" si="45"/>
        <v>0.98810221002989862</v>
      </c>
      <c r="BK43" s="14"/>
      <c r="BL43" s="27">
        <v>10</v>
      </c>
      <c r="BM43" s="20" t="e" cm="1">
        <f t="array" aca="1" ref="BM43" ca="1">(BL43-INDIRECT(SUBSTITUTE(ADDRESS(1,COLUMN($C$9),4),"1","")&amp;SUMPRODUCT(($B$10:$D$26=INDIRECT(SUBSTITUTE(ADDRESS(1,COLUMN()-1,4),"1","")&amp;ROW()-42))*ROW($B$10:$D$26))))/INDIRECT(SUBSTITUTE(ADDRESS(1,COLUMN($D$9),4),"1","")&amp;SUMPRODUCT(($B$10:$D$26=INDIRECT(SUBSTITUTE(ADDRESS(1,COLUMN()-1,4),"1","")&amp;ROW()-42))*ROW($B$10:$D$26)))*10+50</f>
        <v>#DIV/0!</v>
      </c>
      <c r="BN43" s="8"/>
      <c r="BO43" s="49">
        <v>35</v>
      </c>
      <c r="BP43" s="83">
        <f t="shared" si="32"/>
        <v>9</v>
      </c>
      <c r="BQ43" s="164">
        <f t="shared" si="23"/>
        <v>3</v>
      </c>
      <c r="BR43" s="52">
        <v>1038</v>
      </c>
      <c r="BS43" s="16">
        <f t="shared" si="46"/>
        <v>1.8626184323858742E-2</v>
      </c>
      <c r="BT43" s="17">
        <f>IF(AND(BO43&lt;&gt;"", BR43&lt;&gt;""), SUM(BR$4:BR43), "")</f>
        <v>54791</v>
      </c>
      <c r="BU43" s="16">
        <f t="shared" si="47"/>
        <v>0.98318619006603503</v>
      </c>
      <c r="BV43" s="14"/>
      <c r="BW43" s="27">
        <v>10</v>
      </c>
      <c r="BX43" s="20" cm="1">
        <f t="array" aca="1" ref="BX43" ca="1">(BW43-INDIRECT(SUBSTITUTE(ADDRESS(1,COLUMN($C$9),4),"1","")&amp;SUMPRODUCT(($B$10:$D$26=INDIRECT(SUBSTITUTE(ADDRESS(1,COLUMN()-1,4),"1","")&amp;ROW()-42))*ROW($B$10:$D$26))))/INDIRECT(SUBSTITUTE(ADDRESS(1,COLUMN($D$9),4),"1","")&amp;SUMPRODUCT(($B$10:$D$26=INDIRECT(SUBSTITUTE(ADDRESS(1,COLUMN()-1,4),"1","")&amp;ROW()-42))*ROW($B$10:$D$26)))*10+50</f>
        <v>37.964847363552266</v>
      </c>
      <c r="BY43" s="8"/>
      <c r="BZ43" s="49">
        <v>35</v>
      </c>
      <c r="CA43" s="83">
        <f t="shared" si="33"/>
        <v>9</v>
      </c>
      <c r="CB43" s="164">
        <f t="shared" si="24"/>
        <v>2</v>
      </c>
      <c r="CC43" s="52">
        <v>564</v>
      </c>
      <c r="CD43" s="16">
        <f t="shared" si="48"/>
        <v>1.0484050858799911E-2</v>
      </c>
      <c r="CE43" s="17">
        <f>IF(AND(BZ43&lt;&gt;"", CC43&lt;&gt;""), SUM(CC$4:CC43), "")</f>
        <v>53104</v>
      </c>
      <c r="CF43" s="16">
        <f t="shared" si="49"/>
        <v>0.98713659008104693</v>
      </c>
      <c r="CG43" s="14"/>
      <c r="CH43" s="27">
        <v>10</v>
      </c>
      <c r="CI43" s="20" t="e" cm="1">
        <f t="array" aca="1" ref="CI43" ca="1">(CH43-INDIRECT(SUBSTITUTE(ADDRESS(1,COLUMN($C$9),4),"1","")&amp;SUMPRODUCT(($B$10:$D$26=INDIRECT(SUBSTITUTE(ADDRESS(1,COLUMN()-1,4),"1","")&amp;ROW()-42))*ROW($B$10:$D$26))))/INDIRECT(SUBSTITUTE(ADDRESS(1,COLUMN($D$9),4),"1","")&amp;SUMPRODUCT(($B$10:$D$26=INDIRECT(SUBSTITUTE(ADDRESS(1,COLUMN()-1,4),"1","")&amp;ROW()-42))*ROW($B$10:$D$26)))*10+50</f>
        <v>#DIV/0!</v>
      </c>
      <c r="CJ43" s="8"/>
      <c r="CK43" s="49">
        <v>29</v>
      </c>
      <c r="CL43" s="83">
        <f t="shared" si="34"/>
        <v>9</v>
      </c>
      <c r="CM43" s="164">
        <f t="shared" si="25"/>
        <v>1</v>
      </c>
      <c r="CN43" s="52">
        <v>176</v>
      </c>
      <c r="CO43" s="16">
        <f t="shared" si="50"/>
        <v>1.4708217380767334E-3</v>
      </c>
      <c r="CP43" s="17">
        <f>IF(AND(CK43&lt;&gt;"", CN43&lt;&gt;""), SUM(CN$4:CN43), "")</f>
        <v>118571</v>
      </c>
      <c r="CQ43" s="16">
        <f t="shared" si="51"/>
        <v>0.99089093355395663</v>
      </c>
      <c r="CR43" s="14"/>
      <c r="CS43" s="27">
        <v>10</v>
      </c>
      <c r="CT43" s="20" t="e" cm="1">
        <f t="array" aca="1" ref="CT43" ca="1">(CS43-INDIRECT(SUBSTITUTE(ADDRESS(1,COLUMN($C$9),4),"1","")&amp;SUMPRODUCT(($B$10:$D$26=INDIRECT(SUBSTITUTE(ADDRESS(1,COLUMN()-1,4),"1","")&amp;ROW()-42))*ROW($B$10:$D$26))))/INDIRECT(SUBSTITUTE(ADDRESS(1,COLUMN($D$9),4),"1","")&amp;SUMPRODUCT(($B$10:$D$26=INDIRECT(SUBSTITUTE(ADDRESS(1,COLUMN()-1,4),"1","")&amp;ROW()-42))*ROW($B$10:$D$26)))*10+50</f>
        <v>#DIV/0!</v>
      </c>
      <c r="CU43" s="8"/>
      <c r="CV43" s="49">
        <v>30</v>
      </c>
      <c r="CW43" s="83">
        <f t="shared" si="35"/>
        <v>8</v>
      </c>
      <c r="CX43" s="164">
        <f t="shared" si="26"/>
        <v>4</v>
      </c>
      <c r="CY43" s="52">
        <v>100</v>
      </c>
      <c r="CZ43" s="16">
        <f t="shared" si="52"/>
        <v>8.263028730550896E-4</v>
      </c>
      <c r="DA43" s="17">
        <f>IF(AND(CV43&lt;&gt;"", CY43&lt;&gt;""), SUM(CY$4:CY43), "")</f>
        <v>116228</v>
      </c>
      <c r="DB43" s="16">
        <f t="shared" si="53"/>
        <v>0.96039530329446954</v>
      </c>
      <c r="FX43" s="28">
        <v>0</v>
      </c>
    </row>
    <row r="44" spans="1:180" ht="16" customHeight="1" x14ac:dyDescent="0.2">
      <c r="E44" s="1"/>
      <c r="F44" s="86"/>
      <c r="G44" s="85">
        <v>4</v>
      </c>
      <c r="H44" s="36"/>
      <c r="I44" s="86"/>
      <c r="J44" s="85">
        <v>4</v>
      </c>
      <c r="K44" s="36"/>
      <c r="L44" s="86"/>
      <c r="M44" s="85">
        <v>4</v>
      </c>
      <c r="N44"/>
      <c r="O44" s="38"/>
      <c r="P44" s="83" t="str">
        <f t="shared" si="27"/>
        <v/>
      </c>
      <c r="Q44" s="164" t="str">
        <f t="shared" si="18"/>
        <v/>
      </c>
      <c r="R44" s="43"/>
      <c r="S44" s="16" t="str">
        <f t="shared" si="36"/>
        <v/>
      </c>
      <c r="T44" s="17" t="str">
        <f>IF(AND(O44&lt;&gt;"", R44&lt;&gt;""), SUM(R$4:R44), "")</f>
        <v/>
      </c>
      <c r="U44" s="16" t="str">
        <f t="shared" si="37"/>
        <v/>
      </c>
      <c r="W44" s="38">
        <v>107</v>
      </c>
      <c r="X44" s="83">
        <f t="shared" si="28"/>
        <v>4</v>
      </c>
      <c r="Y44" s="164">
        <f t="shared" si="19"/>
        <v>60</v>
      </c>
      <c r="Z44" s="43">
        <v>5658</v>
      </c>
      <c r="AA44" s="16">
        <f t="shared" si="38"/>
        <v>1.4598464813261949E-2</v>
      </c>
      <c r="AB44" s="17">
        <f>IF(AND(W44&lt;&gt;"", Z44&lt;&gt;""), SUM(Z$4:Z44), "")</f>
        <v>159132</v>
      </c>
      <c r="AC44" s="16">
        <f t="shared" si="39"/>
        <v>0.41058375798232599</v>
      </c>
      <c r="AD44" s="1"/>
      <c r="AE44" s="19">
        <v>9</v>
      </c>
      <c r="AF44" s="20" t="e" cm="1">
        <f t="array" aca="1" ref="AF44" ca="1">(AE44-INDIRECT(SUBSTITUTE(ADDRESS(1,COLUMN($C$9),4),"1","")&amp;SUMPRODUCT(($B$10:$D$26=INDIRECT(SUBSTITUTE(ADDRESS(1,COLUMN()-1,4),"1","")&amp;ROW()-43))*ROW($B$10:$D$26))))/INDIRECT(SUBSTITUTE(ADDRESS(1,COLUMN($D$9),4),"1","")&amp;SUMPRODUCT(($B$10:$D$26=INDIRECT(SUBSTITUTE(ADDRESS(1,COLUMN()-1,4),"1","")&amp;ROW()-43))*ROW($B$10:$D$26)))*10+50</f>
        <v>#DIV/0!</v>
      </c>
      <c r="AG44" s="8"/>
      <c r="AH44" s="49">
        <v>25</v>
      </c>
      <c r="AI44" s="83">
        <f t="shared" si="29"/>
        <v>9</v>
      </c>
      <c r="AJ44" s="164">
        <f t="shared" si="20"/>
        <v>0</v>
      </c>
      <c r="AK44" s="52">
        <v>119</v>
      </c>
      <c r="AL44" s="16">
        <f t="shared" si="40"/>
        <v>2.5644341005085767E-3</v>
      </c>
      <c r="AM44" s="17">
        <f>IF(AND(AH44&lt;&gt;"", AK44&lt;&gt;""), SUM(AK$4:AK44), "")</f>
        <v>46328</v>
      </c>
      <c r="AN44" s="16">
        <f t="shared" si="41"/>
        <v>0.99836221015429705</v>
      </c>
      <c r="AO44" s="14"/>
      <c r="AP44" s="27">
        <v>9</v>
      </c>
      <c r="AQ44" s="20" t="e" cm="1">
        <f t="array" aca="1" ref="AQ44" ca="1">(AP44-INDIRECT(SUBSTITUTE(ADDRESS(1,COLUMN($C$9),4),"1","")&amp;SUMPRODUCT(($B$10:$D$26=INDIRECT(SUBSTITUTE(ADDRESS(1,COLUMN()-1,4),"1","")&amp;ROW()-43))*ROW($B$10:$D$26))))/INDIRECT(SUBSTITUTE(ADDRESS(1,COLUMN($D$9),4),"1","")&amp;SUMPRODUCT(($B$10:$D$26=INDIRECT(SUBSTITUTE(ADDRESS(1,COLUMN()-1,4),"1","")&amp;ROW()-43))*ROW($B$10:$D$26)))*10+50</f>
        <v>#DIV/0!</v>
      </c>
      <c r="AR44" s="8"/>
      <c r="AS44" s="49">
        <v>32</v>
      </c>
      <c r="AT44" s="83">
        <f t="shared" si="30"/>
        <v>9</v>
      </c>
      <c r="AU44" s="164">
        <f t="shared" si="21"/>
        <v>0</v>
      </c>
      <c r="AV44" s="52">
        <v>60</v>
      </c>
      <c r="AW44" s="16">
        <f t="shared" si="42"/>
        <v>1.9538882375928096E-3</v>
      </c>
      <c r="AX44" s="17">
        <f>IF(AND(AS44&lt;&gt;"", AV44&lt;&gt;""), SUM(AV$4:AV44), "")</f>
        <v>30708</v>
      </c>
      <c r="AY44" s="16">
        <f t="shared" si="43"/>
        <v>1</v>
      </c>
      <c r="AZ44" s="14"/>
      <c r="BA44" s="27">
        <v>9</v>
      </c>
      <c r="BB44" s="20" t="e" cm="1">
        <f t="array" aca="1" ref="BB44" ca="1">(BA44-INDIRECT(SUBSTITUTE(ADDRESS(1,COLUMN($C$9),4),"1","")&amp;SUMPRODUCT(($B$10:$D$26=INDIRECT(SUBSTITUTE(ADDRESS(1,COLUMN()-1,4),"1","")&amp;ROW()-43))*ROW($B$10:$D$26))))/INDIRECT(SUBSTITUTE(ADDRESS(1,COLUMN($D$9),4),"1","")&amp;SUMPRODUCT(($B$10:$D$26=INDIRECT(SUBSTITUTE(ADDRESS(1,COLUMN()-1,4),"1","")&amp;ROW()-43))*ROW($B$10:$D$26)))*10+50</f>
        <v>#DIV/0!</v>
      </c>
      <c r="BC44" s="8"/>
      <c r="BD44" s="49">
        <v>28</v>
      </c>
      <c r="BE44" s="83">
        <f t="shared" si="31"/>
        <v>9</v>
      </c>
      <c r="BF44" s="164">
        <f t="shared" si="22"/>
        <v>1</v>
      </c>
      <c r="BG44" s="52">
        <v>19</v>
      </c>
      <c r="BH44" s="16">
        <f t="shared" si="44"/>
        <v>5.8564251148167552E-4</v>
      </c>
      <c r="BI44" s="17">
        <f>IF(AND(BD44&lt;&gt;"", BG44&lt;&gt;""), SUM(BG$4:BG44), "")</f>
        <v>32076</v>
      </c>
      <c r="BJ44" s="16">
        <f t="shared" si="45"/>
        <v>0.98868785254138025</v>
      </c>
      <c r="BK44" s="14"/>
      <c r="BL44" s="27">
        <v>9</v>
      </c>
      <c r="BM44" s="20" t="e" cm="1">
        <f t="array" aca="1" ref="BM44" ca="1">(BL44-INDIRECT(SUBSTITUTE(ADDRESS(1,COLUMN($C$9),4),"1","")&amp;SUMPRODUCT(($B$10:$D$26=INDIRECT(SUBSTITUTE(ADDRESS(1,COLUMN()-1,4),"1","")&amp;ROW()-43))*ROW($B$10:$D$26))))/INDIRECT(SUBSTITUTE(ADDRESS(1,COLUMN($D$9),4),"1","")&amp;SUMPRODUCT(($B$10:$D$26=INDIRECT(SUBSTITUTE(ADDRESS(1,COLUMN()-1,4),"1","")&amp;ROW()-43))*ROW($B$10:$D$26)))*10+50</f>
        <v>#DIV/0!</v>
      </c>
      <c r="BN44" s="8"/>
      <c r="BO44" s="49">
        <v>34</v>
      </c>
      <c r="BP44" s="83">
        <f t="shared" si="32"/>
        <v>9</v>
      </c>
      <c r="BQ44" s="164">
        <f t="shared" si="23"/>
        <v>1</v>
      </c>
      <c r="BR44" s="52">
        <v>231</v>
      </c>
      <c r="BS44" s="16">
        <f t="shared" si="46"/>
        <v>4.1451335055986216E-3</v>
      </c>
      <c r="BT44" s="17">
        <f>IF(AND(BO44&lt;&gt;"", BR44&lt;&gt;""), SUM(BR$4:BR44), "")</f>
        <v>55022</v>
      </c>
      <c r="BU44" s="16">
        <f t="shared" si="47"/>
        <v>0.98733132357163367</v>
      </c>
      <c r="BV44" s="14"/>
      <c r="BW44" s="27">
        <v>9</v>
      </c>
      <c r="BX44" s="20" cm="1">
        <f t="array" aca="1" ref="BX44" ca="1">(BW44-INDIRECT(SUBSTITUTE(ADDRESS(1,COLUMN($C$9),4),"1","")&amp;SUMPRODUCT(($B$10:$D$26=INDIRECT(SUBSTITUTE(ADDRESS(1,COLUMN()-1,4),"1","")&amp;ROW()-43))*ROW($B$10:$D$26))))/INDIRECT(SUBSTITUTE(ADDRESS(1,COLUMN($D$9),4),"1","")&amp;SUMPRODUCT(($B$10:$D$26=INDIRECT(SUBSTITUTE(ADDRESS(1,COLUMN()-1,4),"1","")&amp;ROW()-43))*ROW($B$10:$D$26)))*10+50</f>
        <v>37.039777983348749</v>
      </c>
      <c r="BY44" s="8"/>
      <c r="BZ44" s="49">
        <v>34</v>
      </c>
      <c r="CA44" s="83">
        <f t="shared" si="33"/>
        <v>9</v>
      </c>
      <c r="CB44" s="164">
        <f t="shared" si="24"/>
        <v>1</v>
      </c>
      <c r="CC44" s="52">
        <v>277</v>
      </c>
      <c r="CD44" s="16">
        <f t="shared" si="48"/>
        <v>5.1490817161127219E-3</v>
      </c>
      <c r="CE44" s="17">
        <f>IF(AND(BZ44&lt;&gt;"", CC44&lt;&gt;""), SUM(CC$4:CC44), "")</f>
        <v>53381</v>
      </c>
      <c r="CF44" s="16">
        <f t="shared" si="49"/>
        <v>0.99228567179715965</v>
      </c>
      <c r="CG44" s="14"/>
      <c r="CH44" s="27">
        <v>9</v>
      </c>
      <c r="CI44" s="20" t="e" cm="1">
        <f t="array" aca="1" ref="CI44" ca="1">(CH44-INDIRECT(SUBSTITUTE(ADDRESS(1,COLUMN($C$9),4),"1","")&amp;SUMPRODUCT(($B$10:$D$26=INDIRECT(SUBSTITUTE(ADDRESS(1,COLUMN()-1,4),"1","")&amp;ROW()-43))*ROW($B$10:$D$26))))/INDIRECT(SUBSTITUTE(ADDRESS(1,COLUMN($D$9),4),"1","")&amp;SUMPRODUCT(($B$10:$D$26=INDIRECT(SUBSTITUTE(ADDRESS(1,COLUMN()-1,4),"1","")&amp;ROW()-43))*ROW($B$10:$D$26)))*10+50</f>
        <v>#DIV/0!</v>
      </c>
      <c r="CJ44" s="8"/>
      <c r="CK44" s="49">
        <v>28</v>
      </c>
      <c r="CL44" s="83">
        <f t="shared" si="34"/>
        <v>9</v>
      </c>
      <c r="CM44" s="164">
        <f t="shared" si="25"/>
        <v>1</v>
      </c>
      <c r="CN44" s="52">
        <v>196</v>
      </c>
      <c r="CO44" s="16">
        <f t="shared" si="50"/>
        <v>1.6379605719490896E-3</v>
      </c>
      <c r="CP44" s="17">
        <f>IF(AND(CK44&lt;&gt;"", CN44&lt;&gt;""), SUM(CN$4:CN44), "")</f>
        <v>118767</v>
      </c>
      <c r="CQ44" s="16">
        <f t="shared" si="51"/>
        <v>0.99252889412590573</v>
      </c>
      <c r="CR44" s="14"/>
      <c r="CS44" s="27">
        <v>9</v>
      </c>
      <c r="CT44" s="20" t="e" cm="1">
        <f t="array" aca="1" ref="CT44" ca="1">(CS44-INDIRECT(SUBSTITUTE(ADDRESS(1,COLUMN($C$9),4),"1","")&amp;SUMPRODUCT(($B$10:$D$26=INDIRECT(SUBSTITUTE(ADDRESS(1,COLUMN()-1,4),"1","")&amp;ROW()-43))*ROW($B$10:$D$26))))/INDIRECT(SUBSTITUTE(ADDRESS(1,COLUMN($D$9),4),"1","")&amp;SUMPRODUCT(($B$10:$D$26=INDIRECT(SUBSTITUTE(ADDRESS(1,COLUMN()-1,4),"1","")&amp;ROW()-43))*ROW($B$10:$D$26)))*10+50</f>
        <v>#DIV/0!</v>
      </c>
      <c r="CU44" s="8"/>
      <c r="CV44" s="49">
        <v>37</v>
      </c>
      <c r="CW44" s="83">
        <f t="shared" si="35"/>
        <v>9</v>
      </c>
      <c r="CX44" s="164">
        <f t="shared" si="26"/>
        <v>3</v>
      </c>
      <c r="CY44" s="52">
        <v>1973</v>
      </c>
      <c r="CZ44" s="16">
        <f t="shared" si="52"/>
        <v>1.6302955685376919E-2</v>
      </c>
      <c r="DA44" s="17">
        <f>IF(AND(CV44&lt;&gt;"", CY44&lt;&gt;""), SUM(CY$4:CY44), "")</f>
        <v>118201</v>
      </c>
      <c r="DB44" s="16">
        <f t="shared" si="53"/>
        <v>0.97669825897984652</v>
      </c>
      <c r="FX44" s="28">
        <v>0</v>
      </c>
    </row>
    <row r="45" spans="1:180" ht="16" customHeight="1" x14ac:dyDescent="0.2">
      <c r="E45" s="1"/>
      <c r="F45" s="86"/>
      <c r="G45" s="85">
        <v>5</v>
      </c>
      <c r="H45" s="36"/>
      <c r="I45" s="86"/>
      <c r="J45" s="85">
        <v>5</v>
      </c>
      <c r="K45" s="36"/>
      <c r="L45" s="86"/>
      <c r="M45" s="85">
        <v>5</v>
      </c>
      <c r="N45"/>
      <c r="O45" s="38"/>
      <c r="P45" s="83" t="str">
        <f t="shared" si="27"/>
        <v/>
      </c>
      <c r="Q45" s="164" t="str">
        <f t="shared" si="18"/>
        <v/>
      </c>
      <c r="R45" s="43"/>
      <c r="S45" s="16" t="str">
        <f t="shared" si="36"/>
        <v/>
      </c>
      <c r="T45" s="17" t="str">
        <f>IF(AND(O45&lt;&gt;"", R45&lt;&gt;""), SUM(R$4:R45), "")</f>
        <v/>
      </c>
      <c r="U45" s="16" t="str">
        <f t="shared" si="37"/>
        <v/>
      </c>
      <c r="W45" s="38">
        <v>106</v>
      </c>
      <c r="X45" s="83">
        <f t="shared" si="28"/>
        <v>5</v>
      </c>
      <c r="Y45" s="164">
        <f t="shared" si="19"/>
        <v>58</v>
      </c>
      <c r="Z45" s="43">
        <v>6435</v>
      </c>
      <c r="AA45" s="16">
        <f t="shared" si="38"/>
        <v>1.6603238082951687E-2</v>
      </c>
      <c r="AB45" s="17">
        <f>IF(AND(W45&lt;&gt;"", Z45&lt;&gt;""), SUM(Z$4:Z45), "")</f>
        <v>165567</v>
      </c>
      <c r="AC45" s="16">
        <f t="shared" si="39"/>
        <v>0.42718699606527771</v>
      </c>
      <c r="AD45" s="1"/>
      <c r="AE45" s="19">
        <v>8</v>
      </c>
      <c r="AF45" s="20" t="e" cm="1">
        <f t="array" aca="1" ref="AF45" ca="1">(AE45-INDIRECT(SUBSTITUTE(ADDRESS(1,COLUMN($C$9),4),"1","")&amp;SUMPRODUCT(($B$10:$D$26=INDIRECT(SUBSTITUTE(ADDRESS(1,COLUMN()-1,4),"1","")&amp;ROW()-44))*ROW($B$10:$D$26))))/INDIRECT(SUBSTITUTE(ADDRESS(1,COLUMN($D$9),4),"1","")&amp;SUMPRODUCT(($B$10:$D$26=INDIRECT(SUBSTITUTE(ADDRESS(1,COLUMN()-1,4),"1","")&amp;ROW()-44))*ROW($B$10:$D$26)))*10+50</f>
        <v>#DIV/0!</v>
      </c>
      <c r="AG45" s="8"/>
      <c r="AH45" s="49">
        <v>23</v>
      </c>
      <c r="AI45" s="83">
        <f t="shared" si="29"/>
        <v>9</v>
      </c>
      <c r="AJ45" s="164">
        <f t="shared" si="20"/>
        <v>0</v>
      </c>
      <c r="AK45" s="52">
        <v>66</v>
      </c>
      <c r="AL45" s="16">
        <f t="shared" si="40"/>
        <v>1.4222911817946729E-3</v>
      </c>
      <c r="AM45" s="17">
        <f>IF(AND(AH45&lt;&gt;"", AK45&lt;&gt;""), SUM(AK$4:AK45), "")</f>
        <v>46394</v>
      </c>
      <c r="AN45" s="16">
        <f t="shared" si="41"/>
        <v>0.99978450133609176</v>
      </c>
      <c r="AO45" s="14"/>
      <c r="AP45" s="27">
        <v>8</v>
      </c>
      <c r="AQ45" s="20" t="e" cm="1">
        <f t="array" aca="1" ref="AQ45" ca="1">(AP45-INDIRECT(SUBSTITUTE(ADDRESS(1,COLUMN($C$9),4),"1","")&amp;SUMPRODUCT(($B$10:$D$26=INDIRECT(SUBSTITUTE(ADDRESS(1,COLUMN()-1,4),"1","")&amp;ROW()-44))*ROW($B$10:$D$26))))/INDIRECT(SUBSTITUTE(ADDRESS(1,COLUMN($D$9),4),"1","")&amp;SUMPRODUCT(($B$10:$D$26=INDIRECT(SUBSTITUTE(ADDRESS(1,COLUMN()-1,4),"1","")&amp;ROW()-44))*ROW($B$10:$D$26)))*10+50</f>
        <v>#DIV/0!</v>
      </c>
      <c r="AR45" s="8"/>
      <c r="AS45" s="49"/>
      <c r="AT45" s="83" t="str">
        <f t="shared" si="30"/>
        <v/>
      </c>
      <c r="AU45" s="164" t="str">
        <f t="shared" si="21"/>
        <v/>
      </c>
      <c r="AV45" s="52"/>
      <c r="AW45" s="16" t="str">
        <f t="shared" si="42"/>
        <v/>
      </c>
      <c r="AX45" s="17" t="str">
        <f>IF(AND(AS45&lt;&gt;"", AV45&lt;&gt;""), SUM(AV$4:AV45), "")</f>
        <v/>
      </c>
      <c r="AY45" s="16" t="str">
        <f t="shared" si="43"/>
        <v/>
      </c>
      <c r="AZ45" s="14"/>
      <c r="BA45" s="27">
        <v>8</v>
      </c>
      <c r="BB45" s="20" t="e" cm="1">
        <f t="array" aca="1" ref="BB45" ca="1">(BA45-INDIRECT(SUBSTITUTE(ADDRESS(1,COLUMN($C$9),4),"1","")&amp;SUMPRODUCT(($B$10:$D$26=INDIRECT(SUBSTITUTE(ADDRESS(1,COLUMN()-1,4),"1","")&amp;ROW()-44))*ROW($B$10:$D$26))))/INDIRECT(SUBSTITUTE(ADDRESS(1,COLUMN($D$9),4),"1","")&amp;SUMPRODUCT(($B$10:$D$26=INDIRECT(SUBSTITUTE(ADDRESS(1,COLUMN()-1,4),"1","")&amp;ROW()-44))*ROW($B$10:$D$26)))*10+50</f>
        <v>#DIV/0!</v>
      </c>
      <c r="BC45" s="8"/>
      <c r="BD45" s="49">
        <v>34</v>
      </c>
      <c r="BE45" s="83">
        <f t="shared" si="31"/>
        <v>9</v>
      </c>
      <c r="BF45" s="164">
        <f t="shared" si="22"/>
        <v>1</v>
      </c>
      <c r="BG45" s="52">
        <v>185</v>
      </c>
      <c r="BH45" s="16">
        <f t="shared" si="44"/>
        <v>5.7023086644268414E-3</v>
      </c>
      <c r="BI45" s="17">
        <f>IF(AND(BD45&lt;&gt;"", BG45&lt;&gt;""), SUM(BG$4:BG45), "")</f>
        <v>32261</v>
      </c>
      <c r="BJ45" s="16">
        <f t="shared" si="45"/>
        <v>0.99439016120580714</v>
      </c>
      <c r="BK45" s="14"/>
      <c r="BL45" s="27">
        <v>8</v>
      </c>
      <c r="BM45" s="20" t="e" cm="1">
        <f t="array" aca="1" ref="BM45" ca="1">(BL45-INDIRECT(SUBSTITUTE(ADDRESS(1,COLUMN($C$9),4),"1","")&amp;SUMPRODUCT(($B$10:$D$26=INDIRECT(SUBSTITUTE(ADDRESS(1,COLUMN()-1,4),"1","")&amp;ROW()-44))*ROW($B$10:$D$26))))/INDIRECT(SUBSTITUTE(ADDRESS(1,COLUMN($D$9),4),"1","")&amp;SUMPRODUCT(($B$10:$D$26=INDIRECT(SUBSTITUTE(ADDRESS(1,COLUMN()-1,4),"1","")&amp;ROW()-44))*ROW($B$10:$D$26)))*10+50</f>
        <v>#DIV/0!</v>
      </c>
      <c r="BN45" s="8"/>
      <c r="BO45" s="49">
        <v>33</v>
      </c>
      <c r="BP45" s="83">
        <f t="shared" si="32"/>
        <v>9</v>
      </c>
      <c r="BQ45" s="164">
        <f t="shared" si="23"/>
        <v>1</v>
      </c>
      <c r="BR45" s="52">
        <v>230</v>
      </c>
      <c r="BS45" s="16">
        <f t="shared" si="46"/>
        <v>4.1271892047085841E-3</v>
      </c>
      <c r="BT45" s="17">
        <f>IF(AND(BO45&lt;&gt;"", BR45&lt;&gt;""), SUM(BR$4:BR45), "")</f>
        <v>55252</v>
      </c>
      <c r="BU45" s="16">
        <f t="shared" si="47"/>
        <v>0.99145851277634223</v>
      </c>
      <c r="BV45" s="14"/>
      <c r="BW45" s="27">
        <v>8</v>
      </c>
      <c r="BX45" s="20" cm="1">
        <f t="array" aca="1" ref="BX45" ca="1">(BW45-INDIRECT(SUBSTITUTE(ADDRESS(1,COLUMN($C$9),4),"1","")&amp;SUMPRODUCT(($B$10:$D$26=INDIRECT(SUBSTITUTE(ADDRESS(1,COLUMN()-1,4),"1","")&amp;ROW()-44))*ROW($B$10:$D$26))))/INDIRECT(SUBSTITUTE(ADDRESS(1,COLUMN($D$9),4),"1","")&amp;SUMPRODUCT(($B$10:$D$26=INDIRECT(SUBSTITUTE(ADDRESS(1,COLUMN()-1,4),"1","")&amp;ROW()-44))*ROW($B$10:$D$26)))*10+50</f>
        <v>36.114708603145232</v>
      </c>
      <c r="BY45" s="8"/>
      <c r="BZ45" s="49">
        <v>33</v>
      </c>
      <c r="CA45" s="83">
        <f t="shared" si="33"/>
        <v>9</v>
      </c>
      <c r="CB45" s="164">
        <f t="shared" si="24"/>
        <v>1</v>
      </c>
      <c r="CC45" s="52">
        <v>167</v>
      </c>
      <c r="CD45" s="16">
        <f t="shared" si="48"/>
        <v>3.1043200237935906E-3</v>
      </c>
      <c r="CE45" s="17">
        <f>IF(AND(BZ45&lt;&gt;"", CC45&lt;&gt;""), SUM(CC$4:CC45), "")</f>
        <v>53548</v>
      </c>
      <c r="CF45" s="16">
        <f t="shared" si="49"/>
        <v>0.99538999182095322</v>
      </c>
      <c r="CG45" s="14"/>
      <c r="CH45" s="27">
        <v>8</v>
      </c>
      <c r="CI45" s="20" t="e" cm="1">
        <f t="array" aca="1" ref="CI45" ca="1">(CH45-INDIRECT(SUBSTITUTE(ADDRESS(1,COLUMN($C$9),4),"1","")&amp;SUMPRODUCT(($B$10:$D$26=INDIRECT(SUBSTITUTE(ADDRESS(1,COLUMN()-1,4),"1","")&amp;ROW()-44))*ROW($B$10:$D$26))))/INDIRECT(SUBSTITUTE(ADDRESS(1,COLUMN($D$9),4),"1","")&amp;SUMPRODUCT(($B$10:$D$26=INDIRECT(SUBSTITUTE(ADDRESS(1,COLUMN()-1,4),"1","")&amp;ROW()-44))*ROW($B$10:$D$26)))*10+50</f>
        <v>#DIV/0!</v>
      </c>
      <c r="CJ45" s="8"/>
      <c r="CK45" s="49">
        <v>27</v>
      </c>
      <c r="CL45" s="83">
        <f t="shared" si="34"/>
        <v>9</v>
      </c>
      <c r="CM45" s="164">
        <f t="shared" si="25"/>
        <v>1</v>
      </c>
      <c r="CN45" s="52">
        <v>93</v>
      </c>
      <c r="CO45" s="16">
        <f t="shared" si="50"/>
        <v>7.7719557750645569E-4</v>
      </c>
      <c r="CP45" s="17">
        <f>IF(AND(CK45&lt;&gt;"", CN45&lt;&gt;""), SUM(CN$4:CN45), "")</f>
        <v>118860</v>
      </c>
      <c r="CQ45" s="16">
        <f t="shared" si="51"/>
        <v>0.99330608970341217</v>
      </c>
      <c r="CR45" s="14"/>
      <c r="CS45" s="27">
        <v>8</v>
      </c>
      <c r="CT45" s="20" t="e" cm="1">
        <f t="array" aca="1" ref="CT45" ca="1">(CS45-INDIRECT(SUBSTITUTE(ADDRESS(1,COLUMN($C$9),4),"1","")&amp;SUMPRODUCT(($B$10:$D$26=INDIRECT(SUBSTITUTE(ADDRESS(1,COLUMN()-1,4),"1","")&amp;ROW()-44))*ROW($B$10:$D$26))))/INDIRECT(SUBSTITUTE(ADDRESS(1,COLUMN($D$9),4),"1","")&amp;SUMPRODUCT(($B$10:$D$26=INDIRECT(SUBSTITUTE(ADDRESS(1,COLUMN()-1,4),"1","")&amp;ROW()-44))*ROW($B$10:$D$26)))*10+50</f>
        <v>#DIV/0!</v>
      </c>
      <c r="CU45" s="8"/>
      <c r="CV45" s="49">
        <v>36</v>
      </c>
      <c r="CW45" s="83">
        <f t="shared" si="35"/>
        <v>9</v>
      </c>
      <c r="CX45" s="164">
        <f t="shared" si="26"/>
        <v>2</v>
      </c>
      <c r="CY45" s="52">
        <v>753</v>
      </c>
      <c r="CZ45" s="16">
        <f t="shared" si="52"/>
        <v>6.2220606341048248E-3</v>
      </c>
      <c r="DA45" s="17">
        <f>IF(AND(CV45&lt;&gt;"", CY45&lt;&gt;""), SUM(CY$4:CY45), "")</f>
        <v>118954</v>
      </c>
      <c r="DB45" s="16">
        <f t="shared" si="53"/>
        <v>0.98292031961395132</v>
      </c>
      <c r="FX45" s="28">
        <v>0</v>
      </c>
    </row>
    <row r="46" spans="1:180" ht="16" customHeight="1" x14ac:dyDescent="0.2">
      <c r="E46" s="1"/>
      <c r="F46" s="86"/>
      <c r="G46" s="85">
        <v>6</v>
      </c>
      <c r="H46" s="36"/>
      <c r="I46" s="86"/>
      <c r="J46" s="85">
        <v>6</v>
      </c>
      <c r="K46" s="36"/>
      <c r="L46" s="86"/>
      <c r="M46" s="85">
        <v>6</v>
      </c>
      <c r="N46"/>
      <c r="O46" s="38"/>
      <c r="P46" s="83" t="str">
        <f t="shared" si="27"/>
        <v/>
      </c>
      <c r="Q46" s="164" t="str">
        <f t="shared" si="18"/>
        <v/>
      </c>
      <c r="R46" s="43"/>
      <c r="S46" s="16" t="str">
        <f t="shared" si="36"/>
        <v/>
      </c>
      <c r="T46" s="17" t="str">
        <f>IF(AND(O46&lt;&gt;"", R46&lt;&gt;""), SUM(R$4:R46), "")</f>
        <v/>
      </c>
      <c r="U46" s="16" t="str">
        <f t="shared" si="37"/>
        <v/>
      </c>
      <c r="W46" s="38">
        <v>105</v>
      </c>
      <c r="X46" s="83">
        <f t="shared" si="28"/>
        <v>5</v>
      </c>
      <c r="Y46" s="164">
        <f t="shared" si="19"/>
        <v>57</v>
      </c>
      <c r="Z46" s="43">
        <v>5881</v>
      </c>
      <c r="AA46" s="16">
        <f t="shared" si="38"/>
        <v>1.5173837321808683E-2</v>
      </c>
      <c r="AB46" s="17">
        <f>IF(AND(W46&lt;&gt;"", Z46&lt;&gt;""), SUM(Z$4:Z46), "")</f>
        <v>171448</v>
      </c>
      <c r="AC46" s="16">
        <f t="shared" si="39"/>
        <v>0.44236083338708637</v>
      </c>
      <c r="AD46" s="1"/>
      <c r="AE46" s="19">
        <v>7</v>
      </c>
      <c r="AF46" s="20" t="e" cm="1">
        <f t="array" aca="1" ref="AF46" ca="1">(AE46-INDIRECT(SUBSTITUTE(ADDRESS(1,COLUMN($C$9),4),"1","")&amp;SUMPRODUCT(($B$10:$D$26=INDIRECT(SUBSTITUTE(ADDRESS(1,COLUMN()-1,4),"1","")&amp;ROW()-45))*ROW($B$10:$D$26))))/INDIRECT(SUBSTITUTE(ADDRESS(1,COLUMN($D$9),4),"1","")&amp;SUMPRODUCT(($B$10:$D$26=INDIRECT(SUBSTITUTE(ADDRESS(1,COLUMN()-1,4),"1","")&amp;ROW()-45))*ROW($B$10:$D$26)))*10+50</f>
        <v>#DIV/0!</v>
      </c>
      <c r="AG46" s="8"/>
      <c r="AH46" s="49">
        <v>28</v>
      </c>
      <c r="AI46" s="83">
        <f t="shared" si="29"/>
        <v>9</v>
      </c>
      <c r="AJ46" s="164">
        <f t="shared" si="20"/>
        <v>0</v>
      </c>
      <c r="AK46" s="52">
        <v>10</v>
      </c>
      <c r="AL46" s="16">
        <f t="shared" si="40"/>
        <v>2.1549866390828377E-4</v>
      </c>
      <c r="AM46" s="17">
        <f>IF(AND(AH46&lt;&gt;"", AK46&lt;&gt;""), SUM(AK$4:AK46), "")</f>
        <v>46404</v>
      </c>
      <c r="AN46" s="16">
        <f t="shared" si="41"/>
        <v>1</v>
      </c>
      <c r="AO46" s="14"/>
      <c r="AP46" s="27">
        <v>7</v>
      </c>
      <c r="AQ46" s="20" t="e" cm="1">
        <f t="array" aca="1" ref="AQ46" ca="1">(AP46-INDIRECT(SUBSTITUTE(ADDRESS(1,COLUMN($C$9),4),"1","")&amp;SUMPRODUCT(($B$10:$D$26=INDIRECT(SUBSTITUTE(ADDRESS(1,COLUMN()-1,4),"1","")&amp;ROW()-45))*ROW($B$10:$D$26))))/INDIRECT(SUBSTITUTE(ADDRESS(1,COLUMN($D$9),4),"1","")&amp;SUMPRODUCT(($B$10:$D$26=INDIRECT(SUBSTITUTE(ADDRESS(1,COLUMN()-1,4),"1","")&amp;ROW()-45))*ROW($B$10:$D$26)))*10+50</f>
        <v>#DIV/0!</v>
      </c>
      <c r="AR46" s="8"/>
      <c r="AS46" s="49"/>
      <c r="AT46" s="83" t="str">
        <f t="shared" si="30"/>
        <v/>
      </c>
      <c r="AU46" s="164" t="str">
        <f t="shared" si="21"/>
        <v/>
      </c>
      <c r="AV46" s="52"/>
      <c r="AW46" s="16" t="str">
        <f t="shared" si="42"/>
        <v/>
      </c>
      <c r="AX46" s="17" t="str">
        <f>IF(AND(AS46&lt;&gt;"", AV46&lt;&gt;""), SUM(AV$4:AV46), "")</f>
        <v/>
      </c>
      <c r="AY46" s="16" t="str">
        <f t="shared" si="43"/>
        <v/>
      </c>
      <c r="AZ46" s="14"/>
      <c r="BA46" s="27">
        <v>7</v>
      </c>
      <c r="BB46" s="20" t="e" cm="1">
        <f t="array" aca="1" ref="BB46" ca="1">(BA46-INDIRECT(SUBSTITUTE(ADDRESS(1,COLUMN($C$9),4),"1","")&amp;SUMPRODUCT(($B$10:$D$26=INDIRECT(SUBSTITUTE(ADDRESS(1,COLUMN()-1,4),"1","")&amp;ROW()-45))*ROW($B$10:$D$26))))/INDIRECT(SUBSTITUTE(ADDRESS(1,COLUMN($D$9),4),"1","")&amp;SUMPRODUCT(($B$10:$D$26=INDIRECT(SUBSTITUTE(ADDRESS(1,COLUMN()-1,4),"1","")&amp;ROW()-45))*ROW($B$10:$D$26)))*10+50</f>
        <v>#DIV/0!</v>
      </c>
      <c r="BC46" s="8"/>
      <c r="BD46" s="49">
        <v>33</v>
      </c>
      <c r="BE46" s="83">
        <f t="shared" si="31"/>
        <v>9</v>
      </c>
      <c r="BF46" s="164">
        <f t="shared" si="22"/>
        <v>0</v>
      </c>
      <c r="BG46" s="52">
        <v>94</v>
      </c>
      <c r="BH46" s="16">
        <f t="shared" si="44"/>
        <v>2.897389267330395E-3</v>
      </c>
      <c r="BI46" s="17">
        <f>IF(AND(BD46&lt;&gt;"", BG46&lt;&gt;""), SUM(BG$4:BG46), "")</f>
        <v>32355</v>
      </c>
      <c r="BJ46" s="16">
        <f t="shared" si="45"/>
        <v>0.99728755047313755</v>
      </c>
      <c r="BK46" s="14"/>
      <c r="BL46" s="27">
        <v>7</v>
      </c>
      <c r="BM46" s="20" t="e" cm="1">
        <f t="array" aca="1" ref="BM46" ca="1">(BL46-INDIRECT(SUBSTITUTE(ADDRESS(1,COLUMN($C$9),4),"1","")&amp;SUMPRODUCT(($B$10:$D$26=INDIRECT(SUBSTITUTE(ADDRESS(1,COLUMN()-1,4),"1","")&amp;ROW()-45))*ROW($B$10:$D$26))))/INDIRECT(SUBSTITUTE(ADDRESS(1,COLUMN($D$9),4),"1","")&amp;SUMPRODUCT(($B$10:$D$26=INDIRECT(SUBSTITUTE(ADDRESS(1,COLUMN()-1,4),"1","")&amp;ROW()-45))*ROW($B$10:$D$26)))*10+50</f>
        <v>#DIV/0!</v>
      </c>
      <c r="BN46" s="8"/>
      <c r="BO46" s="49">
        <v>32</v>
      </c>
      <c r="BP46" s="83">
        <f t="shared" si="32"/>
        <v>9</v>
      </c>
      <c r="BQ46" s="164">
        <f t="shared" si="23"/>
        <v>1</v>
      </c>
      <c r="BR46" s="52">
        <v>160</v>
      </c>
      <c r="BS46" s="16">
        <f t="shared" si="46"/>
        <v>2.8710881424059719E-3</v>
      </c>
      <c r="BT46" s="17">
        <f>IF(AND(BO46&lt;&gt;"", BR46&lt;&gt;""), SUM(BR$4:BR46), "")</f>
        <v>55412</v>
      </c>
      <c r="BU46" s="16">
        <f t="shared" si="47"/>
        <v>0.99432960091874822</v>
      </c>
      <c r="BV46" s="14"/>
      <c r="BW46" s="27">
        <v>7</v>
      </c>
      <c r="BX46" s="20" cm="1">
        <f t="array" aca="1" ref="BX46" ca="1">(BW46-INDIRECT(SUBSTITUTE(ADDRESS(1,COLUMN($C$9),4),"1","")&amp;SUMPRODUCT(($B$10:$D$26=INDIRECT(SUBSTITUTE(ADDRESS(1,COLUMN()-1,4),"1","")&amp;ROW()-45))*ROW($B$10:$D$26))))/INDIRECT(SUBSTITUTE(ADDRESS(1,COLUMN($D$9),4),"1","")&amp;SUMPRODUCT(($B$10:$D$26=INDIRECT(SUBSTITUTE(ADDRESS(1,COLUMN()-1,4),"1","")&amp;ROW()-45))*ROW($B$10:$D$26)))*10+50</f>
        <v>35.189639222941722</v>
      </c>
      <c r="BY46" s="8"/>
      <c r="BZ46" s="49">
        <v>32</v>
      </c>
      <c r="CA46" s="83">
        <f t="shared" si="33"/>
        <v>9</v>
      </c>
      <c r="CB46" s="164">
        <f t="shared" si="24"/>
        <v>0</v>
      </c>
      <c r="CC46" s="52">
        <v>180</v>
      </c>
      <c r="CD46" s="16">
        <f t="shared" si="48"/>
        <v>3.3459736783403972E-3</v>
      </c>
      <c r="CE46" s="17">
        <f>IF(AND(BZ46&lt;&gt;"", CC46&lt;&gt;""), SUM(CC$4:CC46), "")</f>
        <v>53728</v>
      </c>
      <c r="CF46" s="16">
        <f t="shared" si="49"/>
        <v>0.99873596549929367</v>
      </c>
      <c r="CG46" s="14"/>
      <c r="CH46" s="27">
        <v>7</v>
      </c>
      <c r="CI46" s="20" t="e" cm="1">
        <f t="array" aca="1" ref="CI46" ca="1">(CH46-INDIRECT(SUBSTITUTE(ADDRESS(1,COLUMN($C$9),4),"1","")&amp;SUMPRODUCT(($B$10:$D$26=INDIRECT(SUBSTITUTE(ADDRESS(1,COLUMN()-1,4),"1","")&amp;ROW()-45))*ROW($B$10:$D$26))))/INDIRECT(SUBSTITUTE(ADDRESS(1,COLUMN($D$9),4),"1","")&amp;SUMPRODUCT(($B$10:$D$26=INDIRECT(SUBSTITUTE(ADDRESS(1,COLUMN()-1,4),"1","")&amp;ROW()-45))*ROW($B$10:$D$26)))*10+50</f>
        <v>#DIV/0!</v>
      </c>
      <c r="CJ46" s="8"/>
      <c r="CK46" s="49">
        <v>32</v>
      </c>
      <c r="CL46" s="83">
        <f t="shared" si="34"/>
        <v>9</v>
      </c>
      <c r="CM46" s="164">
        <f t="shared" si="25"/>
        <v>1</v>
      </c>
      <c r="CN46" s="52">
        <v>310</v>
      </c>
      <c r="CO46" s="16">
        <f t="shared" si="50"/>
        <v>2.5906519250215193E-3</v>
      </c>
      <c r="CP46" s="17">
        <f>IF(AND(CK46&lt;&gt;"", CN46&lt;&gt;""), SUM(CN$4:CN46), "")</f>
        <v>119170</v>
      </c>
      <c r="CQ46" s="16">
        <f t="shared" si="51"/>
        <v>0.99589674162843367</v>
      </c>
      <c r="CR46" s="14"/>
      <c r="CS46" s="27">
        <v>7</v>
      </c>
      <c r="CT46" s="20" t="e" cm="1">
        <f t="array" aca="1" ref="CT46" ca="1">(CS46-INDIRECT(SUBSTITUTE(ADDRESS(1,COLUMN($C$9),4),"1","")&amp;SUMPRODUCT(($B$10:$D$26=INDIRECT(SUBSTITUTE(ADDRESS(1,COLUMN()-1,4),"1","")&amp;ROW()-45))*ROW($B$10:$D$26))))/INDIRECT(SUBSTITUTE(ADDRESS(1,COLUMN($D$9),4),"1","")&amp;SUMPRODUCT(($B$10:$D$26=INDIRECT(SUBSTITUTE(ADDRESS(1,COLUMN()-1,4),"1","")&amp;ROW()-45))*ROW($B$10:$D$26)))*10+50</f>
        <v>#DIV/0!</v>
      </c>
      <c r="CU46" s="8"/>
      <c r="CV46" s="49">
        <v>35</v>
      </c>
      <c r="CW46" s="83">
        <f t="shared" si="35"/>
        <v>9</v>
      </c>
      <c r="CX46" s="164">
        <f t="shared" si="26"/>
        <v>1</v>
      </c>
      <c r="CY46" s="52">
        <v>773</v>
      </c>
      <c r="CZ46" s="16">
        <f t="shared" si="52"/>
        <v>6.3873212087158428E-3</v>
      </c>
      <c r="DA46" s="17">
        <f>IF(AND(CV46&lt;&gt;"", CY46&lt;&gt;""), SUM(CY$4:CY46), "")</f>
        <v>119727</v>
      </c>
      <c r="DB46" s="16">
        <f t="shared" si="53"/>
        <v>0.98930764082266709</v>
      </c>
      <c r="FX46" s="28">
        <v>0</v>
      </c>
    </row>
    <row r="47" spans="1:180" ht="16" customHeight="1" x14ac:dyDescent="0.2">
      <c r="E47" s="1"/>
      <c r="F47" s="86"/>
      <c r="G47" s="85">
        <v>7</v>
      </c>
      <c r="H47" s="36"/>
      <c r="I47" s="86"/>
      <c r="J47" s="85">
        <v>7</v>
      </c>
      <c r="K47" s="36"/>
      <c r="L47" s="86"/>
      <c r="M47" s="85">
        <v>7</v>
      </c>
      <c r="N47"/>
      <c r="O47" s="38"/>
      <c r="P47" s="83" t="str">
        <f t="shared" si="27"/>
        <v/>
      </c>
      <c r="Q47" s="164" t="str">
        <f t="shared" si="18"/>
        <v/>
      </c>
      <c r="R47" s="43"/>
      <c r="S47" s="16" t="str">
        <f t="shared" si="36"/>
        <v/>
      </c>
      <c r="T47" s="17" t="str">
        <f>IF(AND(O47&lt;&gt;"", R47&lt;&gt;""), SUM(R$4:R47), "")</f>
        <v/>
      </c>
      <c r="U47" s="16" t="str">
        <f t="shared" si="37"/>
        <v/>
      </c>
      <c r="W47" s="38">
        <v>104</v>
      </c>
      <c r="X47" s="83">
        <f t="shared" si="28"/>
        <v>5</v>
      </c>
      <c r="Y47" s="164">
        <f t="shared" si="19"/>
        <v>55</v>
      </c>
      <c r="Z47" s="43">
        <v>4268</v>
      </c>
      <c r="AA47" s="16">
        <f t="shared" si="38"/>
        <v>1.1012062181513255E-2</v>
      </c>
      <c r="AB47" s="17">
        <f>IF(AND(W47&lt;&gt;"", Z47&lt;&gt;""), SUM(Z$4:Z47), "")</f>
        <v>175716</v>
      </c>
      <c r="AC47" s="16">
        <f t="shared" si="39"/>
        <v>0.45337289556859961</v>
      </c>
      <c r="AD47" s="1"/>
      <c r="AE47" s="19">
        <v>6</v>
      </c>
      <c r="AF47" s="20" t="e" cm="1">
        <f t="array" aca="1" ref="AF47" ca="1">(AE47-INDIRECT(SUBSTITUTE(ADDRESS(1,COLUMN($C$9),4),"1","")&amp;SUMPRODUCT(($B$10:$D$26=INDIRECT(SUBSTITUTE(ADDRESS(1,COLUMN()-1,4),"1","")&amp;ROW()-46))*ROW($B$10:$D$26))))/INDIRECT(SUBSTITUTE(ADDRESS(1,COLUMN($D$9),4),"1","")&amp;SUMPRODUCT(($B$10:$D$26=INDIRECT(SUBSTITUTE(ADDRESS(1,COLUMN()-1,4),"1","")&amp;ROW()-46))*ROW($B$10:$D$26)))*10+50</f>
        <v>#DIV/0!</v>
      </c>
      <c r="AG47" s="8"/>
      <c r="AH47" s="38"/>
      <c r="AI47" s="83" t="str">
        <f t="shared" si="29"/>
        <v/>
      </c>
      <c r="AJ47" s="164" t="str">
        <f t="shared" si="20"/>
        <v/>
      </c>
      <c r="AK47" s="43"/>
      <c r="AL47" s="16" t="str">
        <f t="shared" si="40"/>
        <v/>
      </c>
      <c r="AM47" s="17" t="str">
        <f>IF(AND(AH47&lt;&gt;"", AK47&lt;&gt;""), SUM(AK$4:AK47), "")</f>
        <v/>
      </c>
      <c r="AN47" s="16" t="str">
        <f t="shared" si="41"/>
        <v/>
      </c>
      <c r="AO47" s="14"/>
      <c r="AP47" s="27">
        <v>6</v>
      </c>
      <c r="AQ47" s="20" t="e" cm="1">
        <f t="array" aca="1" ref="AQ47" ca="1">(AP47-INDIRECT(SUBSTITUTE(ADDRESS(1,COLUMN($C$9),4),"1","")&amp;SUMPRODUCT(($B$10:$D$26=INDIRECT(SUBSTITUTE(ADDRESS(1,COLUMN()-1,4),"1","")&amp;ROW()-46))*ROW($B$10:$D$26))))/INDIRECT(SUBSTITUTE(ADDRESS(1,COLUMN($D$9),4),"1","")&amp;SUMPRODUCT(($B$10:$D$26=INDIRECT(SUBSTITUTE(ADDRESS(1,COLUMN()-1,4),"1","")&amp;ROW()-46))*ROW($B$10:$D$26)))*10+50</f>
        <v>#DIV/0!</v>
      </c>
      <c r="AR47" s="8"/>
      <c r="AS47" s="38"/>
      <c r="AT47" s="83" t="str">
        <f t="shared" si="30"/>
        <v/>
      </c>
      <c r="AU47" s="164" t="str">
        <f t="shared" si="21"/>
        <v/>
      </c>
      <c r="AV47" s="43"/>
      <c r="AW47" s="16" t="str">
        <f t="shared" si="42"/>
        <v/>
      </c>
      <c r="AX47" s="17" t="str">
        <f>IF(AND(AS47&lt;&gt;"", AV47&lt;&gt;""), SUM(AV$4:AV47), "")</f>
        <v/>
      </c>
      <c r="AY47" s="16" t="str">
        <f t="shared" si="43"/>
        <v/>
      </c>
      <c r="AZ47" s="14"/>
      <c r="BA47" s="27">
        <v>6</v>
      </c>
      <c r="BB47" s="20" t="e" cm="1">
        <f t="array" aca="1" ref="BB47" ca="1">(BA47-INDIRECT(SUBSTITUTE(ADDRESS(1,COLUMN($C$9),4),"1","")&amp;SUMPRODUCT(($B$10:$D$26=INDIRECT(SUBSTITUTE(ADDRESS(1,COLUMN()-1,4),"1","")&amp;ROW()-46))*ROW($B$10:$D$26))))/INDIRECT(SUBSTITUTE(ADDRESS(1,COLUMN($D$9),4),"1","")&amp;SUMPRODUCT(($B$10:$D$26=INDIRECT(SUBSTITUTE(ADDRESS(1,COLUMN()-1,4),"1","")&amp;ROW()-46))*ROW($B$10:$D$26)))*10+50</f>
        <v>#DIV/0!</v>
      </c>
      <c r="BC47" s="8"/>
      <c r="BD47" s="49">
        <v>31</v>
      </c>
      <c r="BE47" s="83">
        <f t="shared" si="31"/>
        <v>9</v>
      </c>
      <c r="BF47" s="164">
        <f t="shared" si="22"/>
        <v>0</v>
      </c>
      <c r="BG47" s="52">
        <v>88</v>
      </c>
      <c r="BH47" s="16">
        <f t="shared" si="44"/>
        <v>2.7124495268624972E-3</v>
      </c>
      <c r="BI47" s="17">
        <f>IF(AND(BD47&lt;&gt;"", BG47&lt;&gt;""), SUM(BG$4:BG47), "")</f>
        <v>32443</v>
      </c>
      <c r="BJ47" s="16">
        <f t="shared" si="45"/>
        <v>1</v>
      </c>
      <c r="BK47" s="14"/>
      <c r="BL47" s="27">
        <v>6</v>
      </c>
      <c r="BM47" s="20" t="e" cm="1">
        <f t="array" aca="1" ref="BM47" ca="1">(BL47-INDIRECT(SUBSTITUTE(ADDRESS(1,COLUMN($C$9),4),"1","")&amp;SUMPRODUCT(($B$10:$D$26=INDIRECT(SUBSTITUTE(ADDRESS(1,COLUMN()-1,4),"1","")&amp;ROW()-46))*ROW($B$10:$D$26))))/INDIRECT(SUBSTITUTE(ADDRESS(1,COLUMN($D$9),4),"1","")&amp;SUMPRODUCT(($B$10:$D$26=INDIRECT(SUBSTITUTE(ADDRESS(1,COLUMN()-1,4),"1","")&amp;ROW()-46))*ROW($B$10:$D$26)))*10+50</f>
        <v>#DIV/0!</v>
      </c>
      <c r="BN47" s="8"/>
      <c r="BO47" s="49">
        <v>31</v>
      </c>
      <c r="BP47" s="83">
        <f t="shared" si="32"/>
        <v>9</v>
      </c>
      <c r="BQ47" s="164">
        <f t="shared" si="23"/>
        <v>1</v>
      </c>
      <c r="BR47" s="52">
        <v>70</v>
      </c>
      <c r="BS47" s="16">
        <f t="shared" si="46"/>
        <v>1.2561010623026126E-3</v>
      </c>
      <c r="BT47" s="17">
        <f>IF(AND(BO47&lt;&gt;"", BR47&lt;&gt;""), SUM(BR$4:BR47), "")</f>
        <v>55482</v>
      </c>
      <c r="BU47" s="16">
        <f t="shared" si="47"/>
        <v>0.99558570198105079</v>
      </c>
      <c r="BV47" s="14"/>
      <c r="BW47" s="27">
        <v>6</v>
      </c>
      <c r="BX47" s="20" cm="1">
        <f t="array" aca="1" ref="BX47" ca="1">(BW47-INDIRECT(SUBSTITUTE(ADDRESS(1,COLUMN($C$9),4),"1","")&amp;SUMPRODUCT(($B$10:$D$26=INDIRECT(SUBSTITUTE(ADDRESS(1,COLUMN()-1,4),"1","")&amp;ROW()-46))*ROW($B$10:$D$26))))/INDIRECT(SUBSTITUTE(ADDRESS(1,COLUMN($D$9),4),"1","")&amp;SUMPRODUCT(($B$10:$D$26=INDIRECT(SUBSTITUTE(ADDRESS(1,COLUMN()-1,4),"1","")&amp;ROW()-46))*ROW($B$10:$D$26)))*10+50</f>
        <v>34.264569842738204</v>
      </c>
      <c r="BY47" s="8"/>
      <c r="BZ47" s="49">
        <v>31</v>
      </c>
      <c r="CA47" s="83">
        <f t="shared" si="33"/>
        <v>9</v>
      </c>
      <c r="CB47" s="164">
        <f t="shared" si="24"/>
        <v>0</v>
      </c>
      <c r="CC47" s="52">
        <v>68</v>
      </c>
      <c r="CD47" s="16">
        <f t="shared" si="48"/>
        <v>1.2640345007063722E-3</v>
      </c>
      <c r="CE47" s="17">
        <f>IF(AND(BZ47&lt;&gt;"", CC47&lt;&gt;""), SUM(CC$4:CC47), "")</f>
        <v>53796</v>
      </c>
      <c r="CF47" s="16">
        <f t="shared" si="49"/>
        <v>1</v>
      </c>
      <c r="CG47" s="14"/>
      <c r="CH47" s="27">
        <v>6</v>
      </c>
      <c r="CI47" s="20" t="e" cm="1">
        <f t="array" aca="1" ref="CI47" ca="1">(CH47-INDIRECT(SUBSTITUTE(ADDRESS(1,COLUMN($C$9),4),"1","")&amp;SUMPRODUCT(($B$10:$D$26=INDIRECT(SUBSTITUTE(ADDRESS(1,COLUMN()-1,4),"1","")&amp;ROW()-46))*ROW($B$10:$D$26))))/INDIRECT(SUBSTITUTE(ADDRESS(1,COLUMN($D$9),4),"1","")&amp;SUMPRODUCT(($B$10:$D$26=INDIRECT(SUBSTITUTE(ADDRESS(1,COLUMN()-1,4),"1","")&amp;ROW()-46))*ROW($B$10:$D$26)))*10+50</f>
        <v>#DIV/0!</v>
      </c>
      <c r="CJ47" s="8"/>
      <c r="CK47" s="49">
        <v>31</v>
      </c>
      <c r="CL47" s="83">
        <f t="shared" si="34"/>
        <v>9</v>
      </c>
      <c r="CM47" s="164">
        <f t="shared" si="25"/>
        <v>0</v>
      </c>
      <c r="CN47" s="52">
        <v>112</v>
      </c>
      <c r="CO47" s="16">
        <f t="shared" si="50"/>
        <v>9.35977469685194E-4</v>
      </c>
      <c r="CP47" s="17">
        <f>IF(AND(CK47&lt;&gt;"", CN47&lt;&gt;""), SUM(CN$4:CN47), "")</f>
        <v>119282</v>
      </c>
      <c r="CQ47" s="16">
        <f t="shared" si="51"/>
        <v>0.99683271909811888</v>
      </c>
      <c r="CR47" s="14"/>
      <c r="CS47" s="27">
        <v>6</v>
      </c>
      <c r="CT47" s="20" t="e" cm="1">
        <f t="array" aca="1" ref="CT47" ca="1">(CS47-INDIRECT(SUBSTITUTE(ADDRESS(1,COLUMN($C$9),4),"1","")&amp;SUMPRODUCT(($B$10:$D$26=INDIRECT(SUBSTITUTE(ADDRESS(1,COLUMN()-1,4),"1","")&amp;ROW()-46))*ROW($B$10:$D$26))))/INDIRECT(SUBSTITUTE(ADDRESS(1,COLUMN($D$9),4),"1","")&amp;SUMPRODUCT(($B$10:$D$26=INDIRECT(SUBSTITUTE(ADDRESS(1,COLUMN()-1,4),"1","")&amp;ROW()-46))*ROW($B$10:$D$26)))*10+50</f>
        <v>#DIV/0!</v>
      </c>
      <c r="CU47" s="8"/>
      <c r="CV47" s="49">
        <v>34</v>
      </c>
      <c r="CW47" s="83">
        <f t="shared" si="35"/>
        <v>9</v>
      </c>
      <c r="CX47" s="164">
        <f t="shared" si="26"/>
        <v>1</v>
      </c>
      <c r="CY47" s="52">
        <v>458</v>
      </c>
      <c r="CZ47" s="16">
        <f t="shared" si="52"/>
        <v>3.7844671585923104E-3</v>
      </c>
      <c r="DA47" s="17">
        <f>IF(AND(CV47&lt;&gt;"", CY47&lt;&gt;""), SUM(CY$4:CY47), "")</f>
        <v>120185</v>
      </c>
      <c r="DB47" s="16">
        <f t="shared" si="53"/>
        <v>0.99309210798125946</v>
      </c>
      <c r="FX47" s="28">
        <v>0</v>
      </c>
    </row>
    <row r="48" spans="1:180" ht="16" customHeight="1" x14ac:dyDescent="0.2">
      <c r="E48" s="1"/>
      <c r="F48" s="86"/>
      <c r="G48" s="85">
        <v>8</v>
      </c>
      <c r="H48" s="36"/>
      <c r="I48" s="86"/>
      <c r="J48" s="85">
        <v>8</v>
      </c>
      <c r="K48" s="36"/>
      <c r="L48" s="86"/>
      <c r="M48" s="85">
        <v>8</v>
      </c>
      <c r="N48"/>
      <c r="O48" s="38"/>
      <c r="P48" s="83" t="str">
        <f t="shared" si="27"/>
        <v/>
      </c>
      <c r="Q48" s="164" t="str">
        <f t="shared" si="18"/>
        <v/>
      </c>
      <c r="R48" s="43"/>
      <c r="S48" s="16" t="str">
        <f t="shared" si="36"/>
        <v/>
      </c>
      <c r="T48" s="17" t="str">
        <f>IF(AND(O48&lt;&gt;"", R48&lt;&gt;""), SUM(R$4:R48), "")</f>
        <v/>
      </c>
      <c r="U48" s="16" t="str">
        <f t="shared" si="37"/>
        <v/>
      </c>
      <c r="W48" s="38">
        <v>103</v>
      </c>
      <c r="X48" s="83">
        <f t="shared" si="28"/>
        <v>5</v>
      </c>
      <c r="Y48" s="164">
        <f t="shared" si="19"/>
        <v>54</v>
      </c>
      <c r="Z48" s="43">
        <v>5175</v>
      </c>
      <c r="AA48" s="16">
        <f t="shared" si="38"/>
        <v>1.3352254402373734E-2</v>
      </c>
      <c r="AB48" s="17">
        <f>IF(AND(W48&lt;&gt;"", Z48&lt;&gt;""), SUM(Z$4:Z48), "")</f>
        <v>180891</v>
      </c>
      <c r="AC48" s="16">
        <f t="shared" si="39"/>
        <v>0.46672514997097336</v>
      </c>
      <c r="AD48" s="1"/>
      <c r="AE48" s="19">
        <v>5</v>
      </c>
      <c r="AF48" s="20" t="e" cm="1">
        <f t="array" aca="1" ref="AF48" ca="1">(AE48-INDIRECT(SUBSTITUTE(ADDRESS(1,COLUMN($C$9),4),"1","")&amp;SUMPRODUCT(($B$10:$D$26=INDIRECT(SUBSTITUTE(ADDRESS(1,COLUMN()-1,4),"1","")&amp;ROW()-47))*ROW($B$10:$D$26))))/INDIRECT(SUBSTITUTE(ADDRESS(1,COLUMN($D$9),4),"1","")&amp;SUMPRODUCT(($B$10:$D$26=INDIRECT(SUBSTITUTE(ADDRESS(1,COLUMN()-1,4),"1","")&amp;ROW()-47))*ROW($B$10:$D$26)))*10+50</f>
        <v>#DIV/0!</v>
      </c>
      <c r="AG48" s="8"/>
      <c r="AH48" s="38"/>
      <c r="AI48" s="83" t="str">
        <f t="shared" si="29"/>
        <v/>
      </c>
      <c r="AJ48" s="164" t="str">
        <f t="shared" si="20"/>
        <v/>
      </c>
      <c r="AK48" s="43"/>
      <c r="AL48" s="16" t="str">
        <f t="shared" si="40"/>
        <v/>
      </c>
      <c r="AM48" s="17" t="str">
        <f>IF(AND(AH48&lt;&gt;"", AK48&lt;&gt;""), SUM(AK$4:AK48), "")</f>
        <v/>
      </c>
      <c r="AN48" s="16" t="str">
        <f t="shared" si="41"/>
        <v/>
      </c>
      <c r="AO48" s="14"/>
      <c r="AP48" s="27">
        <v>5</v>
      </c>
      <c r="AQ48" s="20" t="e" cm="1">
        <f t="array" aca="1" ref="AQ48" ca="1">(AP48-INDIRECT(SUBSTITUTE(ADDRESS(1,COLUMN($C$9),4),"1","")&amp;SUMPRODUCT(($B$10:$D$26=INDIRECT(SUBSTITUTE(ADDRESS(1,COLUMN()-1,4),"1","")&amp;ROW()-47))*ROW($B$10:$D$26))))/INDIRECT(SUBSTITUTE(ADDRESS(1,COLUMN($D$9),4),"1","")&amp;SUMPRODUCT(($B$10:$D$26=INDIRECT(SUBSTITUTE(ADDRESS(1,COLUMN()-1,4),"1","")&amp;ROW()-47))*ROW($B$10:$D$26)))*10+50</f>
        <v>#DIV/0!</v>
      </c>
      <c r="AR48" s="8"/>
      <c r="AS48" s="38"/>
      <c r="AT48" s="83" t="str">
        <f t="shared" si="30"/>
        <v/>
      </c>
      <c r="AU48" s="164" t="str">
        <f t="shared" si="21"/>
        <v/>
      </c>
      <c r="AV48" s="43"/>
      <c r="AW48" s="16" t="str">
        <f t="shared" si="42"/>
        <v/>
      </c>
      <c r="AX48" s="17" t="str">
        <f>IF(AND(AS48&lt;&gt;"", AV48&lt;&gt;""), SUM(AV$4:AV48), "")</f>
        <v/>
      </c>
      <c r="AY48" s="16" t="str">
        <f t="shared" si="43"/>
        <v/>
      </c>
      <c r="AZ48" s="14"/>
      <c r="BA48" s="27">
        <v>5</v>
      </c>
      <c r="BB48" s="20" t="e" cm="1">
        <f t="array" aca="1" ref="BB48" ca="1">(BA48-INDIRECT(SUBSTITUTE(ADDRESS(1,COLUMN($C$9),4),"1","")&amp;SUMPRODUCT(($B$10:$D$26=INDIRECT(SUBSTITUTE(ADDRESS(1,COLUMN()-1,4),"1","")&amp;ROW()-47))*ROW($B$10:$D$26))))/INDIRECT(SUBSTITUTE(ADDRESS(1,COLUMN($D$9),4),"1","")&amp;SUMPRODUCT(($B$10:$D$26=INDIRECT(SUBSTITUTE(ADDRESS(1,COLUMN()-1,4),"1","")&amp;ROW()-47))*ROW($B$10:$D$26)))*10+50</f>
        <v>#DIV/0!</v>
      </c>
      <c r="BC48" s="8"/>
      <c r="BD48" s="38"/>
      <c r="BE48" s="83" t="str">
        <f t="shared" si="31"/>
        <v/>
      </c>
      <c r="BF48" s="164" t="str">
        <f t="shared" si="22"/>
        <v/>
      </c>
      <c r="BG48" s="43"/>
      <c r="BH48" s="16" t="str">
        <f t="shared" si="44"/>
        <v/>
      </c>
      <c r="BI48" s="17" t="str">
        <f>IF(AND(BD48&lt;&gt;"", BG48&lt;&gt;""), SUM(BG$4:BG48), "")</f>
        <v/>
      </c>
      <c r="BJ48" s="16" t="str">
        <f t="shared" si="45"/>
        <v/>
      </c>
      <c r="BK48" s="14"/>
      <c r="BL48" s="27">
        <v>5</v>
      </c>
      <c r="BM48" s="20" t="e" cm="1">
        <f t="array" aca="1" ref="BM48" ca="1">(BL48-INDIRECT(SUBSTITUTE(ADDRESS(1,COLUMN($C$9),4),"1","")&amp;SUMPRODUCT(($B$10:$D$26=INDIRECT(SUBSTITUTE(ADDRESS(1,COLUMN()-1,4),"1","")&amp;ROW()-47))*ROW($B$10:$D$26))))/INDIRECT(SUBSTITUTE(ADDRESS(1,COLUMN($D$9),4),"1","")&amp;SUMPRODUCT(($B$10:$D$26=INDIRECT(SUBSTITUTE(ADDRESS(1,COLUMN()-1,4),"1","")&amp;ROW()-47))*ROW($B$10:$D$26)))*10+50</f>
        <v>#DIV/0!</v>
      </c>
      <c r="BN48" s="8"/>
      <c r="BO48" s="49">
        <v>30</v>
      </c>
      <c r="BP48" s="83">
        <f t="shared" si="32"/>
        <v>9</v>
      </c>
      <c r="BQ48" s="164">
        <f t="shared" si="23"/>
        <v>0</v>
      </c>
      <c r="BR48" s="52">
        <v>88</v>
      </c>
      <c r="BS48" s="16">
        <f t="shared" si="46"/>
        <v>1.5790984783232845E-3</v>
      </c>
      <c r="BT48" s="17">
        <f>IF(AND(BO48&lt;&gt;"", BR48&lt;&gt;""), SUM(BR$4:BR48), "")</f>
        <v>55570</v>
      </c>
      <c r="BU48" s="16">
        <f t="shared" si="47"/>
        <v>0.99716480045937406</v>
      </c>
      <c r="BV48" s="14"/>
      <c r="BW48" s="27">
        <v>5</v>
      </c>
      <c r="BX48" s="20" cm="1">
        <f t="array" aca="1" ref="BX48" ca="1">(BW48-INDIRECT(SUBSTITUTE(ADDRESS(1,COLUMN($C$9),4),"1","")&amp;SUMPRODUCT(($B$10:$D$26=INDIRECT(SUBSTITUTE(ADDRESS(1,COLUMN()-1,4),"1","")&amp;ROW()-47))*ROW($B$10:$D$26))))/INDIRECT(SUBSTITUTE(ADDRESS(1,COLUMN($D$9),4),"1","")&amp;SUMPRODUCT(($B$10:$D$26=INDIRECT(SUBSTITUTE(ADDRESS(1,COLUMN()-1,4),"1","")&amp;ROW()-47))*ROW($B$10:$D$26)))*10+50</f>
        <v>33.339500462534687</v>
      </c>
      <c r="BY48" s="8"/>
      <c r="BZ48" s="49"/>
      <c r="CA48" s="83" t="str">
        <f t="shared" si="33"/>
        <v/>
      </c>
      <c r="CB48" s="164" t="str">
        <f t="shared" si="24"/>
        <v/>
      </c>
      <c r="CC48" s="52"/>
      <c r="CD48" s="16" t="str">
        <f t="shared" si="48"/>
        <v/>
      </c>
      <c r="CE48" s="17" t="str">
        <f>IF(AND(BZ48&lt;&gt;"", CC48&lt;&gt;""), SUM(CC$4:CC48), "")</f>
        <v/>
      </c>
      <c r="CF48" s="16" t="str">
        <f t="shared" si="49"/>
        <v/>
      </c>
      <c r="CG48" s="14"/>
      <c r="CH48" s="27">
        <v>5</v>
      </c>
      <c r="CI48" s="20" t="e" cm="1">
        <f t="array" aca="1" ref="CI48" ca="1">(CH48-INDIRECT(SUBSTITUTE(ADDRESS(1,COLUMN($C$9),4),"1","")&amp;SUMPRODUCT(($B$10:$D$26=INDIRECT(SUBSTITUTE(ADDRESS(1,COLUMN()-1,4),"1","")&amp;ROW()-47))*ROW($B$10:$D$26))))/INDIRECT(SUBSTITUTE(ADDRESS(1,COLUMN($D$9),4),"1","")&amp;SUMPRODUCT(($B$10:$D$26=INDIRECT(SUBSTITUTE(ADDRESS(1,COLUMN()-1,4),"1","")&amp;ROW()-47))*ROW($B$10:$D$26)))*10+50</f>
        <v>#DIV/0!</v>
      </c>
      <c r="CJ48" s="8"/>
      <c r="CK48" s="49">
        <v>30</v>
      </c>
      <c r="CL48" s="83">
        <f t="shared" si="34"/>
        <v>9</v>
      </c>
      <c r="CM48" s="164">
        <f t="shared" si="25"/>
        <v>0</v>
      </c>
      <c r="CN48" s="52">
        <v>141</v>
      </c>
      <c r="CO48" s="16">
        <f t="shared" si="50"/>
        <v>1.1783287788001103E-3</v>
      </c>
      <c r="CP48" s="17">
        <f>IF(AND(CK48&lt;&gt;"", CN48&lt;&gt;""), SUM(CN$4:CN48), "")</f>
        <v>119423</v>
      </c>
      <c r="CQ48" s="16">
        <f t="shared" si="51"/>
        <v>0.99801104787691897</v>
      </c>
      <c r="CR48" s="14"/>
      <c r="CS48" s="27">
        <v>5</v>
      </c>
      <c r="CT48" s="20" t="e" cm="1">
        <f t="array" aca="1" ref="CT48" ca="1">(CS48-INDIRECT(SUBSTITUTE(ADDRESS(1,COLUMN($C$9),4),"1","")&amp;SUMPRODUCT(($B$10:$D$26=INDIRECT(SUBSTITUTE(ADDRESS(1,COLUMN()-1,4),"1","")&amp;ROW()-47))*ROW($B$10:$D$26))))/INDIRECT(SUBSTITUTE(ADDRESS(1,COLUMN($D$9),4),"1","")&amp;SUMPRODUCT(($B$10:$D$26=INDIRECT(SUBSTITUTE(ADDRESS(1,COLUMN()-1,4),"1","")&amp;ROW()-47))*ROW($B$10:$D$26)))*10+50</f>
        <v>#DIV/0!</v>
      </c>
      <c r="CU48" s="8"/>
      <c r="CV48" s="49">
        <v>33</v>
      </c>
      <c r="CW48" s="83">
        <f t="shared" si="35"/>
        <v>9</v>
      </c>
      <c r="CX48" s="164">
        <f t="shared" si="26"/>
        <v>1</v>
      </c>
      <c r="CY48" s="52">
        <v>229</v>
      </c>
      <c r="CZ48" s="16">
        <f t="shared" si="52"/>
        <v>1.8922335792961552E-3</v>
      </c>
      <c r="DA48" s="17">
        <f>IF(AND(CV48&lt;&gt;"", CY48&lt;&gt;""), SUM(CY$4:CY48), "")</f>
        <v>120414</v>
      </c>
      <c r="DB48" s="16">
        <f t="shared" si="53"/>
        <v>0.9949843415605556</v>
      </c>
      <c r="FX48" s="28">
        <v>0</v>
      </c>
    </row>
    <row r="49" spans="5:180" ht="16" customHeight="1" x14ac:dyDescent="0.2">
      <c r="E49" s="1"/>
      <c r="F49" s="86"/>
      <c r="G49" s="85">
        <v>9</v>
      </c>
      <c r="H49" s="36"/>
      <c r="I49" s="86"/>
      <c r="J49" s="85">
        <v>9</v>
      </c>
      <c r="K49" s="36"/>
      <c r="L49" s="86"/>
      <c r="M49" s="85">
        <v>9</v>
      </c>
      <c r="N49"/>
      <c r="O49" s="38"/>
      <c r="P49" s="83" t="str">
        <f t="shared" si="27"/>
        <v/>
      </c>
      <c r="Q49" s="164" t="str">
        <f t="shared" si="18"/>
        <v/>
      </c>
      <c r="R49" s="43"/>
      <c r="S49" s="16" t="str">
        <f t="shared" si="36"/>
        <v/>
      </c>
      <c r="T49" s="17" t="str">
        <f>IF(AND(O49&lt;&gt;"", R49&lt;&gt;""), SUM(R$4:R49), "")</f>
        <v/>
      </c>
      <c r="U49" s="16" t="str">
        <f t="shared" si="37"/>
        <v/>
      </c>
      <c r="W49" s="38">
        <v>102</v>
      </c>
      <c r="X49" s="83">
        <f t="shared" si="28"/>
        <v>5</v>
      </c>
      <c r="Y49" s="164">
        <f t="shared" si="19"/>
        <v>53</v>
      </c>
      <c r="Z49" s="43">
        <v>6391</v>
      </c>
      <c r="AA49" s="16">
        <f t="shared" si="38"/>
        <v>1.6489711668709283E-2</v>
      </c>
      <c r="AB49" s="17">
        <f>IF(AND(W49&lt;&gt;"", Z49&lt;&gt;""), SUM(Z$4:Z49), "")</f>
        <v>187282</v>
      </c>
      <c r="AC49" s="16">
        <f t="shared" si="39"/>
        <v>0.48321486163968264</v>
      </c>
      <c r="AD49" s="1"/>
      <c r="AE49" s="19">
        <v>4</v>
      </c>
      <c r="AF49" s="20" t="e" cm="1">
        <f t="array" aca="1" ref="AF49" ca="1">(AE49-INDIRECT(SUBSTITUTE(ADDRESS(1,COLUMN($C$9),4),"1","")&amp;SUMPRODUCT(($B$10:$D$26=INDIRECT(SUBSTITUTE(ADDRESS(1,COLUMN()-1,4),"1","")&amp;ROW()-48))*ROW($B$10:$D$26))))/INDIRECT(SUBSTITUTE(ADDRESS(1,COLUMN($D$9),4),"1","")&amp;SUMPRODUCT(($B$10:$D$26=INDIRECT(SUBSTITUTE(ADDRESS(1,COLUMN()-1,4),"1","")&amp;ROW()-48))*ROW($B$10:$D$26)))*10+50</f>
        <v>#DIV/0!</v>
      </c>
      <c r="AG49" s="8"/>
      <c r="AH49" s="38"/>
      <c r="AI49" s="83" t="str">
        <f t="shared" si="29"/>
        <v/>
      </c>
      <c r="AJ49" s="164" t="str">
        <f t="shared" si="20"/>
        <v/>
      </c>
      <c r="AK49" s="43"/>
      <c r="AL49" s="16" t="str">
        <f t="shared" si="40"/>
        <v/>
      </c>
      <c r="AM49" s="17" t="str">
        <f>IF(AND(AH49&lt;&gt;"", AK49&lt;&gt;""), SUM(AK$4:AK49), "")</f>
        <v/>
      </c>
      <c r="AN49" s="16" t="str">
        <f t="shared" si="41"/>
        <v/>
      </c>
      <c r="AO49" s="14"/>
      <c r="AP49" s="27">
        <v>4</v>
      </c>
      <c r="AQ49" s="20" t="e" cm="1">
        <f t="array" aca="1" ref="AQ49" ca="1">(AP49-INDIRECT(SUBSTITUTE(ADDRESS(1,COLUMN($C$9),4),"1","")&amp;SUMPRODUCT(($B$10:$D$26=INDIRECT(SUBSTITUTE(ADDRESS(1,COLUMN()-1,4),"1","")&amp;ROW()-48))*ROW($B$10:$D$26))))/INDIRECT(SUBSTITUTE(ADDRESS(1,COLUMN($D$9),4),"1","")&amp;SUMPRODUCT(($B$10:$D$26=INDIRECT(SUBSTITUTE(ADDRESS(1,COLUMN()-1,4),"1","")&amp;ROW()-48))*ROW($B$10:$D$26)))*10+50</f>
        <v>#DIV/0!</v>
      </c>
      <c r="AR49" s="8"/>
      <c r="AS49" s="38"/>
      <c r="AT49" s="83" t="str">
        <f t="shared" si="30"/>
        <v/>
      </c>
      <c r="AU49" s="164" t="str">
        <f t="shared" si="21"/>
        <v/>
      </c>
      <c r="AV49" s="43"/>
      <c r="AW49" s="16" t="str">
        <f t="shared" si="42"/>
        <v/>
      </c>
      <c r="AX49" s="17" t="str">
        <f>IF(AND(AS49&lt;&gt;"", AV49&lt;&gt;""), SUM(AV$4:AV49), "")</f>
        <v/>
      </c>
      <c r="AY49" s="16" t="str">
        <f t="shared" si="43"/>
        <v/>
      </c>
      <c r="AZ49" s="14"/>
      <c r="BA49" s="27">
        <v>4</v>
      </c>
      <c r="BB49" s="20" t="e" cm="1">
        <f t="array" aca="1" ref="BB49" ca="1">(BA49-INDIRECT(SUBSTITUTE(ADDRESS(1,COLUMN($C$9),4),"1","")&amp;SUMPRODUCT(($B$10:$D$26=INDIRECT(SUBSTITUTE(ADDRESS(1,COLUMN()-1,4),"1","")&amp;ROW()-48))*ROW($B$10:$D$26))))/INDIRECT(SUBSTITUTE(ADDRESS(1,COLUMN($D$9),4),"1","")&amp;SUMPRODUCT(($B$10:$D$26=INDIRECT(SUBSTITUTE(ADDRESS(1,COLUMN()-1,4),"1","")&amp;ROW()-48))*ROW($B$10:$D$26)))*10+50</f>
        <v>#DIV/0!</v>
      </c>
      <c r="BC49" s="8"/>
      <c r="BD49" s="38"/>
      <c r="BE49" s="83" t="str">
        <f t="shared" si="31"/>
        <v/>
      </c>
      <c r="BF49" s="164" t="str">
        <f t="shared" si="22"/>
        <v/>
      </c>
      <c r="BG49" s="43"/>
      <c r="BH49" s="16" t="str">
        <f t="shared" si="44"/>
        <v/>
      </c>
      <c r="BI49" s="17" t="str">
        <f>IF(AND(BD49&lt;&gt;"", BG49&lt;&gt;""), SUM(BG$4:BG49), "")</f>
        <v/>
      </c>
      <c r="BJ49" s="16" t="str">
        <f t="shared" si="45"/>
        <v/>
      </c>
      <c r="BK49" s="14"/>
      <c r="BL49" s="27">
        <v>4</v>
      </c>
      <c r="BM49" s="20" t="e" cm="1">
        <f t="array" aca="1" ref="BM49" ca="1">(BL49-INDIRECT(SUBSTITUTE(ADDRESS(1,COLUMN($C$9),4),"1","")&amp;SUMPRODUCT(($B$10:$D$26=INDIRECT(SUBSTITUTE(ADDRESS(1,COLUMN()-1,4),"1","")&amp;ROW()-48))*ROW($B$10:$D$26))))/INDIRECT(SUBSTITUTE(ADDRESS(1,COLUMN($D$9),4),"1","")&amp;SUMPRODUCT(($B$10:$D$26=INDIRECT(SUBSTITUTE(ADDRESS(1,COLUMN()-1,4),"1","")&amp;ROW()-48))*ROW($B$10:$D$26)))*10+50</f>
        <v>#DIV/0!</v>
      </c>
      <c r="BN49" s="8"/>
      <c r="BO49" s="49">
        <v>28</v>
      </c>
      <c r="BP49" s="83">
        <f t="shared" si="32"/>
        <v>9</v>
      </c>
      <c r="BQ49" s="164">
        <f t="shared" si="23"/>
        <v>0</v>
      </c>
      <c r="BR49" s="52">
        <v>158</v>
      </c>
      <c r="BS49" s="16">
        <f t="shared" si="46"/>
        <v>2.8351995406258974E-3</v>
      </c>
      <c r="BT49" s="17">
        <f>IF(AND(BO49&lt;&gt;"", BR49&lt;&gt;""), SUM(BR$4:BR49), "")</f>
        <v>55728</v>
      </c>
      <c r="BU49" s="16">
        <f t="shared" si="47"/>
        <v>1</v>
      </c>
      <c r="BV49" s="14"/>
      <c r="BW49" s="27">
        <v>4</v>
      </c>
      <c r="BX49" s="20" cm="1">
        <f t="array" aca="1" ref="BX49" ca="1">(BW49-INDIRECT(SUBSTITUTE(ADDRESS(1,COLUMN($C$9),4),"1","")&amp;SUMPRODUCT(($B$10:$D$26=INDIRECT(SUBSTITUTE(ADDRESS(1,COLUMN()-1,4),"1","")&amp;ROW()-48))*ROW($B$10:$D$26))))/INDIRECT(SUBSTITUTE(ADDRESS(1,COLUMN($D$9),4),"1","")&amp;SUMPRODUCT(($B$10:$D$26=INDIRECT(SUBSTITUTE(ADDRESS(1,COLUMN()-1,4),"1","")&amp;ROW()-48))*ROW($B$10:$D$26)))*10+50</f>
        <v>32.414431082331177</v>
      </c>
      <c r="BY49" s="8"/>
      <c r="BZ49" s="38"/>
      <c r="CA49" s="83" t="str">
        <f t="shared" si="33"/>
        <v/>
      </c>
      <c r="CB49" s="164" t="str">
        <f t="shared" si="24"/>
        <v/>
      </c>
      <c r="CC49" s="43"/>
      <c r="CD49" s="16" t="str">
        <f t="shared" si="48"/>
        <v/>
      </c>
      <c r="CE49" s="17" t="str">
        <f>IF(AND(BZ49&lt;&gt;"", CC49&lt;&gt;""), SUM(CC$4:CC49), "")</f>
        <v/>
      </c>
      <c r="CF49" s="16" t="str">
        <f t="shared" si="49"/>
        <v/>
      </c>
      <c r="CG49" s="14"/>
      <c r="CH49" s="27">
        <v>4</v>
      </c>
      <c r="CI49" s="20" t="e" cm="1">
        <f t="array" aca="1" ref="CI49" ca="1">(CH49-INDIRECT(SUBSTITUTE(ADDRESS(1,COLUMN($C$9),4),"1","")&amp;SUMPRODUCT(($B$10:$D$26=INDIRECT(SUBSTITUTE(ADDRESS(1,COLUMN()-1,4),"1","")&amp;ROW()-48))*ROW($B$10:$D$26))))/INDIRECT(SUBSTITUTE(ADDRESS(1,COLUMN($D$9),4),"1","")&amp;SUMPRODUCT(($B$10:$D$26=INDIRECT(SUBSTITUTE(ADDRESS(1,COLUMN()-1,4),"1","")&amp;ROW()-48))*ROW($B$10:$D$26)))*10+50</f>
        <v>#DIV/0!</v>
      </c>
      <c r="CJ49" s="8"/>
      <c r="CK49" s="49">
        <v>28</v>
      </c>
      <c r="CL49" s="83">
        <f t="shared" si="34"/>
        <v>9</v>
      </c>
      <c r="CM49" s="164">
        <f t="shared" si="25"/>
        <v>0</v>
      </c>
      <c r="CN49" s="52">
        <v>238</v>
      </c>
      <c r="CO49" s="16">
        <f t="shared" si="50"/>
        <v>1.9889521230810371E-3</v>
      </c>
      <c r="CP49" s="17">
        <f>IF(AND(CK49&lt;&gt;"", CN49&lt;&gt;""), SUM(CN$4:CN49), "")</f>
        <v>119661</v>
      </c>
      <c r="CQ49" s="16">
        <f t="shared" si="51"/>
        <v>1</v>
      </c>
      <c r="CR49" s="14"/>
      <c r="CS49" s="27">
        <v>4</v>
      </c>
      <c r="CT49" s="20" t="e" cm="1">
        <f t="array" aca="1" ref="CT49" ca="1">(CS49-INDIRECT(SUBSTITUTE(ADDRESS(1,COLUMN($C$9),4),"1","")&amp;SUMPRODUCT(($B$10:$D$26=INDIRECT(SUBSTITUTE(ADDRESS(1,COLUMN()-1,4),"1","")&amp;ROW()-48))*ROW($B$10:$D$26))))/INDIRECT(SUBSTITUTE(ADDRESS(1,COLUMN($D$9),4),"1","")&amp;SUMPRODUCT(($B$10:$D$26=INDIRECT(SUBSTITUTE(ADDRESS(1,COLUMN()-1,4),"1","")&amp;ROW()-48))*ROW($B$10:$D$26)))*10+50</f>
        <v>#DIV/0!</v>
      </c>
      <c r="CU49" s="8"/>
      <c r="CV49" s="49">
        <v>32</v>
      </c>
      <c r="CW49" s="83">
        <f t="shared" si="35"/>
        <v>9</v>
      </c>
      <c r="CX49" s="164">
        <f t="shared" si="26"/>
        <v>0</v>
      </c>
      <c r="CY49" s="52">
        <v>303</v>
      </c>
      <c r="CZ49" s="16">
        <f t="shared" si="52"/>
        <v>2.5036977053569213E-3</v>
      </c>
      <c r="DA49" s="17">
        <f>IF(AND(CV49&lt;&gt;"", CY49&lt;&gt;""), SUM(CY$4:CY49), "")</f>
        <v>120717</v>
      </c>
      <c r="DB49" s="16">
        <f t="shared" si="53"/>
        <v>0.99748803926591256</v>
      </c>
      <c r="FX49" s="28">
        <v>0</v>
      </c>
    </row>
    <row r="50" spans="5:180" ht="16" customHeight="1" x14ac:dyDescent="0.2">
      <c r="E50" s="1"/>
      <c r="F50" s="1"/>
      <c r="G50" s="1"/>
      <c r="H50" s="1"/>
      <c r="I50" s="1"/>
      <c r="J50" s="1"/>
      <c r="K50" s="1"/>
      <c r="L50" s="1"/>
      <c r="M50" s="1"/>
      <c r="N50"/>
      <c r="O50" s="38"/>
      <c r="P50" s="83" t="str">
        <f t="shared" si="27"/>
        <v/>
      </c>
      <c r="Q50" s="164" t="str">
        <f t="shared" si="18"/>
        <v/>
      </c>
      <c r="R50" s="43"/>
      <c r="S50" s="16" t="str">
        <f t="shared" si="36"/>
        <v/>
      </c>
      <c r="T50" s="17" t="str">
        <f>IF(AND(O50&lt;&gt;"", R50&lt;&gt;""), SUM(R$4:R50), "")</f>
        <v/>
      </c>
      <c r="U50" s="16" t="str">
        <f t="shared" si="37"/>
        <v/>
      </c>
      <c r="W50" s="38">
        <v>101</v>
      </c>
      <c r="X50" s="83">
        <f t="shared" si="28"/>
        <v>5</v>
      </c>
      <c r="Y50" s="164">
        <f t="shared" si="19"/>
        <v>51</v>
      </c>
      <c r="Z50" s="43">
        <v>4818</v>
      </c>
      <c r="AA50" s="16">
        <f t="shared" si="38"/>
        <v>1.2431142359543314E-2</v>
      </c>
      <c r="AB50" s="17">
        <f>IF(AND(W50&lt;&gt;"", Z50&lt;&gt;""), SUM(Z$4:Z50), "")</f>
        <v>192100</v>
      </c>
      <c r="AC50" s="16">
        <f t="shared" si="39"/>
        <v>0.49564600399922598</v>
      </c>
      <c r="AD50" s="1"/>
      <c r="AE50" s="19">
        <v>3</v>
      </c>
      <c r="AF50" s="20" t="e" cm="1">
        <f t="array" aca="1" ref="AF50" ca="1">(AE50-INDIRECT(SUBSTITUTE(ADDRESS(1,COLUMN($C$9),4),"1","")&amp;SUMPRODUCT(($B$10:$D$26=INDIRECT(SUBSTITUTE(ADDRESS(1,COLUMN()-1,4),"1","")&amp;ROW()-49))*ROW($B$10:$D$26))))/INDIRECT(SUBSTITUTE(ADDRESS(1,COLUMN($D$9),4),"1","")&amp;SUMPRODUCT(($B$10:$D$26=INDIRECT(SUBSTITUTE(ADDRESS(1,COLUMN()-1,4),"1","")&amp;ROW()-49))*ROW($B$10:$D$26)))*10+50</f>
        <v>#DIV/0!</v>
      </c>
      <c r="AG50" s="8"/>
      <c r="AH50" s="38"/>
      <c r="AI50" s="83" t="str">
        <f t="shared" si="29"/>
        <v/>
      </c>
      <c r="AJ50" s="164" t="str">
        <f t="shared" si="20"/>
        <v/>
      </c>
      <c r="AK50" s="43"/>
      <c r="AL50" s="16" t="str">
        <f t="shared" si="40"/>
        <v/>
      </c>
      <c r="AM50" s="17" t="str">
        <f>IF(AND(AH50&lt;&gt;"", AK50&lt;&gt;""), SUM(AK$4:AK50), "")</f>
        <v/>
      </c>
      <c r="AN50" s="16" t="str">
        <f t="shared" si="41"/>
        <v/>
      </c>
      <c r="AO50" s="14"/>
      <c r="AP50" s="27">
        <v>3</v>
      </c>
      <c r="AQ50" s="20" t="e" cm="1">
        <f t="array" aca="1" ref="AQ50" ca="1">(AP50-INDIRECT(SUBSTITUTE(ADDRESS(1,COLUMN($C$9),4),"1","")&amp;SUMPRODUCT(($B$10:$D$26=INDIRECT(SUBSTITUTE(ADDRESS(1,COLUMN()-1,4),"1","")&amp;ROW()-49))*ROW($B$10:$D$26))))/INDIRECT(SUBSTITUTE(ADDRESS(1,COLUMN($D$9),4),"1","")&amp;SUMPRODUCT(($B$10:$D$26=INDIRECT(SUBSTITUTE(ADDRESS(1,COLUMN()-1,4),"1","")&amp;ROW()-49))*ROW($B$10:$D$26)))*10+50</f>
        <v>#DIV/0!</v>
      </c>
      <c r="AR50" s="8"/>
      <c r="AS50" s="38"/>
      <c r="AT50" s="83" t="str">
        <f t="shared" si="30"/>
        <v/>
      </c>
      <c r="AU50" s="164" t="str">
        <f t="shared" si="21"/>
        <v/>
      </c>
      <c r="AV50" s="43"/>
      <c r="AW50" s="16" t="str">
        <f t="shared" si="42"/>
        <v/>
      </c>
      <c r="AX50" s="17" t="str">
        <f>IF(AND(AS50&lt;&gt;"", AV50&lt;&gt;""), SUM(AV$4:AV50), "")</f>
        <v/>
      </c>
      <c r="AY50" s="16" t="str">
        <f t="shared" si="43"/>
        <v/>
      </c>
      <c r="AZ50" s="14"/>
      <c r="BA50" s="27">
        <v>3</v>
      </c>
      <c r="BB50" s="20" t="e" cm="1">
        <f t="array" aca="1" ref="BB50" ca="1">(BA50-INDIRECT(SUBSTITUTE(ADDRESS(1,COLUMN($C$9),4),"1","")&amp;SUMPRODUCT(($B$10:$D$26=INDIRECT(SUBSTITUTE(ADDRESS(1,COLUMN()-1,4),"1","")&amp;ROW()-49))*ROW($B$10:$D$26))))/INDIRECT(SUBSTITUTE(ADDRESS(1,COLUMN($D$9),4),"1","")&amp;SUMPRODUCT(($B$10:$D$26=INDIRECT(SUBSTITUTE(ADDRESS(1,COLUMN()-1,4),"1","")&amp;ROW()-49))*ROW($B$10:$D$26)))*10+50</f>
        <v>#DIV/0!</v>
      </c>
      <c r="BC50" s="8"/>
      <c r="BD50" s="38"/>
      <c r="BE50" s="83" t="str">
        <f t="shared" si="31"/>
        <v/>
      </c>
      <c r="BF50" s="164" t="str">
        <f t="shared" si="22"/>
        <v/>
      </c>
      <c r="BG50" s="43"/>
      <c r="BH50" s="16" t="str">
        <f t="shared" si="44"/>
        <v/>
      </c>
      <c r="BI50" s="17" t="str">
        <f>IF(AND(BD50&lt;&gt;"", BG50&lt;&gt;""), SUM(BG$4:BG50), "")</f>
        <v/>
      </c>
      <c r="BJ50" s="16" t="str">
        <f t="shared" si="45"/>
        <v/>
      </c>
      <c r="BK50" s="14"/>
      <c r="BL50" s="27">
        <v>3</v>
      </c>
      <c r="BM50" s="20" t="e" cm="1">
        <f t="array" aca="1" ref="BM50" ca="1">(BL50-INDIRECT(SUBSTITUTE(ADDRESS(1,COLUMN($C$9),4),"1","")&amp;SUMPRODUCT(($B$10:$D$26=INDIRECT(SUBSTITUTE(ADDRESS(1,COLUMN()-1,4),"1","")&amp;ROW()-49))*ROW($B$10:$D$26))))/INDIRECT(SUBSTITUTE(ADDRESS(1,COLUMN($D$9),4),"1","")&amp;SUMPRODUCT(($B$10:$D$26=INDIRECT(SUBSTITUTE(ADDRESS(1,COLUMN()-1,4),"1","")&amp;ROW()-49))*ROW($B$10:$D$26)))*10+50</f>
        <v>#DIV/0!</v>
      </c>
      <c r="BN50" s="8"/>
      <c r="BO50" s="38"/>
      <c r="BP50" s="83" t="str">
        <f t="shared" si="32"/>
        <v/>
      </c>
      <c r="BQ50" s="164" t="str">
        <f t="shared" si="23"/>
        <v/>
      </c>
      <c r="BR50" s="43"/>
      <c r="BS50" s="16" t="str">
        <f t="shared" si="46"/>
        <v/>
      </c>
      <c r="BT50" s="17" t="str">
        <f>IF(AND(BO50&lt;&gt;"", BR50&lt;&gt;""), SUM(BR$4:BR50), "")</f>
        <v/>
      </c>
      <c r="BU50" s="16" t="str">
        <f t="shared" si="47"/>
        <v/>
      </c>
      <c r="BV50" s="14"/>
      <c r="BW50" s="27">
        <v>3</v>
      </c>
      <c r="BX50" s="20" cm="1">
        <f t="array" aca="1" ref="BX50" ca="1">(BW50-INDIRECT(SUBSTITUTE(ADDRESS(1,COLUMN($C$9),4),"1","")&amp;SUMPRODUCT(($B$10:$D$26=INDIRECT(SUBSTITUTE(ADDRESS(1,COLUMN()-1,4),"1","")&amp;ROW()-49))*ROW($B$10:$D$26))))/INDIRECT(SUBSTITUTE(ADDRESS(1,COLUMN($D$9),4),"1","")&amp;SUMPRODUCT(($B$10:$D$26=INDIRECT(SUBSTITUTE(ADDRESS(1,COLUMN()-1,4),"1","")&amp;ROW()-49))*ROW($B$10:$D$26)))*10+50</f>
        <v>31.48936170212766</v>
      </c>
      <c r="BY50" s="8"/>
      <c r="BZ50" s="38"/>
      <c r="CA50" s="83" t="str">
        <f t="shared" si="33"/>
        <v/>
      </c>
      <c r="CB50" s="164" t="str">
        <f t="shared" si="24"/>
        <v/>
      </c>
      <c r="CC50" s="43"/>
      <c r="CD50" s="16" t="str">
        <f t="shared" si="48"/>
        <v/>
      </c>
      <c r="CE50" s="17" t="str">
        <f>IF(AND(BZ50&lt;&gt;"", CC50&lt;&gt;""), SUM(CC$4:CC50), "")</f>
        <v/>
      </c>
      <c r="CF50" s="16" t="str">
        <f t="shared" si="49"/>
        <v/>
      </c>
      <c r="CG50" s="14"/>
      <c r="CH50" s="27">
        <v>3</v>
      </c>
      <c r="CI50" s="20" t="e" cm="1">
        <f t="array" aca="1" ref="CI50" ca="1">(CH50-INDIRECT(SUBSTITUTE(ADDRESS(1,COLUMN($C$9),4),"1","")&amp;SUMPRODUCT(($B$10:$D$26=INDIRECT(SUBSTITUTE(ADDRESS(1,COLUMN()-1,4),"1","")&amp;ROW()-49))*ROW($B$10:$D$26))))/INDIRECT(SUBSTITUTE(ADDRESS(1,COLUMN($D$9),4),"1","")&amp;SUMPRODUCT(($B$10:$D$26=INDIRECT(SUBSTITUTE(ADDRESS(1,COLUMN()-1,4),"1","")&amp;ROW()-49))*ROW($B$10:$D$26)))*10+50</f>
        <v>#DIV/0!</v>
      </c>
      <c r="CJ50" s="8"/>
      <c r="CK50" s="38"/>
      <c r="CL50" s="83" t="str">
        <f t="shared" si="34"/>
        <v/>
      </c>
      <c r="CM50" s="164" t="str">
        <f t="shared" si="25"/>
        <v/>
      </c>
      <c r="CN50" s="43"/>
      <c r="CO50" s="16" t="str">
        <f t="shared" si="50"/>
        <v/>
      </c>
      <c r="CP50" s="17" t="str">
        <f>IF(AND(CK50&lt;&gt;"", CN50&lt;&gt;""), SUM(CN$4:CN50), "")</f>
        <v/>
      </c>
      <c r="CQ50" s="16" t="str">
        <f t="shared" si="51"/>
        <v/>
      </c>
      <c r="CR50" s="14"/>
      <c r="CS50" s="27">
        <v>3</v>
      </c>
      <c r="CT50" s="20" t="e" cm="1">
        <f t="array" aca="1" ref="CT50" ca="1">(CS50-INDIRECT(SUBSTITUTE(ADDRESS(1,COLUMN($C$9),4),"1","")&amp;SUMPRODUCT(($B$10:$D$26=INDIRECT(SUBSTITUTE(ADDRESS(1,COLUMN()-1,4),"1","")&amp;ROW()-49))*ROW($B$10:$D$26))))/INDIRECT(SUBSTITUTE(ADDRESS(1,COLUMN($D$9),4),"1","")&amp;SUMPRODUCT(($B$10:$D$26=INDIRECT(SUBSTITUTE(ADDRESS(1,COLUMN()-1,4),"1","")&amp;ROW()-49))*ROW($B$10:$D$26)))*10+50</f>
        <v>#DIV/0!</v>
      </c>
      <c r="CU50" s="8"/>
      <c r="CV50" s="49">
        <v>31</v>
      </c>
      <c r="CW50" s="83">
        <f t="shared" si="35"/>
        <v>9</v>
      </c>
      <c r="CX50" s="164">
        <f t="shared" si="26"/>
        <v>0</v>
      </c>
      <c r="CY50" s="52">
        <v>304</v>
      </c>
      <c r="CZ50" s="16">
        <f t="shared" si="52"/>
        <v>2.5119607340874724E-3</v>
      </c>
      <c r="DA50" s="17">
        <f>IF(AND(CV50&lt;&gt;"", CY50&lt;&gt;""), SUM(CY$4:CY50), "")</f>
        <v>121021</v>
      </c>
      <c r="DB50" s="16">
        <f t="shared" si="53"/>
        <v>1</v>
      </c>
      <c r="FX50" s="28">
        <v>0</v>
      </c>
    </row>
    <row r="51" spans="5:180" ht="16" customHeight="1" thickBot="1" x14ac:dyDescent="0.25">
      <c r="E51" s="1"/>
      <c r="F51" s="117" t="s">
        <v>24</v>
      </c>
      <c r="G51" s="118"/>
      <c r="H51" s="36"/>
      <c r="I51" s="117" t="s">
        <v>25</v>
      </c>
      <c r="J51" s="118"/>
      <c r="K51" s="36"/>
      <c r="L51" s="117" t="s">
        <v>26</v>
      </c>
      <c r="M51" s="118"/>
      <c r="N51"/>
      <c r="O51" s="38"/>
      <c r="P51" s="83" t="str">
        <f t="shared" si="27"/>
        <v/>
      </c>
      <c r="Q51" s="164" t="str">
        <f t="shared" si="18"/>
        <v/>
      </c>
      <c r="R51" s="43"/>
      <c r="S51" s="16" t="str">
        <f t="shared" si="36"/>
        <v/>
      </c>
      <c r="T51" s="17" t="str">
        <f>IF(AND(O51&lt;&gt;"", R51&lt;&gt;""), SUM(R$4:R51), "")</f>
        <v/>
      </c>
      <c r="U51" s="16" t="str">
        <f t="shared" si="37"/>
        <v/>
      </c>
      <c r="W51" s="38">
        <v>100</v>
      </c>
      <c r="X51" s="83">
        <f t="shared" si="28"/>
        <v>5</v>
      </c>
      <c r="Y51" s="164">
        <f t="shared" si="19"/>
        <v>50</v>
      </c>
      <c r="Z51" s="43">
        <v>4978</v>
      </c>
      <c r="AA51" s="16">
        <f t="shared" si="38"/>
        <v>1.2843965684061149E-2</v>
      </c>
      <c r="AB51" s="17">
        <f>IF(AND(W51&lt;&gt;"", Z51&lt;&gt;""), SUM(Z$4:Z51), "")</f>
        <v>197078</v>
      </c>
      <c r="AC51" s="16">
        <f t="shared" si="39"/>
        <v>0.50848996968328708</v>
      </c>
      <c r="AD51" s="1"/>
      <c r="AE51" s="19">
        <v>2</v>
      </c>
      <c r="AF51" s="20" t="e" cm="1">
        <f t="array" aca="1" ref="AF51" ca="1">(AE51-INDIRECT(SUBSTITUTE(ADDRESS(1,COLUMN($C$9),4),"1","")&amp;SUMPRODUCT(($B$10:$D$26=INDIRECT(SUBSTITUTE(ADDRESS(1,COLUMN()-1,4),"1","")&amp;ROW()-50))*ROW($B$10:$D$26))))/INDIRECT(SUBSTITUTE(ADDRESS(1,COLUMN($D$9),4),"1","")&amp;SUMPRODUCT(($B$10:$D$26=INDIRECT(SUBSTITUTE(ADDRESS(1,COLUMN()-1,4),"1","")&amp;ROW()-50))*ROW($B$10:$D$26)))*10+50</f>
        <v>#DIV/0!</v>
      </c>
      <c r="AG51" s="8"/>
      <c r="AH51" s="38"/>
      <c r="AI51" s="83" t="str">
        <f t="shared" si="29"/>
        <v/>
      </c>
      <c r="AJ51" s="164" t="str">
        <f t="shared" si="20"/>
        <v/>
      </c>
      <c r="AK51" s="43"/>
      <c r="AL51" s="16" t="str">
        <f t="shared" si="40"/>
        <v/>
      </c>
      <c r="AM51" s="17" t="str">
        <f>IF(AND(AH51&lt;&gt;"", AK51&lt;&gt;""), SUM(AK$4:AK51), "")</f>
        <v/>
      </c>
      <c r="AN51" s="16" t="str">
        <f t="shared" si="41"/>
        <v/>
      </c>
      <c r="AO51" s="14"/>
      <c r="AP51" s="31">
        <v>2</v>
      </c>
      <c r="AQ51" s="32" t="e" cm="1">
        <f t="array" aca="1" ref="AQ51" ca="1">(AP51-INDIRECT(SUBSTITUTE(ADDRESS(1,COLUMN($C$9),4),"1","")&amp;SUMPRODUCT(($B$10:$D$26=INDIRECT(SUBSTITUTE(ADDRESS(1,COLUMN()-1,4),"1","")&amp;ROW()-50))*ROW($B$10:$D$26))))/INDIRECT(SUBSTITUTE(ADDRESS(1,COLUMN($D$9),4),"1","")&amp;SUMPRODUCT(($B$10:$D$26=INDIRECT(SUBSTITUTE(ADDRESS(1,COLUMN()-1,4),"1","")&amp;ROW()-50))*ROW($B$10:$D$26)))*10+50</f>
        <v>#DIV/0!</v>
      </c>
      <c r="AR51" s="8"/>
      <c r="AS51" s="38"/>
      <c r="AT51" s="83" t="str">
        <f t="shared" si="30"/>
        <v/>
      </c>
      <c r="AU51" s="164" t="str">
        <f t="shared" si="21"/>
        <v/>
      </c>
      <c r="AV51" s="43"/>
      <c r="AW51" s="16" t="str">
        <f t="shared" si="42"/>
        <v/>
      </c>
      <c r="AX51" s="17" t="str">
        <f>IF(AND(AS51&lt;&gt;"", AV51&lt;&gt;""), SUM(AV$4:AV51), "")</f>
        <v/>
      </c>
      <c r="AY51" s="16" t="str">
        <f t="shared" si="43"/>
        <v/>
      </c>
      <c r="AZ51" s="14"/>
      <c r="BA51" s="27">
        <v>2</v>
      </c>
      <c r="BB51" s="32" t="e" cm="1">
        <f t="array" aca="1" ref="BB51" ca="1">(BA51-INDIRECT(SUBSTITUTE(ADDRESS(1,COLUMN($C$9),4),"1","")&amp;SUMPRODUCT(($B$10:$D$26=INDIRECT(SUBSTITUTE(ADDRESS(1,COLUMN()-1,4),"1","")&amp;ROW()-50))*ROW($B$10:$D$26))))/INDIRECT(SUBSTITUTE(ADDRESS(1,COLUMN($D$9),4),"1","")&amp;SUMPRODUCT(($B$10:$D$26=INDIRECT(SUBSTITUTE(ADDRESS(1,COLUMN()-1,4),"1","")&amp;ROW()-50))*ROW($B$10:$D$26)))*10+50</f>
        <v>#DIV/0!</v>
      </c>
      <c r="BC51" s="8"/>
      <c r="BD51" s="38"/>
      <c r="BE51" s="83" t="str">
        <f t="shared" si="31"/>
        <v/>
      </c>
      <c r="BF51" s="164" t="str">
        <f t="shared" si="22"/>
        <v/>
      </c>
      <c r="BG51" s="43"/>
      <c r="BH51" s="16" t="str">
        <f t="shared" si="44"/>
        <v/>
      </c>
      <c r="BI51" s="17" t="str">
        <f>IF(AND(BD51&lt;&gt;"", BG51&lt;&gt;""), SUM(BG$4:BG51), "")</f>
        <v/>
      </c>
      <c r="BJ51" s="16" t="str">
        <f t="shared" si="45"/>
        <v/>
      </c>
      <c r="BK51" s="14"/>
      <c r="BL51" s="27">
        <v>2</v>
      </c>
      <c r="BM51" s="32" t="e" cm="1">
        <f t="array" aca="1" ref="BM51" ca="1">(BL51-INDIRECT(SUBSTITUTE(ADDRESS(1,COLUMN($C$9),4),"1","")&amp;SUMPRODUCT(($B$10:$D$26=INDIRECT(SUBSTITUTE(ADDRESS(1,COLUMN()-1,4),"1","")&amp;ROW()-50))*ROW($B$10:$D$26))))/INDIRECT(SUBSTITUTE(ADDRESS(1,COLUMN($D$9),4),"1","")&amp;SUMPRODUCT(($B$10:$D$26=INDIRECT(SUBSTITUTE(ADDRESS(1,COLUMN()-1,4),"1","")&amp;ROW()-50))*ROW($B$10:$D$26)))*10+50</f>
        <v>#DIV/0!</v>
      </c>
      <c r="BN51" s="8"/>
      <c r="BO51" s="38"/>
      <c r="BP51" s="83" t="str">
        <f t="shared" si="32"/>
        <v/>
      </c>
      <c r="BQ51" s="164" t="str">
        <f t="shared" si="23"/>
        <v/>
      </c>
      <c r="BR51" s="43"/>
      <c r="BS51" s="16" t="str">
        <f t="shared" si="46"/>
        <v/>
      </c>
      <c r="BT51" s="17" t="str">
        <f>IF(AND(BO51&lt;&gt;"", BR51&lt;&gt;""), SUM(BR$4:BR51), "")</f>
        <v/>
      </c>
      <c r="BU51" s="16" t="str">
        <f t="shared" si="47"/>
        <v/>
      </c>
      <c r="BV51" s="14"/>
      <c r="BW51" s="27">
        <v>2</v>
      </c>
      <c r="BX51" s="32" cm="1">
        <f t="array" aca="1" ref="BX51" ca="1">(BW51-INDIRECT(SUBSTITUTE(ADDRESS(1,COLUMN($C$9),4),"1","")&amp;SUMPRODUCT(($B$10:$D$26=INDIRECT(SUBSTITUTE(ADDRESS(1,COLUMN()-1,4),"1","")&amp;ROW()-50))*ROW($B$10:$D$26))))/INDIRECT(SUBSTITUTE(ADDRESS(1,COLUMN($D$9),4),"1","")&amp;SUMPRODUCT(($B$10:$D$26=INDIRECT(SUBSTITUTE(ADDRESS(1,COLUMN()-1,4),"1","")&amp;ROW()-50))*ROW($B$10:$D$26)))*10+50</f>
        <v>30.564292321924146</v>
      </c>
      <c r="BY51" s="8"/>
      <c r="BZ51" s="38"/>
      <c r="CA51" s="83" t="str">
        <f t="shared" si="33"/>
        <v/>
      </c>
      <c r="CB51" s="164" t="str">
        <f t="shared" si="24"/>
        <v/>
      </c>
      <c r="CC51" s="43"/>
      <c r="CD51" s="16" t="str">
        <f t="shared" si="48"/>
        <v/>
      </c>
      <c r="CE51" s="17" t="str">
        <f>IF(AND(BZ51&lt;&gt;"", CC51&lt;&gt;""), SUM(CC$4:CC51), "")</f>
        <v/>
      </c>
      <c r="CF51" s="16" t="str">
        <f t="shared" si="49"/>
        <v/>
      </c>
      <c r="CG51" s="14"/>
      <c r="CH51" s="27">
        <v>2</v>
      </c>
      <c r="CI51" s="32" t="e" cm="1">
        <f t="array" aca="1" ref="CI51" ca="1">(CH51-INDIRECT(SUBSTITUTE(ADDRESS(1,COLUMN($C$9),4),"1","")&amp;SUMPRODUCT(($B$10:$D$26=INDIRECT(SUBSTITUTE(ADDRESS(1,COLUMN()-1,4),"1","")&amp;ROW()-50))*ROW($B$10:$D$26))))/INDIRECT(SUBSTITUTE(ADDRESS(1,COLUMN($D$9),4),"1","")&amp;SUMPRODUCT(($B$10:$D$26=INDIRECT(SUBSTITUTE(ADDRESS(1,COLUMN()-1,4),"1","")&amp;ROW()-50))*ROW($B$10:$D$26)))*10+50</f>
        <v>#DIV/0!</v>
      </c>
      <c r="CJ51" s="8"/>
      <c r="CK51" s="38"/>
      <c r="CL51" s="83" t="str">
        <f t="shared" si="34"/>
        <v/>
      </c>
      <c r="CM51" s="164" t="str">
        <f t="shared" si="25"/>
        <v/>
      </c>
      <c r="CN51" s="43"/>
      <c r="CO51" s="16" t="str">
        <f t="shared" si="50"/>
        <v/>
      </c>
      <c r="CP51" s="17" t="str">
        <f>IF(AND(CK51&lt;&gt;"", CN51&lt;&gt;""), SUM(CN$4:CN51), "")</f>
        <v/>
      </c>
      <c r="CQ51" s="16" t="str">
        <f t="shared" si="51"/>
        <v/>
      </c>
      <c r="CR51" s="14"/>
      <c r="CS51" s="27">
        <v>2</v>
      </c>
      <c r="CT51" s="32" t="e" cm="1">
        <f t="array" aca="1" ref="CT51" ca="1">(CS51-INDIRECT(SUBSTITUTE(ADDRESS(1,COLUMN($C$9),4),"1","")&amp;SUMPRODUCT(($B$10:$D$26=INDIRECT(SUBSTITUTE(ADDRESS(1,COLUMN()-1,4),"1","")&amp;ROW()-50))*ROW($B$10:$D$26))))/INDIRECT(SUBSTITUTE(ADDRESS(1,COLUMN($D$9),4),"1","")&amp;SUMPRODUCT(($B$10:$D$26=INDIRECT(SUBSTITUTE(ADDRESS(1,COLUMN()-1,4),"1","")&amp;ROW()-50))*ROW($B$10:$D$26)))*10+50</f>
        <v>#DIV/0!</v>
      </c>
      <c r="CU51" s="8"/>
      <c r="CV51" s="38"/>
      <c r="CW51" s="83" t="str">
        <f t="shared" si="35"/>
        <v/>
      </c>
      <c r="CX51" s="164" t="str">
        <f t="shared" si="26"/>
        <v/>
      </c>
      <c r="CY51" s="43"/>
      <c r="CZ51" s="16" t="str">
        <f t="shared" si="52"/>
        <v/>
      </c>
      <c r="DA51" s="17" t="str">
        <f>IF(AND(CV51&lt;&gt;"", CY51&lt;&gt;""), SUM(CY$4:CY51), "")</f>
        <v/>
      </c>
      <c r="DB51" s="16" t="str">
        <f t="shared" si="53"/>
        <v/>
      </c>
      <c r="FX51" s="28">
        <v>0</v>
      </c>
    </row>
    <row r="52" spans="5:180" ht="16" customHeight="1" x14ac:dyDescent="0.2">
      <c r="E52" s="1"/>
      <c r="F52" s="30" t="s">
        <v>30</v>
      </c>
      <c r="G52" s="30" t="s">
        <v>14</v>
      </c>
      <c r="H52" s="36"/>
      <c r="I52" s="30" t="s">
        <v>30</v>
      </c>
      <c r="J52" s="30" t="s">
        <v>14</v>
      </c>
      <c r="K52" s="36"/>
      <c r="L52" s="30" t="s">
        <v>30</v>
      </c>
      <c r="M52" s="30" t="s">
        <v>14</v>
      </c>
      <c r="N52"/>
      <c r="O52" s="38"/>
      <c r="P52" s="83" t="str">
        <f t="shared" si="27"/>
        <v/>
      </c>
      <c r="Q52" s="164" t="str">
        <f t="shared" si="18"/>
        <v/>
      </c>
      <c r="R52" s="43"/>
      <c r="S52" s="16" t="str">
        <f t="shared" si="36"/>
        <v/>
      </c>
      <c r="T52" s="17" t="str">
        <f>IF(AND(O52&lt;&gt;"", R52&lt;&gt;""), SUM(R$4:R52), "")</f>
        <v/>
      </c>
      <c r="U52" s="16" t="str">
        <f t="shared" si="37"/>
        <v/>
      </c>
      <c r="W52" s="38">
        <v>99</v>
      </c>
      <c r="X52" s="83">
        <f t="shared" si="28"/>
        <v>5</v>
      </c>
      <c r="Y52" s="164">
        <f t="shared" si="19"/>
        <v>48</v>
      </c>
      <c r="Z52" s="43">
        <v>5254</v>
      </c>
      <c r="AA52" s="16">
        <f t="shared" si="38"/>
        <v>1.3556085918854415E-2</v>
      </c>
      <c r="AB52" s="17">
        <f>IF(AND(W52&lt;&gt;"", Z52&lt;&gt;""), SUM(Z$4:Z52), "")</f>
        <v>202332</v>
      </c>
      <c r="AC52" s="16">
        <f t="shared" si="39"/>
        <v>0.52204605560214157</v>
      </c>
      <c r="AD52" s="1"/>
      <c r="AE52" s="19">
        <v>0</v>
      </c>
      <c r="AF52" s="20" t="e" cm="1">
        <f t="array" aca="1" ref="AF52" ca="1">(AE52-INDIRECT(SUBSTITUTE(ADDRESS(1,COLUMN($C$9),4),"1","")&amp;SUMPRODUCT(($B$10:$D$26=INDIRECT(SUBSTITUTE(ADDRESS(1,COLUMN()-1,4),"1","")&amp;ROW()-51))*ROW($B$10:$D$26))))/INDIRECT(SUBSTITUTE(ADDRESS(1,COLUMN($D$9),4),"1","")&amp;SUMPRODUCT(($B$10:$D$26=INDIRECT(SUBSTITUTE(ADDRESS(1,COLUMN()-1,4),"1","")&amp;ROW()-51))*ROW($B$10:$D$26)))*10+50</f>
        <v>#DIV/0!</v>
      </c>
      <c r="AG52" s="8"/>
      <c r="AH52" s="38"/>
      <c r="AI52" s="83" t="str">
        <f t="shared" si="29"/>
        <v/>
      </c>
      <c r="AJ52" s="164" t="str">
        <f t="shared" si="20"/>
        <v/>
      </c>
      <c r="AK52" s="43"/>
      <c r="AL52" s="16" t="str">
        <f t="shared" si="40"/>
        <v/>
      </c>
      <c r="AM52" s="17" t="str">
        <f>IF(AND(AH52&lt;&gt;"", AK52&lt;&gt;""), SUM(AK$4:AK52), "")</f>
        <v/>
      </c>
      <c r="AN52" s="16" t="str">
        <f t="shared" si="41"/>
        <v/>
      </c>
      <c r="AO52" s="9"/>
      <c r="AP52" s="19">
        <v>0</v>
      </c>
      <c r="AQ52" s="20" t="e" cm="1">
        <f t="array" aca="1" ref="AQ52" ca="1">(AP52-INDIRECT(SUBSTITUTE(ADDRESS(1,COLUMN($C$9),4),"1","")&amp;SUMPRODUCT(($B$10:$D$26=INDIRECT(SUBSTITUTE(ADDRESS(1,COLUMN()-1,4),"1","")&amp;ROW()-51))*ROW($B$10:$D$26))))/INDIRECT(SUBSTITUTE(ADDRESS(1,COLUMN($D$9),4),"1","")&amp;SUMPRODUCT(($B$10:$D$26=INDIRECT(SUBSTITUTE(ADDRESS(1,COLUMN()-1,4),"1","")&amp;ROW()-51))*ROW($B$10:$D$26)))*10+50</f>
        <v>#DIV/0!</v>
      </c>
      <c r="AR52" s="8"/>
      <c r="AS52" s="38"/>
      <c r="AT52" s="83" t="str">
        <f t="shared" si="30"/>
        <v/>
      </c>
      <c r="AU52" s="164" t="str">
        <f t="shared" si="21"/>
        <v/>
      </c>
      <c r="AV52" s="43"/>
      <c r="AW52" s="16" t="str">
        <f t="shared" si="42"/>
        <v/>
      </c>
      <c r="AX52" s="17" t="str">
        <f>IF(AND(AS52&lt;&gt;"", AV52&lt;&gt;""), SUM(AV$4:AV52), "")</f>
        <v/>
      </c>
      <c r="AY52" s="16" t="str">
        <f t="shared" si="43"/>
        <v/>
      </c>
      <c r="AZ52" s="9"/>
      <c r="BA52" s="27">
        <v>0</v>
      </c>
      <c r="BB52" s="20" t="e" cm="1">
        <f t="array" aca="1" ref="BB52" ca="1">(BA52-INDIRECT(SUBSTITUTE(ADDRESS(1,COLUMN($C$9),4),"1","")&amp;SUMPRODUCT(($B$10:$D$26=INDIRECT(SUBSTITUTE(ADDRESS(1,COLUMN()-1,4),"1","")&amp;ROW()-51))*ROW($B$10:$D$26))))/INDIRECT(SUBSTITUTE(ADDRESS(1,COLUMN($D$9),4),"1","")&amp;SUMPRODUCT(($B$10:$D$26=INDIRECT(SUBSTITUTE(ADDRESS(1,COLUMN()-1,4),"1","")&amp;ROW()-51))*ROW($B$10:$D$26)))*10+50</f>
        <v>#DIV/0!</v>
      </c>
      <c r="BC52" s="8"/>
      <c r="BD52" s="38"/>
      <c r="BE52" s="83" t="str">
        <f t="shared" si="31"/>
        <v/>
      </c>
      <c r="BF52" s="164" t="str">
        <f t="shared" si="22"/>
        <v/>
      </c>
      <c r="BG52" s="43"/>
      <c r="BH52" s="16" t="str">
        <f t="shared" si="44"/>
        <v/>
      </c>
      <c r="BI52" s="17" t="str">
        <f>IF(AND(BD52&lt;&gt;"", BG52&lt;&gt;""), SUM(BG$4:BG52), "")</f>
        <v/>
      </c>
      <c r="BJ52" s="16" t="str">
        <f t="shared" si="45"/>
        <v/>
      </c>
      <c r="BK52" s="9"/>
      <c r="BL52" s="27">
        <v>0</v>
      </c>
      <c r="BM52" s="20" t="e" cm="1">
        <f t="array" aca="1" ref="BM52" ca="1">(BL52-INDIRECT(SUBSTITUTE(ADDRESS(1,COLUMN($C$9),4),"1","")&amp;SUMPRODUCT(($B$10:$D$26=INDIRECT(SUBSTITUTE(ADDRESS(1,COLUMN()-1,4),"1","")&amp;ROW()-51))*ROW($B$10:$D$26))))/INDIRECT(SUBSTITUTE(ADDRESS(1,COLUMN($D$9),4),"1","")&amp;SUMPRODUCT(($B$10:$D$26=INDIRECT(SUBSTITUTE(ADDRESS(1,COLUMN()-1,4),"1","")&amp;ROW()-51))*ROW($B$10:$D$26)))*10+50</f>
        <v>#DIV/0!</v>
      </c>
      <c r="BN52" s="8"/>
      <c r="BO52" s="38"/>
      <c r="BP52" s="83" t="str">
        <f t="shared" si="32"/>
        <v/>
      </c>
      <c r="BQ52" s="164" t="str">
        <f t="shared" si="23"/>
        <v/>
      </c>
      <c r="BR52" s="43"/>
      <c r="BS52" s="16" t="str">
        <f t="shared" si="46"/>
        <v/>
      </c>
      <c r="BT52" s="17" t="str">
        <f>IF(AND(BO52&lt;&gt;"", BR52&lt;&gt;""), SUM(BR$4:BR52), "")</f>
        <v/>
      </c>
      <c r="BU52" s="16" t="str">
        <f t="shared" si="47"/>
        <v/>
      </c>
      <c r="BV52" s="9"/>
      <c r="BW52" s="27">
        <v>0</v>
      </c>
      <c r="BX52" s="20" cm="1">
        <f t="array" aca="1" ref="BX52" ca="1">(BW52-INDIRECT(SUBSTITUTE(ADDRESS(1,COLUMN($C$9),4),"1","")&amp;SUMPRODUCT(($B$10:$D$26=INDIRECT(SUBSTITUTE(ADDRESS(1,COLUMN()-1,4),"1","")&amp;ROW()-51))*ROW($B$10:$D$26))))/INDIRECT(SUBSTITUTE(ADDRESS(1,COLUMN($D$9),4),"1","")&amp;SUMPRODUCT(($B$10:$D$26=INDIRECT(SUBSTITUTE(ADDRESS(1,COLUMN()-1,4),"1","")&amp;ROW()-51))*ROW($B$10:$D$26)))*10+50</f>
        <v>28.714153561517115</v>
      </c>
      <c r="BY52" s="8"/>
      <c r="BZ52" s="38"/>
      <c r="CA52" s="83" t="str">
        <f t="shared" si="33"/>
        <v/>
      </c>
      <c r="CB52" s="164" t="str">
        <f t="shared" si="24"/>
        <v/>
      </c>
      <c r="CC52" s="43"/>
      <c r="CD52" s="16" t="str">
        <f t="shared" si="48"/>
        <v/>
      </c>
      <c r="CE52" s="17" t="str">
        <f>IF(AND(BZ52&lt;&gt;"", CC52&lt;&gt;""), SUM(CC$4:CC52), "")</f>
        <v/>
      </c>
      <c r="CF52" s="16" t="str">
        <f t="shared" si="49"/>
        <v/>
      </c>
      <c r="CG52" s="9"/>
      <c r="CH52" s="27">
        <v>0</v>
      </c>
      <c r="CI52" s="20" t="e" cm="1">
        <f t="array" aca="1" ref="CI52" ca="1">(CH52-INDIRECT(SUBSTITUTE(ADDRESS(1,COLUMN($C$9),4),"1","")&amp;SUMPRODUCT(($B$10:$D$26=INDIRECT(SUBSTITUTE(ADDRESS(1,COLUMN()-1,4),"1","")&amp;ROW()-51))*ROW($B$10:$D$26))))/INDIRECT(SUBSTITUTE(ADDRESS(1,COLUMN($D$9),4),"1","")&amp;SUMPRODUCT(($B$10:$D$26=INDIRECT(SUBSTITUTE(ADDRESS(1,COLUMN()-1,4),"1","")&amp;ROW()-51))*ROW($B$10:$D$26)))*10+50</f>
        <v>#DIV/0!</v>
      </c>
      <c r="CJ52" s="8"/>
      <c r="CK52" s="38"/>
      <c r="CL52" s="83" t="str">
        <f t="shared" si="34"/>
        <v/>
      </c>
      <c r="CM52" s="164" t="str">
        <f t="shared" si="25"/>
        <v/>
      </c>
      <c r="CN52" s="43"/>
      <c r="CO52" s="16" t="str">
        <f t="shared" si="50"/>
        <v/>
      </c>
      <c r="CP52" s="17" t="str">
        <f>IF(AND(CK52&lt;&gt;"", CN52&lt;&gt;""), SUM(CN$4:CN52), "")</f>
        <v/>
      </c>
      <c r="CQ52" s="16" t="str">
        <f t="shared" si="51"/>
        <v/>
      </c>
      <c r="CR52" s="9"/>
      <c r="CS52" s="27">
        <v>0</v>
      </c>
      <c r="CT52" s="20" t="e" cm="1">
        <f t="array" aca="1" ref="CT52" ca="1">(CS52-INDIRECT(SUBSTITUTE(ADDRESS(1,COLUMN($C$9),4),"1","")&amp;SUMPRODUCT(($B$10:$D$26=INDIRECT(SUBSTITUTE(ADDRESS(1,COLUMN()-1,4),"1","")&amp;ROW()-51))*ROW($B$10:$D$26))))/INDIRECT(SUBSTITUTE(ADDRESS(1,COLUMN($D$9),4),"1","")&amp;SUMPRODUCT(($B$10:$D$26=INDIRECT(SUBSTITUTE(ADDRESS(1,COLUMN()-1,4),"1","")&amp;ROW()-51))*ROW($B$10:$D$26)))*10+50</f>
        <v>#DIV/0!</v>
      </c>
      <c r="CU52" s="8"/>
      <c r="CV52" s="38"/>
      <c r="CW52" s="83" t="str">
        <f t="shared" si="35"/>
        <v/>
      </c>
      <c r="CX52" s="164" t="str">
        <f t="shared" si="26"/>
        <v/>
      </c>
      <c r="CY52" s="43"/>
      <c r="CZ52" s="16" t="str">
        <f t="shared" si="52"/>
        <v/>
      </c>
      <c r="DA52" s="17" t="str">
        <f>IF(AND(CV52&lt;&gt;"", CY52&lt;&gt;""), SUM(CY$4:CY52), "")</f>
        <v/>
      </c>
      <c r="DB52" s="16" t="str">
        <f t="shared" si="53"/>
        <v/>
      </c>
    </row>
    <row r="53" spans="5:180" ht="16" customHeight="1" x14ac:dyDescent="0.2">
      <c r="E53" s="1"/>
      <c r="F53" s="86"/>
      <c r="G53" s="85">
        <v>1</v>
      </c>
      <c r="H53" s="36"/>
      <c r="I53" s="86"/>
      <c r="J53" s="85">
        <v>1</v>
      </c>
      <c r="K53" s="36"/>
      <c r="L53" s="86"/>
      <c r="M53" s="85">
        <v>1</v>
      </c>
      <c r="N53"/>
      <c r="O53" s="38"/>
      <c r="P53" s="83" t="str">
        <f t="shared" si="27"/>
        <v/>
      </c>
      <c r="Q53" s="164" t="str">
        <f t="shared" si="18"/>
        <v/>
      </c>
      <c r="R53" s="43"/>
      <c r="S53" s="16" t="str">
        <f t="shared" si="36"/>
        <v/>
      </c>
      <c r="T53" s="17" t="str">
        <f>IF(AND(O53&lt;&gt;"", R53&lt;&gt;""), SUM(R$4:R53), "")</f>
        <v/>
      </c>
      <c r="U53" s="16" t="str">
        <f t="shared" si="37"/>
        <v/>
      </c>
      <c r="W53" s="38">
        <v>98</v>
      </c>
      <c r="X53" s="83">
        <f t="shared" si="28"/>
        <v>5</v>
      </c>
      <c r="Y53" s="164">
        <f t="shared" si="19"/>
        <v>47</v>
      </c>
      <c r="Z53" s="43">
        <v>5713</v>
      </c>
      <c r="AA53" s="16">
        <f t="shared" si="38"/>
        <v>1.4740372831064955E-2</v>
      </c>
      <c r="AB53" s="17">
        <f>IF(AND(W53&lt;&gt;"", Z53&lt;&gt;""), SUM(Z$4:Z53), "")</f>
        <v>208045</v>
      </c>
      <c r="AC53" s="16">
        <f t="shared" si="39"/>
        <v>0.53678642843320645</v>
      </c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</row>
    <row r="54" spans="5:180" ht="16" customHeight="1" x14ac:dyDescent="0.2">
      <c r="E54" s="1"/>
      <c r="F54" s="86"/>
      <c r="G54" s="85">
        <v>2</v>
      </c>
      <c r="H54" s="36"/>
      <c r="I54" s="86"/>
      <c r="J54" s="85">
        <v>2</v>
      </c>
      <c r="K54" s="36"/>
      <c r="L54" s="86"/>
      <c r="M54" s="85">
        <v>2</v>
      </c>
      <c r="N54"/>
      <c r="O54" s="38"/>
      <c r="P54" s="83" t="str">
        <f t="shared" si="27"/>
        <v/>
      </c>
      <c r="Q54" s="164" t="str">
        <f t="shared" si="18"/>
        <v/>
      </c>
      <c r="R54" s="43"/>
      <c r="S54" s="16" t="str">
        <f t="shared" si="36"/>
        <v/>
      </c>
      <c r="T54" s="17" t="str">
        <f>IF(AND(O54&lt;&gt;"", R54&lt;&gt;""), SUM(R$4:R54), "")</f>
        <v/>
      </c>
      <c r="U54" s="16" t="str">
        <f t="shared" si="37"/>
        <v/>
      </c>
      <c r="W54" s="38">
        <v>97</v>
      </c>
      <c r="X54" s="83">
        <f t="shared" si="28"/>
        <v>5</v>
      </c>
      <c r="Y54" s="164">
        <f t="shared" si="19"/>
        <v>46</v>
      </c>
      <c r="Z54" s="43">
        <v>4570</v>
      </c>
      <c r="AA54" s="16">
        <f t="shared" si="38"/>
        <v>1.179126620654067E-2</v>
      </c>
      <c r="AB54" s="17">
        <f>IF(AND(W54&lt;&gt;"", Z54&lt;&gt;""), SUM(Z$4:Z54), "")</f>
        <v>212615</v>
      </c>
      <c r="AC54" s="16">
        <f t="shared" si="39"/>
        <v>0.54857769463974715</v>
      </c>
      <c r="AD54" s="1"/>
    </row>
    <row r="55" spans="5:180" ht="16" customHeight="1" x14ac:dyDescent="0.2">
      <c r="E55" s="1"/>
      <c r="F55" s="86"/>
      <c r="G55" s="85">
        <v>3</v>
      </c>
      <c r="H55" s="36"/>
      <c r="I55" s="86"/>
      <c r="J55" s="85">
        <v>3</v>
      </c>
      <c r="K55" s="36"/>
      <c r="L55" s="86"/>
      <c r="M55" s="85">
        <v>3</v>
      </c>
      <c r="N55"/>
      <c r="O55" s="38"/>
      <c r="P55" s="83" t="str">
        <f t="shared" si="27"/>
        <v/>
      </c>
      <c r="Q55" s="164" t="str">
        <f t="shared" si="18"/>
        <v/>
      </c>
      <c r="R55" s="43"/>
      <c r="S55" s="16" t="str">
        <f t="shared" si="36"/>
        <v/>
      </c>
      <c r="T55" s="17" t="str">
        <f>IF(AND(O55&lt;&gt;"", R55&lt;&gt;""), SUM(R$4:R55), "")</f>
        <v/>
      </c>
      <c r="U55" s="16" t="str">
        <f t="shared" si="37"/>
        <v/>
      </c>
      <c r="W55" s="38">
        <v>96</v>
      </c>
      <c r="X55" s="83">
        <f t="shared" si="28"/>
        <v>5</v>
      </c>
      <c r="Y55" s="164">
        <f t="shared" si="19"/>
        <v>45</v>
      </c>
      <c r="Z55" s="43">
        <v>4532</v>
      </c>
      <c r="AA55" s="16">
        <f t="shared" si="38"/>
        <v>1.1693220666967683E-2</v>
      </c>
      <c r="AB55" s="17">
        <f>IF(AND(W55&lt;&gt;"", Z55&lt;&gt;""), SUM(Z$4:Z55), "")</f>
        <v>217147</v>
      </c>
      <c r="AC55" s="16">
        <f t="shared" si="39"/>
        <v>0.5602709153067148</v>
      </c>
      <c r="AD55" s="1"/>
    </row>
    <row r="56" spans="5:180" ht="16" customHeight="1" x14ac:dyDescent="0.2">
      <c r="E56" s="1"/>
      <c r="F56" s="86"/>
      <c r="G56" s="85">
        <v>4</v>
      </c>
      <c r="H56" s="36"/>
      <c r="I56" s="86"/>
      <c r="J56" s="85">
        <v>4</v>
      </c>
      <c r="K56" s="36"/>
      <c r="L56" s="86"/>
      <c r="M56" s="85">
        <v>4</v>
      </c>
      <c r="N56"/>
      <c r="O56" s="38"/>
      <c r="P56" s="83" t="str">
        <f t="shared" si="27"/>
        <v/>
      </c>
      <c r="Q56" s="164" t="str">
        <f t="shared" si="18"/>
        <v/>
      </c>
      <c r="R56" s="43"/>
      <c r="S56" s="16" t="str">
        <f t="shared" si="36"/>
        <v/>
      </c>
      <c r="T56" s="17" t="str">
        <f>IF(AND(O56&lt;&gt;"", R56&lt;&gt;""), SUM(R$4:R56), "")</f>
        <v/>
      </c>
      <c r="U56" s="16" t="str">
        <f t="shared" si="37"/>
        <v/>
      </c>
      <c r="W56" s="38">
        <v>95</v>
      </c>
      <c r="X56" s="83">
        <f t="shared" si="28"/>
        <v>5</v>
      </c>
      <c r="Y56" s="164">
        <f t="shared" si="19"/>
        <v>43</v>
      </c>
      <c r="Z56" s="43">
        <v>5035</v>
      </c>
      <c r="AA56" s="16">
        <f t="shared" si="38"/>
        <v>1.2991033993420628E-2</v>
      </c>
      <c r="AB56" s="17">
        <f>IF(AND(W56&lt;&gt;"", Z56&lt;&gt;""), SUM(Z$4:Z56), "")</f>
        <v>222182</v>
      </c>
      <c r="AC56" s="16">
        <f t="shared" si="39"/>
        <v>0.57326194930013541</v>
      </c>
      <c r="AD56" s="1"/>
      <c r="AE56" s="119" t="s">
        <v>21</v>
      </c>
      <c r="AF56" s="120"/>
      <c r="AG56" s="120"/>
      <c r="AH56" s="121"/>
      <c r="AI56" s="2" t="s">
        <v>2</v>
      </c>
      <c r="AJ56" s="5" cm="1">
        <f t="array" aca="1" ref="AJ56" ca="1">INDIRECT(SUBSTITUTE(ADDRESS(1,COLUMN($C$9),4),"1","")&amp;SUMPRODUCT(($B$10:$D$26=INDIRECT(SUBSTITUTE(ADDRESS(1,COLUMN()-5,4),"1","")&amp;ROW()))*ROW($B$10:$D$26)))</f>
        <v>0</v>
      </c>
      <c r="AK56" s="2" t="s">
        <v>3</v>
      </c>
      <c r="AL56" s="5" cm="1">
        <f t="array" aca="1" ref="AL56" ca="1">INDIRECT(SUBSTITUTE(ADDRESS(1,COLUMN($D$9),4),"1","")&amp;SUMPRODUCT(($B$10:$D$26=INDIRECT(SUBSTITUTE(ADDRESS(1,COLUMN()-7,4),"1","")&amp;ROW()))*ROW($B$10:$D$26)))</f>
        <v>0</v>
      </c>
      <c r="AM56" s="2" t="s">
        <v>34</v>
      </c>
      <c r="AN56" s="3">
        <f>SUM(AK59:AK107)</f>
        <v>19130</v>
      </c>
      <c r="AO56" s="6"/>
      <c r="AP56" s="119" t="s">
        <v>22</v>
      </c>
      <c r="AQ56" s="120"/>
      <c r="AR56" s="120"/>
      <c r="AS56" s="121"/>
      <c r="AT56" s="2" t="s">
        <v>2</v>
      </c>
      <c r="AU56" s="5" cm="1">
        <f t="array" aca="1" ref="AU56" ca="1">INDIRECT(SUBSTITUTE(ADDRESS(1,COLUMN($C$9),4),"1","")&amp;SUMPRODUCT(($B$10:$D$26=INDIRECT(SUBSTITUTE(ADDRESS(1,COLUMN()-5,4),"1","")&amp;ROW()))*ROW($B$10:$D$26)))</f>
        <v>0</v>
      </c>
      <c r="AV56" s="2" t="s">
        <v>3</v>
      </c>
      <c r="AW56" s="5" cm="1">
        <f t="array" aca="1" ref="AW56" ca="1">INDIRECT(SUBSTITUTE(ADDRESS(1,COLUMN($D$9),4),"1","")&amp;SUMPRODUCT(($B$10:$D$26=INDIRECT(SUBSTITUTE(ADDRESS(1,COLUMN()-7,4),"1","")&amp;ROW()))*ROW($B$10:$D$26)))</f>
        <v>0</v>
      </c>
      <c r="AX56" s="2" t="s">
        <v>34</v>
      </c>
      <c r="AY56" s="3">
        <f>SUM(AV59:AV107)</f>
        <v>19147</v>
      </c>
      <c r="AZ56" s="6"/>
      <c r="BA56" s="119" t="s">
        <v>23</v>
      </c>
      <c r="BB56" s="120"/>
      <c r="BC56" s="120"/>
      <c r="BD56" s="121"/>
      <c r="BE56" s="2" t="s">
        <v>2</v>
      </c>
      <c r="BF56" s="5" cm="1">
        <f t="array" aca="1" ref="BF56" ca="1">INDIRECT(SUBSTITUTE(ADDRESS(1,COLUMN($C$9),4),"1","")&amp;SUMPRODUCT(($B$10:$D$26=INDIRECT(SUBSTITUTE(ADDRESS(1,COLUMN()-5,4),"1","")&amp;ROW()))*ROW($B$10:$D$26)))</f>
        <v>0</v>
      </c>
      <c r="BG56" s="2" t="s">
        <v>3</v>
      </c>
      <c r="BH56" s="5" cm="1">
        <f t="array" aca="1" ref="BH56" ca="1">INDIRECT(SUBSTITUTE(ADDRESS(1,COLUMN($D$9),4),"1","")&amp;SUMPRODUCT(($B$10:$D$26=INDIRECT(SUBSTITUTE(ADDRESS(1,COLUMN()-7,4),"1","")&amp;ROW()))*ROW($B$10:$D$26)))</f>
        <v>0</v>
      </c>
      <c r="BI56" s="2" t="s">
        <v>34</v>
      </c>
      <c r="BJ56" s="3">
        <f>SUM(BG59:BG107)</f>
        <v>14754</v>
      </c>
      <c r="BK56" s="6"/>
      <c r="BL56" s="119" t="s">
        <v>29</v>
      </c>
      <c r="BM56" s="120"/>
      <c r="BN56" s="120"/>
      <c r="BO56" s="121"/>
      <c r="BP56" s="2" t="s">
        <v>2</v>
      </c>
      <c r="BQ56" s="5" cm="1">
        <f t="array" aca="1" ref="BQ56" ca="1">INDIRECT(SUBSTITUTE(ADDRESS(1,COLUMN($C$9),4),"1","")&amp;SUMPRODUCT(($B$10:$D$26=INDIRECT(SUBSTITUTE(ADDRESS(1,COLUMN()-5,4),"1","")&amp;ROW()))*ROW($B$10:$D$26)))</f>
        <v>0</v>
      </c>
      <c r="BR56" s="2" t="s">
        <v>3</v>
      </c>
      <c r="BS56" s="5" cm="1">
        <f t="array" aca="1" ref="BS56" ca="1">INDIRECT(SUBSTITUTE(ADDRESS(1,COLUMN($D$9),4),"1","")&amp;SUMPRODUCT(($B$10:$D$26=INDIRECT(SUBSTITUTE(ADDRESS(1,COLUMN()-7,4),"1","")&amp;ROW()))*ROW($B$10:$D$26)))</f>
        <v>0</v>
      </c>
      <c r="BT56" s="2" t="s">
        <v>34</v>
      </c>
      <c r="BU56" s="3">
        <f>SUM(BR59:BR107)</f>
        <v>4068</v>
      </c>
      <c r="BV56" s="6"/>
      <c r="BW56" s="119" t="s">
        <v>31</v>
      </c>
      <c r="BX56" s="120"/>
      <c r="BY56" s="120"/>
      <c r="BZ56" s="121"/>
      <c r="CA56" s="2" t="s">
        <v>2</v>
      </c>
      <c r="CB56" s="5" cm="1">
        <f t="array" aca="1" ref="CB56" ca="1">INDIRECT(SUBSTITUTE(ADDRESS(1,COLUMN($C$9),4),"1","")&amp;SUMPRODUCT(($B$10:$D$26=INDIRECT(SUBSTITUTE(ADDRESS(1,COLUMN()-5,4),"1","")&amp;ROW()))*ROW($B$10:$D$26)))</f>
        <v>0</v>
      </c>
      <c r="CC56" s="2" t="s">
        <v>3</v>
      </c>
      <c r="CD56" s="5" cm="1">
        <f t="array" aca="1" ref="CD56" ca="1">INDIRECT(SUBSTITUTE(ADDRESS(1,COLUMN($D$9),4),"1","")&amp;SUMPRODUCT(($B$10:$D$26=INDIRECT(SUBSTITUTE(ADDRESS(1,COLUMN()-7,4),"1","")&amp;ROW()))*ROW($B$10:$D$26)))</f>
        <v>0</v>
      </c>
      <c r="CE56" s="2" t="s">
        <v>34</v>
      </c>
      <c r="CF56" s="3">
        <f>SUM(CC59:CC107)</f>
        <v>4583</v>
      </c>
      <c r="CG56" s="6"/>
      <c r="CH56" s="119" t="s">
        <v>32</v>
      </c>
      <c r="CI56" s="120"/>
      <c r="CJ56" s="120"/>
      <c r="CK56" s="121"/>
      <c r="CL56" s="2" t="s">
        <v>2</v>
      </c>
      <c r="CM56" s="5" cm="1">
        <f t="array" aca="1" ref="CM56" ca="1">INDIRECT(SUBSTITUTE(ADDRESS(1,COLUMN($C$9),4),"1","")&amp;SUMPRODUCT(($B$10:$D$26=INDIRECT(SUBSTITUTE(ADDRESS(1,COLUMN()-5,4),"1","")&amp;ROW()))*ROW($B$10:$D$26)))</f>
        <v>0</v>
      </c>
      <c r="CN56" s="2" t="s">
        <v>3</v>
      </c>
      <c r="CO56" s="5" cm="1">
        <f t="array" aca="1" ref="CO56" ca="1">INDIRECT(SUBSTITUTE(ADDRESS(1,COLUMN($D$9),4),"1","")&amp;SUMPRODUCT(($B$10:$D$26=INDIRECT(SUBSTITUTE(ADDRESS(1,COLUMN()-7,4),"1","")&amp;ROW()))*ROW($B$10:$D$26)))</f>
        <v>0</v>
      </c>
      <c r="CP56" s="2" t="s">
        <v>34</v>
      </c>
      <c r="CQ56" s="3">
        <f>SUM(CN59:CN107)</f>
        <v>7943</v>
      </c>
      <c r="CR56" s="6"/>
      <c r="CS56" s="119" t="s">
        <v>33</v>
      </c>
      <c r="CT56" s="120"/>
      <c r="CU56" s="120"/>
      <c r="CV56" s="121"/>
      <c r="CW56" s="2" t="s">
        <v>2</v>
      </c>
      <c r="CX56" s="5" cm="1">
        <f t="array" aca="1" ref="CX56" ca="1">INDIRECT(SUBSTITUTE(ADDRESS(1,COLUMN($C$9),4),"1","")&amp;SUMPRODUCT(($B$10:$D$26=INDIRECT(SUBSTITUTE(ADDRESS(1,COLUMN()-5,4),"1","")&amp;ROW()))*ROW($B$10:$D$26)))</f>
        <v>0</v>
      </c>
      <c r="CY56" s="2" t="s">
        <v>3</v>
      </c>
      <c r="CZ56" s="5" cm="1">
        <f t="array" aca="1" ref="CZ56" ca="1">INDIRECT(SUBSTITUTE(ADDRESS(1,COLUMN($D$9),4),"1","")&amp;SUMPRODUCT(($B$10:$D$26=INDIRECT(SUBSTITUTE(ADDRESS(1,COLUMN()-7,4),"1","")&amp;ROW()))*ROW($B$10:$D$26)))</f>
        <v>0</v>
      </c>
      <c r="DA56" s="2" t="s">
        <v>34</v>
      </c>
      <c r="DB56" s="3">
        <f>SUM(CY59:CY107)</f>
        <v>5222</v>
      </c>
    </row>
    <row r="57" spans="5:180" ht="16" customHeight="1" x14ac:dyDescent="0.2">
      <c r="E57" s="1"/>
      <c r="F57" s="86"/>
      <c r="G57" s="85">
        <v>5</v>
      </c>
      <c r="H57" s="36"/>
      <c r="I57" s="86"/>
      <c r="J57" s="85">
        <v>5</v>
      </c>
      <c r="K57" s="36"/>
      <c r="L57" s="86"/>
      <c r="M57" s="85">
        <v>5</v>
      </c>
      <c r="N57"/>
      <c r="O57" s="38"/>
      <c r="P57" s="83" t="str">
        <f t="shared" si="27"/>
        <v/>
      </c>
      <c r="Q57" s="164" t="str">
        <f t="shared" si="18"/>
        <v/>
      </c>
      <c r="R57" s="43"/>
      <c r="S57" s="16" t="str">
        <f t="shared" si="36"/>
        <v/>
      </c>
      <c r="T57" s="17" t="str">
        <f>IF(AND(O57&lt;&gt;"", R57&lt;&gt;""), SUM(R$4:R57), "")</f>
        <v/>
      </c>
      <c r="U57" s="16" t="str">
        <f t="shared" si="37"/>
        <v/>
      </c>
      <c r="W57" s="38">
        <v>94</v>
      </c>
      <c r="X57" s="83">
        <f t="shared" si="28"/>
        <v>5</v>
      </c>
      <c r="Y57" s="164">
        <f t="shared" si="19"/>
        <v>42</v>
      </c>
      <c r="Z57" s="43">
        <v>5005</v>
      </c>
      <c r="AA57" s="16">
        <f t="shared" si="38"/>
        <v>1.2913629620073534E-2</v>
      </c>
      <c r="AB57" s="17">
        <f>IF(AND(W57&lt;&gt;"", Z57&lt;&gt;""), SUM(Z$4:Z57), "")</f>
        <v>227187</v>
      </c>
      <c r="AC57" s="16">
        <f t="shared" si="39"/>
        <v>0.586175578920209</v>
      </c>
      <c r="AD57" s="1"/>
      <c r="AG57" s="1"/>
      <c r="AO57" s="9"/>
      <c r="AZ57" s="9"/>
      <c r="BK57" s="9"/>
      <c r="BV57" s="9"/>
      <c r="CG57" s="9"/>
      <c r="CR57" s="9"/>
    </row>
    <row r="58" spans="5:180" ht="16" customHeight="1" x14ac:dyDescent="0.2">
      <c r="E58" s="1"/>
      <c r="F58" s="86"/>
      <c r="G58" s="85">
        <v>6</v>
      </c>
      <c r="H58" s="36"/>
      <c r="I58" s="86"/>
      <c r="J58" s="85">
        <v>6</v>
      </c>
      <c r="K58" s="36"/>
      <c r="L58" s="86"/>
      <c r="M58" s="85">
        <v>6</v>
      </c>
      <c r="N58"/>
      <c r="O58" s="38"/>
      <c r="P58" s="83" t="str">
        <f t="shared" si="27"/>
        <v/>
      </c>
      <c r="Q58" s="164" t="str">
        <f t="shared" si="18"/>
        <v/>
      </c>
      <c r="R58" s="43"/>
      <c r="S58" s="16" t="str">
        <f t="shared" si="36"/>
        <v/>
      </c>
      <c r="T58" s="17" t="str">
        <f>IF(AND(O58&lt;&gt;"", R58&lt;&gt;""), SUM(R$4:R58), "")</f>
        <v/>
      </c>
      <c r="U58" s="16" t="str">
        <f t="shared" si="37"/>
        <v/>
      </c>
      <c r="W58" s="38">
        <v>93</v>
      </c>
      <c r="X58" s="83">
        <f t="shared" si="28"/>
        <v>5</v>
      </c>
      <c r="Y58" s="164">
        <f t="shared" si="19"/>
        <v>41</v>
      </c>
      <c r="Z58" s="43">
        <v>4435</v>
      </c>
      <c r="AA58" s="16">
        <f t="shared" si="38"/>
        <v>1.1442946526478747E-2</v>
      </c>
      <c r="AB58" s="17">
        <f>IF(AND(W58&lt;&gt;"", Z58&lt;&gt;""), SUM(Z$4:Z58), "")</f>
        <v>231622</v>
      </c>
      <c r="AC58" s="16">
        <f t="shared" si="39"/>
        <v>0.5976185254466877</v>
      </c>
      <c r="AD58" s="1"/>
      <c r="AE58" s="13" t="s">
        <v>30</v>
      </c>
      <c r="AF58" s="13" t="s">
        <v>13</v>
      </c>
      <c r="AG58" s="1"/>
      <c r="AH58" s="11" t="s">
        <v>13</v>
      </c>
      <c r="AI58" s="11" t="s">
        <v>14</v>
      </c>
      <c r="AJ58" s="11" t="s">
        <v>15</v>
      </c>
      <c r="AK58" s="11" t="s">
        <v>16</v>
      </c>
      <c r="AL58" s="11" t="s">
        <v>17</v>
      </c>
      <c r="AM58" s="12" t="s">
        <v>18</v>
      </c>
      <c r="AN58" s="2" t="s">
        <v>19</v>
      </c>
      <c r="AO58" s="14"/>
      <c r="AP58" s="13" t="s">
        <v>30</v>
      </c>
      <c r="AQ58" s="13" t="s">
        <v>13</v>
      </c>
      <c r="AR58" s="1"/>
      <c r="AS58" s="11" t="s">
        <v>13</v>
      </c>
      <c r="AT58" s="11" t="s">
        <v>14</v>
      </c>
      <c r="AU58" s="11" t="s">
        <v>15</v>
      </c>
      <c r="AV58" s="11" t="s">
        <v>16</v>
      </c>
      <c r="AW58" s="11" t="s">
        <v>17</v>
      </c>
      <c r="AX58" s="12" t="s">
        <v>18</v>
      </c>
      <c r="AY58" s="2" t="s">
        <v>19</v>
      </c>
      <c r="AZ58" s="14"/>
      <c r="BA58" s="13" t="s">
        <v>30</v>
      </c>
      <c r="BB58" s="13" t="s">
        <v>13</v>
      </c>
      <c r="BC58" s="1"/>
      <c r="BD58" s="11" t="s">
        <v>13</v>
      </c>
      <c r="BE58" s="11" t="s">
        <v>14</v>
      </c>
      <c r="BF58" s="11" t="s">
        <v>15</v>
      </c>
      <c r="BG58" s="11" t="s">
        <v>16</v>
      </c>
      <c r="BH58" s="11" t="s">
        <v>17</v>
      </c>
      <c r="BI58" s="12" t="s">
        <v>18</v>
      </c>
      <c r="BJ58" s="2" t="s">
        <v>19</v>
      </c>
      <c r="BK58" s="14"/>
      <c r="BL58" s="13" t="s">
        <v>30</v>
      </c>
      <c r="BM58" s="13" t="s">
        <v>13</v>
      </c>
      <c r="BN58" s="1"/>
      <c r="BO58" s="11" t="s">
        <v>13</v>
      </c>
      <c r="BP58" s="11" t="s">
        <v>14</v>
      </c>
      <c r="BQ58" s="11" t="s">
        <v>15</v>
      </c>
      <c r="BR58" s="11" t="s">
        <v>16</v>
      </c>
      <c r="BS58" s="11" t="s">
        <v>17</v>
      </c>
      <c r="BT58" s="12" t="s">
        <v>18</v>
      </c>
      <c r="BU58" s="2" t="s">
        <v>19</v>
      </c>
      <c r="BV58" s="14"/>
      <c r="BW58" s="13" t="s">
        <v>30</v>
      </c>
      <c r="BX58" s="13" t="s">
        <v>13</v>
      </c>
      <c r="BY58" s="1"/>
      <c r="BZ58" s="11" t="s">
        <v>13</v>
      </c>
      <c r="CA58" s="11" t="s">
        <v>14</v>
      </c>
      <c r="CB58" s="11" t="s">
        <v>15</v>
      </c>
      <c r="CC58" s="11" t="s">
        <v>16</v>
      </c>
      <c r="CD58" s="11" t="s">
        <v>17</v>
      </c>
      <c r="CE58" s="12" t="s">
        <v>18</v>
      </c>
      <c r="CF58" s="2" t="s">
        <v>19</v>
      </c>
      <c r="CG58" s="14"/>
      <c r="CH58" s="13" t="s">
        <v>30</v>
      </c>
      <c r="CI58" s="13" t="s">
        <v>13</v>
      </c>
      <c r="CJ58" s="1"/>
      <c r="CK58" s="11" t="s">
        <v>13</v>
      </c>
      <c r="CL58" s="11" t="s">
        <v>14</v>
      </c>
      <c r="CM58" s="11" t="s">
        <v>15</v>
      </c>
      <c r="CN58" s="11" t="s">
        <v>16</v>
      </c>
      <c r="CO58" s="11" t="s">
        <v>17</v>
      </c>
      <c r="CP58" s="12" t="s">
        <v>18</v>
      </c>
      <c r="CQ58" s="2" t="s">
        <v>19</v>
      </c>
      <c r="CR58" s="14"/>
      <c r="CS58" s="13" t="s">
        <v>30</v>
      </c>
      <c r="CT58" s="13" t="s">
        <v>13</v>
      </c>
      <c r="CU58" s="1"/>
      <c r="CV58" s="11" t="s">
        <v>13</v>
      </c>
      <c r="CW58" s="11" t="s">
        <v>14</v>
      </c>
      <c r="CX58" s="11" t="s">
        <v>15</v>
      </c>
      <c r="CY58" s="11" t="s">
        <v>16</v>
      </c>
      <c r="CZ58" s="11" t="s">
        <v>17</v>
      </c>
      <c r="DA58" s="12" t="s">
        <v>18</v>
      </c>
      <c r="DB58" s="2" t="s">
        <v>19</v>
      </c>
    </row>
    <row r="59" spans="5:180" ht="16" customHeight="1" x14ac:dyDescent="0.2">
      <c r="E59" s="1"/>
      <c r="F59" s="86"/>
      <c r="G59" s="85">
        <v>7</v>
      </c>
      <c r="H59" s="36"/>
      <c r="I59" s="86"/>
      <c r="J59" s="85">
        <v>7</v>
      </c>
      <c r="K59" s="36"/>
      <c r="L59" s="86"/>
      <c r="M59" s="85">
        <v>7</v>
      </c>
      <c r="N59"/>
      <c r="O59" s="38"/>
      <c r="P59" s="83" t="str">
        <f t="shared" si="27"/>
        <v/>
      </c>
      <c r="Q59" s="164" t="str">
        <f t="shared" si="18"/>
        <v/>
      </c>
      <c r="R59" s="43"/>
      <c r="S59" s="16" t="str">
        <f t="shared" si="36"/>
        <v/>
      </c>
      <c r="T59" s="17" t="str">
        <f>IF(AND(O59&lt;&gt;"", R59&lt;&gt;""), SUM(R$4:R59), "")</f>
        <v/>
      </c>
      <c r="U59" s="16" t="str">
        <f t="shared" si="37"/>
        <v/>
      </c>
      <c r="W59" s="38">
        <v>92</v>
      </c>
      <c r="X59" s="83">
        <f t="shared" si="28"/>
        <v>5</v>
      </c>
      <c r="Y59" s="164">
        <f t="shared" si="19"/>
        <v>40</v>
      </c>
      <c r="Z59" s="43">
        <v>4492</v>
      </c>
      <c r="AA59" s="16">
        <f t="shared" si="38"/>
        <v>1.1590014835838224E-2</v>
      </c>
      <c r="AB59" s="17">
        <f>IF(AND(W59&lt;&gt;"", Z59&lt;&gt;""), SUM(Z$4:Z59), "")</f>
        <v>236114</v>
      </c>
      <c r="AC59" s="16">
        <f t="shared" si="39"/>
        <v>0.60920854028252591</v>
      </c>
      <c r="AD59" s="1"/>
      <c r="AE59" s="19">
        <v>50</v>
      </c>
      <c r="AF59" s="20" t="e" cm="1">
        <f t="array" aca="1" ref="AF59" ca="1">(AE59-INDIRECT(SUBSTITUTE(ADDRESS(1,COLUMN($C$9),4),"1","")&amp;SUMPRODUCT(($B$10:$D$26=INDIRECT(SUBSTITUTE(ADDRESS(1,COLUMN()-1,4),"1","")&amp;ROW()-3))*ROW($B$10:$D$26))))/INDIRECT(SUBSTITUTE(ADDRESS(1,COLUMN($D$9),4),"1","")&amp;SUMPRODUCT(($B$10:$D$26=INDIRECT(SUBSTITUTE(ADDRESS(1,COLUMN()-1,4),"1","")&amp;ROW()-3))*ROW($B$10:$D$26)))*10+50</f>
        <v>#DIV/0!</v>
      </c>
      <c r="AG59" s="8"/>
      <c r="AH59" s="48">
        <v>68</v>
      </c>
      <c r="AI59" s="37">
        <f>IF(AND(AH59&lt;&gt;"", AK59&lt;&gt;""), 1, "")</f>
        <v>1</v>
      </c>
      <c r="AJ59" s="25">
        <f>IF(AND(AH59&lt;&gt;"", AK59&lt;&gt;""), ROUND(100*(1-(0+AM59)/2/AN$56), $B$39), "")</f>
        <v>99</v>
      </c>
      <c r="AK59" s="51">
        <v>411</v>
      </c>
      <c r="AL59" s="18">
        <f t="shared" ref="AL59:AL90" si="54">IF(AND(AH59&lt;&gt;"", AK59&lt;&gt;""), AK59/AN$56, "")</f>
        <v>2.1484579194981705E-2</v>
      </c>
      <c r="AM59" s="26">
        <f>IF(AND(AH59&lt;&gt;"", AK59&lt;&gt;""), SUM(AK$59:AK59), "")</f>
        <v>411</v>
      </c>
      <c r="AN59" s="18">
        <f t="shared" ref="AN59:AN90" si="55">IF(AND(AH59&lt;&gt;"", AK59&lt;&gt;""), AM59/AN$56, "")</f>
        <v>2.1484579194981705E-2</v>
      </c>
      <c r="AO59" s="14"/>
      <c r="AP59" s="19">
        <v>50</v>
      </c>
      <c r="AQ59" s="20" t="e" cm="1">
        <f t="array" aca="1" ref="AQ59" ca="1">(AP59-INDIRECT(SUBSTITUTE(ADDRESS(1,COLUMN($C$9),4),"1","")&amp;SUMPRODUCT(($B$10:$D$26=INDIRECT(SUBSTITUTE(ADDRESS(1,COLUMN()-1,4),"1","")&amp;ROW()-3))*ROW($B$10:$D$26))))/INDIRECT(SUBSTITUTE(ADDRESS(1,COLUMN($D$9),4),"1","")&amp;SUMPRODUCT(($B$10:$D$26=INDIRECT(SUBSTITUTE(ADDRESS(1,COLUMN()-1,4),"1","")&amp;ROW()-3))*ROW($B$10:$D$26)))*10+50</f>
        <v>#DIV/0!</v>
      </c>
      <c r="AR59" s="8"/>
      <c r="AS59" s="48">
        <v>69</v>
      </c>
      <c r="AT59" s="37">
        <f>IF(AND(AS59&lt;&gt;"", AV59&lt;&gt;""), 1, "")</f>
        <v>1</v>
      </c>
      <c r="AU59" s="25">
        <f>IF(AND(AS59&lt;&gt;"", AV59&lt;&gt;""), ROUND(100*(1-(0+AX59)/2/AY$56), $B$39), "")</f>
        <v>98</v>
      </c>
      <c r="AV59" s="51">
        <v>945</v>
      </c>
      <c r="AW59" s="18">
        <f t="shared" ref="AW59:AW90" si="56">IF(AND(AS59&lt;&gt;"", AV59&lt;&gt;""), AV59/AY$56, "")</f>
        <v>4.9354990337911943E-2</v>
      </c>
      <c r="AX59" s="26">
        <f>IF(AND(AS59&lt;&gt;"", AV59&lt;&gt;""), SUM(AV$59:AV59), "")</f>
        <v>945</v>
      </c>
      <c r="AY59" s="18">
        <f t="shared" ref="AY59:AY90" si="57">IF(AND(AS59&lt;&gt;"", AV59&lt;&gt;""), AX59/AY$56, "")</f>
        <v>4.9354990337911943E-2</v>
      </c>
      <c r="AZ59" s="14"/>
      <c r="BA59" s="19">
        <v>50</v>
      </c>
      <c r="BB59" s="20" t="e" cm="1">
        <f t="array" aca="1" ref="BB59" ca="1">(BA59-INDIRECT(SUBSTITUTE(ADDRESS(1,COLUMN($C$9),4),"1","")&amp;SUMPRODUCT(($B$10:$D$26=INDIRECT(SUBSTITUTE(ADDRESS(1,COLUMN()-1,4),"1","")&amp;ROW()-3))*ROW($B$10:$D$26))))/INDIRECT(SUBSTITUTE(ADDRESS(1,COLUMN($D$9),4),"1","")&amp;SUMPRODUCT(($B$10:$D$26=INDIRECT(SUBSTITUTE(ADDRESS(1,COLUMN()-1,4),"1","")&amp;ROW()-3))*ROW($B$10:$D$26)))*10+50</f>
        <v>#DIV/0!</v>
      </c>
      <c r="BC59" s="8"/>
      <c r="BD59" s="48">
        <v>72</v>
      </c>
      <c r="BE59" s="37">
        <f>IF(AND(BD59&lt;&gt;"", BG59&lt;&gt;""), 1, "")</f>
        <v>1</v>
      </c>
      <c r="BF59" s="25">
        <f>IF(AND(BD59&lt;&gt;"", BG59&lt;&gt;""), ROUND(100*(1-(0+BI59)/2/BJ$56), $B$39), "")</f>
        <v>99</v>
      </c>
      <c r="BG59" s="51">
        <v>281</v>
      </c>
      <c r="BH59" s="18">
        <f t="shared" ref="BH59:BH90" si="58">IF(AND(BD59&lt;&gt;"", BG59&lt;&gt;""), BG59/BJ$56, "")</f>
        <v>1.9045682526772401E-2</v>
      </c>
      <c r="BI59" s="26">
        <f>IF(AND(BD59&lt;&gt;"", BG59&lt;&gt;""), SUM(BG$59:BG59), "")</f>
        <v>281</v>
      </c>
      <c r="BJ59" s="18">
        <f t="shared" ref="BJ59:BJ90" si="59">IF(AND(BD59&lt;&gt;"", BG59&lt;&gt;""), BI59/BJ$56, "")</f>
        <v>1.9045682526772401E-2</v>
      </c>
      <c r="BK59" s="14"/>
      <c r="BL59" s="10">
        <v>50</v>
      </c>
      <c r="BM59" s="24" t="e" cm="1">
        <f t="array" aca="1" ref="BM59" ca="1">(BL59-INDIRECT(SUBSTITUTE(ADDRESS(1,COLUMN($C$9),4),"1","")&amp;SUMPRODUCT(($B$10:$D$26=INDIRECT(SUBSTITUTE(ADDRESS(1,COLUMN()-1,4),"1","")&amp;ROW()-3))*ROW($B$10:$D$26))))/INDIRECT(SUBSTITUTE(ADDRESS(1,COLUMN($D$9),4),"1","")&amp;SUMPRODUCT(($B$10:$D$26=INDIRECT(SUBSTITUTE(ADDRESS(1,COLUMN()-1,4),"1","")&amp;ROW()-3))*ROW($B$10:$D$26)))*10+50</f>
        <v>#DIV/0!</v>
      </c>
      <c r="BN59" s="8"/>
      <c r="BO59" s="45">
        <v>80</v>
      </c>
      <c r="BP59" s="37">
        <f>IF(AND(BO59&lt;&gt;"", BR59&lt;&gt;""), 1, "")</f>
        <v>1</v>
      </c>
      <c r="BQ59" s="21">
        <f>IF(AND(BO59&lt;&gt;"", BR59&lt;&gt;""), ROUND(100*(1-(0+BT59)/2/BU$56), $B$39), "")</f>
        <v>100</v>
      </c>
      <c r="BR59" s="50">
        <v>15</v>
      </c>
      <c r="BS59" s="22">
        <f t="shared" ref="BS59:BS90" si="60">IF(AND(BO59&lt;&gt;"", BR59&lt;&gt;""), BR59/BU$56, "")</f>
        <v>3.687315634218289E-3</v>
      </c>
      <c r="BT59" s="23">
        <f>IF(AND(BO59&lt;&gt;"", BR59&lt;&gt;""), SUM(BR$59:BR59), "")</f>
        <v>15</v>
      </c>
      <c r="BU59" s="22">
        <f t="shared" ref="BU59:BU90" si="61">IF(AND(BO59&lt;&gt;"", BR59&lt;&gt;""), BT59/BU$56, "")</f>
        <v>3.687315634218289E-3</v>
      </c>
      <c r="BV59" s="14"/>
      <c r="BW59" s="10">
        <v>50</v>
      </c>
      <c r="BX59" s="24" t="e" cm="1">
        <f t="array" aca="1" ref="BX59" ca="1">(BW59-INDIRECT(SUBSTITUTE(ADDRESS(1,COLUMN($C$9),4),"1","")&amp;SUMPRODUCT(($B$10:$D$26=INDIRECT(SUBSTITUTE(ADDRESS(1,COLUMN()-1,4),"1","")&amp;ROW()-3))*ROW($B$10:$D$26))))/INDIRECT(SUBSTITUTE(ADDRESS(1,COLUMN($D$9),4),"1","")&amp;SUMPRODUCT(($B$10:$D$26=INDIRECT(SUBSTITUTE(ADDRESS(1,COLUMN()-1,4),"1","")&amp;ROW()-3))*ROW($B$10:$D$26)))*10+50</f>
        <v>#DIV/0!</v>
      </c>
      <c r="BY59" s="8"/>
      <c r="BZ59" s="48">
        <v>78</v>
      </c>
      <c r="CA59" s="37">
        <f>IF(AND(BZ59&lt;&gt;"", CC59&lt;&gt;""), 1, "")</f>
        <v>1</v>
      </c>
      <c r="CB59" s="25">
        <f>IF(AND(BZ59&lt;&gt;"", CC59&lt;&gt;""), ROUND(100*(1-(0+CE59)/2/CF$56), $B$39), "")</f>
        <v>100</v>
      </c>
      <c r="CC59" s="51">
        <v>31</v>
      </c>
      <c r="CD59" s="18">
        <f t="shared" ref="CD59:CD90" si="62">IF(AND(BZ59&lt;&gt;"", CC59&lt;&gt;""), CC59/CF$56, "")</f>
        <v>6.7641283002400172E-3</v>
      </c>
      <c r="CE59" s="26">
        <f>IF(AND(BZ59&lt;&gt;"", CC59&lt;&gt;""), SUM(CC$59:CC59), "")</f>
        <v>31</v>
      </c>
      <c r="CF59" s="18">
        <f t="shared" ref="CF59:CF90" si="63">IF(AND(BZ59&lt;&gt;"", CC59&lt;&gt;""), CE59/CF$56, "")</f>
        <v>6.7641283002400172E-3</v>
      </c>
      <c r="CG59" s="14"/>
      <c r="CH59" s="10">
        <v>50</v>
      </c>
      <c r="CI59" s="24" t="e" cm="1">
        <f t="array" aca="1" ref="CI59" ca="1">(CH59-INDIRECT(SUBSTITUTE(ADDRESS(1,COLUMN($C$9),4),"1","")&amp;SUMPRODUCT(($B$10:$D$26=INDIRECT(SUBSTITUTE(ADDRESS(1,COLUMN()-1,4),"1","")&amp;ROW()-3))*ROW($B$10:$D$26))))/INDIRECT(SUBSTITUTE(ADDRESS(1,COLUMN($D$9),4),"1","")&amp;SUMPRODUCT(($B$10:$D$26=INDIRECT(SUBSTITUTE(ADDRESS(1,COLUMN()-1,4),"1","")&amp;ROW()-3))*ROW($B$10:$D$26)))*10+50</f>
        <v>#DIV/0!</v>
      </c>
      <c r="CJ59" s="8"/>
      <c r="CK59" s="49">
        <v>75</v>
      </c>
      <c r="CL59" s="37">
        <f>IF(AND(CK59&lt;&gt;"", CN59&lt;&gt;""), 1, "")</f>
        <v>1</v>
      </c>
      <c r="CM59" s="25">
        <f>IF(AND(CK59&lt;&gt;"", CN59&lt;&gt;""), ROUND(100*(1-(0+CP59)/2/CQ$56), $B$39), "")</f>
        <v>99</v>
      </c>
      <c r="CN59" s="52">
        <v>139</v>
      </c>
      <c r="CO59" s="18">
        <f t="shared" ref="CO59:CO96" si="64">IF(AND(CK59&lt;&gt;"", CN59&lt;&gt;""), CN59/CQ$56, "")</f>
        <v>1.7499685257459398E-2</v>
      </c>
      <c r="CP59" s="26">
        <f>IF(AND(CK59&lt;&gt;"", CN59&lt;&gt;""), SUM(CN$59:CN59), "")</f>
        <v>139</v>
      </c>
      <c r="CQ59" s="18">
        <f t="shared" ref="CQ59:CQ96" si="65">IF(AND(CK59&lt;&gt;"", CN59&lt;&gt;""), CP59/CQ$56, "")</f>
        <v>1.7499685257459398E-2</v>
      </c>
      <c r="CR59" s="14"/>
      <c r="CS59" s="10">
        <v>50</v>
      </c>
      <c r="CT59" s="24" t="e" cm="1">
        <f t="array" aca="1" ref="CT59" ca="1">(CS59-INDIRECT(SUBSTITUTE(ADDRESS(1,COLUMN($C$9),4),"1","")&amp;SUMPRODUCT(($B$10:$D$26=INDIRECT(SUBSTITUTE(ADDRESS(1,COLUMN()-1,4),"1","")&amp;ROW()-3))*ROW($B$10:$D$26))))/INDIRECT(SUBSTITUTE(ADDRESS(1,COLUMN($D$9),4),"1","")&amp;SUMPRODUCT(($B$10:$D$26=INDIRECT(SUBSTITUTE(ADDRESS(1,COLUMN()-1,4),"1","")&amp;ROW()-3))*ROW($B$10:$D$26)))*10+50</f>
        <v>#DIV/0!</v>
      </c>
      <c r="CU59" s="8"/>
      <c r="CV59" s="48">
        <v>85</v>
      </c>
      <c r="CW59" s="37">
        <f>IF(AND(CV59&lt;&gt;"", CY59&lt;&gt;""), 1, "")</f>
        <v>1</v>
      </c>
      <c r="CX59" s="25">
        <f>IF(AND(CV59&lt;&gt;"", CY59&lt;&gt;""), ROUND(100*(1-(0+DA59)/2/DB$56), $B$39), "")</f>
        <v>100</v>
      </c>
      <c r="CY59" s="51">
        <v>2</v>
      </c>
      <c r="CZ59" s="18">
        <f t="shared" ref="CZ59:CZ90" si="66">IF(AND(CV59&lt;&gt;"", CY59&lt;&gt;""), CY59/DB$56, "")</f>
        <v>3.8299502106472615E-4</v>
      </c>
      <c r="DA59" s="26">
        <f>IF(AND(CV59&lt;&gt;"", CY59&lt;&gt;""), SUM(CY$59:CY59), "")</f>
        <v>2</v>
      </c>
      <c r="DB59" s="18">
        <f t="shared" ref="DB59:DB90" si="67">IF(AND(CV59&lt;&gt;"", CY59&lt;&gt;""), DA59/DB$56, "")</f>
        <v>3.8299502106472615E-4</v>
      </c>
    </row>
    <row r="60" spans="5:180" ht="16" customHeight="1" x14ac:dyDescent="0.2">
      <c r="E60" s="1"/>
      <c r="F60" s="86"/>
      <c r="G60" s="85">
        <v>8</v>
      </c>
      <c r="H60" s="36"/>
      <c r="I60" s="86"/>
      <c r="J60" s="85">
        <v>8</v>
      </c>
      <c r="K60" s="36"/>
      <c r="L60" s="86"/>
      <c r="M60" s="85">
        <v>8</v>
      </c>
      <c r="N60"/>
      <c r="O60" s="38"/>
      <c r="P60" s="83" t="str">
        <f t="shared" si="27"/>
        <v/>
      </c>
      <c r="Q60" s="164" t="str">
        <f t="shared" si="18"/>
        <v/>
      </c>
      <c r="R60" s="43"/>
      <c r="S60" s="16" t="str">
        <f t="shared" si="36"/>
        <v/>
      </c>
      <c r="T60" s="17" t="str">
        <f>IF(AND(O60&lt;&gt;"", R60&lt;&gt;""), SUM(R$4:R60), "")</f>
        <v/>
      </c>
      <c r="U60" s="16" t="str">
        <f t="shared" si="37"/>
        <v/>
      </c>
      <c r="W60" s="38">
        <v>91</v>
      </c>
      <c r="X60" s="83">
        <f t="shared" si="28"/>
        <v>6</v>
      </c>
      <c r="Y60" s="164">
        <f t="shared" si="19"/>
        <v>39</v>
      </c>
      <c r="Z60" s="43">
        <v>4347</v>
      </c>
      <c r="AA60" s="16">
        <f t="shared" si="38"/>
        <v>1.1215893697993936E-2</v>
      </c>
      <c r="AB60" s="17">
        <f>IF(AND(W60&lt;&gt;"", Z60&lt;&gt;""), SUM(Z$4:Z60), "")</f>
        <v>240461</v>
      </c>
      <c r="AC60" s="16">
        <f t="shared" si="39"/>
        <v>0.62042443398051994</v>
      </c>
      <c r="AD60" s="1"/>
      <c r="AE60" s="19">
        <v>48</v>
      </c>
      <c r="AF60" s="20" t="e" cm="1">
        <f t="array" aca="1" ref="AF60" ca="1">(AE60-INDIRECT(SUBSTITUTE(ADDRESS(1,COLUMN($C$9),4),"1","")&amp;SUMPRODUCT(($B$10:$D$26=INDIRECT(SUBSTITUTE(ADDRESS(1,COLUMN()-1,4),"1","")&amp;ROW()-4))*ROW($B$10:$D$26))))/INDIRECT(SUBSTITUTE(ADDRESS(1,COLUMN($D$9),4),"1","")&amp;SUMPRODUCT(($B$10:$D$26=INDIRECT(SUBSTITUTE(ADDRESS(1,COLUMN()-1,4),"1","")&amp;ROW()-4))*ROW($B$10:$D$26)))*10+50</f>
        <v>#DIV/0!</v>
      </c>
      <c r="AG60" s="8"/>
      <c r="AH60" s="49">
        <v>66</v>
      </c>
      <c r="AI60" s="83">
        <f>IF(AND(AH60&lt;&gt;"", AK60&lt;&gt;""), IF(AN59 &gt; $A$36, $B$37, IF(AN59 &gt; $A$35, $B$36, IF(AN59 &gt; $A$34, $B$35, IF(AN59 &gt; $A$33, $B$34, IF(AN59 &gt; $A$32, $B$33,IF(AN59 &gt; $A$31, $B$32, IF(AN59 &gt; $A$30, $B$31, IF(AN59 &gt; $A$29, $B$30, $B$29)))))))), "")</f>
        <v>1</v>
      </c>
      <c r="AJ60" s="15">
        <f>IF(AND(AH60&lt;&gt;"", AK60&lt;&gt;""), ROUND(100*(1-(AM59+AM60)/2/AN$56), $B$39), "")</f>
        <v>97</v>
      </c>
      <c r="AK60" s="52">
        <v>144</v>
      </c>
      <c r="AL60" s="16">
        <f t="shared" si="54"/>
        <v>7.5274438055410349E-3</v>
      </c>
      <c r="AM60" s="17">
        <f>IF(AND(AH60&lt;&gt;"", AK60&lt;&gt;""), SUM(AK$59:AK60), "")</f>
        <v>555</v>
      </c>
      <c r="AN60" s="16">
        <f t="shared" si="55"/>
        <v>2.9012023000522739E-2</v>
      </c>
      <c r="AO60" s="14"/>
      <c r="AP60" s="19">
        <v>48</v>
      </c>
      <c r="AQ60" s="20" t="e" cm="1">
        <f t="array" aca="1" ref="AQ60" ca="1">(AP60-INDIRECT(SUBSTITUTE(ADDRESS(1,COLUMN($C$9),4),"1","")&amp;SUMPRODUCT(($B$10:$D$26=INDIRECT(SUBSTITUTE(ADDRESS(1,COLUMN()-1,4),"1","")&amp;ROW()-4))*ROW($B$10:$D$26))))/INDIRECT(SUBSTITUTE(ADDRESS(1,COLUMN($D$9),4),"1","")&amp;SUMPRODUCT(($B$10:$D$26=INDIRECT(SUBSTITUTE(ADDRESS(1,COLUMN()-1,4),"1","")&amp;ROW()-4))*ROW($B$10:$D$26)))*10+50</f>
        <v>#DIV/0!</v>
      </c>
      <c r="AR60" s="8"/>
      <c r="AS60" s="49">
        <v>67</v>
      </c>
      <c r="AT60" s="83">
        <f>IF(AND(AS60&lt;&gt;"", AV60&lt;&gt;""), IF(AY59 &gt; $A$36, $B$37, IF(AY59 &gt; $A$35, $B$36, IF(AY59 &gt; $A$34, $B$35, IF(AY59 &gt; $A$33, $B$34, IF(AY59 &gt; $A$32, $B$33,IF(AY59 &gt; $A$31, $B$32, IF(AY59 &gt; $A$30, $B$31, IF(AY59 &gt; $A$29, $B$30, $B$29)))))))), "")</f>
        <v>2</v>
      </c>
      <c r="AU60" s="15">
        <f>IF(AND(AS60&lt;&gt;"", AV60&lt;&gt;""), ROUND(100*(1-(AX59+AX60)/2/AY$56), $B$39), "")</f>
        <v>93</v>
      </c>
      <c r="AV60" s="52">
        <v>822</v>
      </c>
      <c r="AW60" s="16">
        <f t="shared" si="56"/>
        <v>4.2931007468532928E-2</v>
      </c>
      <c r="AX60" s="17">
        <f>IF(AND(AS60&lt;&gt;"", AV60&lt;&gt;""), SUM(AV$59:AV60), "")</f>
        <v>1767</v>
      </c>
      <c r="AY60" s="16">
        <f t="shared" si="57"/>
        <v>9.2285997806444878E-2</v>
      </c>
      <c r="AZ60" s="14"/>
      <c r="BA60" s="19">
        <v>48</v>
      </c>
      <c r="BB60" s="20" t="e" cm="1">
        <f t="array" aca="1" ref="BB60" ca="1">(BA60-INDIRECT(SUBSTITUTE(ADDRESS(1,COLUMN($C$9),4),"1","")&amp;SUMPRODUCT(($B$10:$D$26=INDIRECT(SUBSTITUTE(ADDRESS(1,COLUMN()-1,4),"1","")&amp;ROW()-4))*ROW($B$10:$D$26))))/INDIRECT(SUBSTITUTE(ADDRESS(1,COLUMN($D$9),4),"1","")&amp;SUMPRODUCT(($B$10:$D$26=INDIRECT(SUBSTITUTE(ADDRESS(1,COLUMN()-1,4),"1","")&amp;ROW()-4))*ROW($B$10:$D$26)))*10+50</f>
        <v>#DIV/0!</v>
      </c>
      <c r="BC60" s="8"/>
      <c r="BD60" s="49">
        <v>71</v>
      </c>
      <c r="BE60" s="83">
        <f>IF(AND(BD60&lt;&gt;"", BG60&lt;&gt;""), IF(BJ59 &gt; $A$36, $B$37, IF(BJ59 &gt; $A$35, $B$36, IF(BJ59 &gt; $A$34, $B$35, IF(BJ59 &gt; $A$33, $B$34, IF(BJ59 &gt; $A$32, $B$33,IF(BJ59 &gt; $A$31, $B$32, IF(BJ59 &gt; $A$30, $B$31, IF(BJ59 &gt; $A$29, $B$30, $B$29)))))))), "")</f>
        <v>1</v>
      </c>
      <c r="BF60" s="15">
        <f>IF(AND(BD60&lt;&gt;"", BG60&lt;&gt;""), ROUND(100*(1-(BI59+BI60)/2/BJ$56), $B$39), "")</f>
        <v>97</v>
      </c>
      <c r="BG60" s="52">
        <v>351</v>
      </c>
      <c r="BH60" s="16">
        <f t="shared" si="58"/>
        <v>2.3790158601057342E-2</v>
      </c>
      <c r="BI60" s="17">
        <f>IF(AND(BD60&lt;&gt;"", BG60&lt;&gt;""), SUM(BG$59:BG60), "")</f>
        <v>632</v>
      </c>
      <c r="BJ60" s="16">
        <f t="shared" si="59"/>
        <v>4.2835841127829739E-2</v>
      </c>
      <c r="BK60" s="14"/>
      <c r="BL60" s="27">
        <v>48</v>
      </c>
      <c r="BM60" s="20" t="e" cm="1">
        <f t="array" aca="1" ref="BM60" ca="1">(BL60-INDIRECT(SUBSTITUTE(ADDRESS(1,COLUMN($C$9),4),"1","")&amp;SUMPRODUCT(($B$10:$D$26=INDIRECT(SUBSTITUTE(ADDRESS(1,COLUMN()-1,4),"1","")&amp;ROW()-4))*ROW($B$10:$D$26))))/INDIRECT(SUBSTITUTE(ADDRESS(1,COLUMN($D$9),4),"1","")&amp;SUMPRODUCT(($B$10:$D$26=INDIRECT(SUBSTITUTE(ADDRESS(1,COLUMN()-1,4),"1","")&amp;ROW()-4))*ROW($B$10:$D$26)))*10+50</f>
        <v>#DIV/0!</v>
      </c>
      <c r="BN60" s="8"/>
      <c r="BO60" s="48">
        <v>78</v>
      </c>
      <c r="BP60" s="83">
        <f>IF(AND(BO60&lt;&gt;"", BR60&lt;&gt;""), IF(BU59 &gt; $A$36, $B$37, IF(BU59 &gt; $A$35, $B$36, IF(BU59 &gt; $A$34, $B$35, IF(BU59 &gt; $A$33, $B$34, IF(BU59 &gt; $A$32, $B$33,IF(BU59 &gt; $A$31, $B$32, IF(BU59 &gt; $A$30, $B$31, IF(BU59 &gt; $A$29, $B$30, $B$29)))))))), "")</f>
        <v>1</v>
      </c>
      <c r="BQ60" s="25">
        <f>IF(AND(BO60&lt;&gt;"", BR60&lt;&gt;""), ROUND(100*(1-(BT59+BT60)/2/BU$56), $B$39), "")</f>
        <v>99</v>
      </c>
      <c r="BR60" s="51">
        <v>24</v>
      </c>
      <c r="BS60" s="18">
        <f t="shared" si="60"/>
        <v>5.8997050147492625E-3</v>
      </c>
      <c r="BT60" s="26">
        <f>IF(AND(BO60&lt;&gt;"", BR60&lt;&gt;""), SUM(BR$59:BR60), "")</f>
        <v>39</v>
      </c>
      <c r="BU60" s="18">
        <f t="shared" si="61"/>
        <v>9.5870206489675515E-3</v>
      </c>
      <c r="BV60" s="14"/>
      <c r="BW60" s="27">
        <v>48</v>
      </c>
      <c r="BX60" s="20" t="e" cm="1">
        <f t="array" aca="1" ref="BX60" ca="1">(BW60-INDIRECT(SUBSTITUTE(ADDRESS(1,COLUMN($C$9),4),"1","")&amp;SUMPRODUCT(($B$10:$D$26=INDIRECT(SUBSTITUTE(ADDRESS(1,COLUMN()-1,4),"1","")&amp;ROW()-4))*ROW($B$10:$D$26))))/INDIRECT(SUBSTITUTE(ADDRESS(1,COLUMN($D$9),4),"1","")&amp;SUMPRODUCT(($B$10:$D$26=INDIRECT(SUBSTITUTE(ADDRESS(1,COLUMN()-1,4),"1","")&amp;ROW()-4))*ROW($B$10:$D$26)))*10+50</f>
        <v>#DIV/0!</v>
      </c>
      <c r="BY60" s="8"/>
      <c r="BZ60" s="49">
        <v>76</v>
      </c>
      <c r="CA60" s="83">
        <f>IF(AND(BZ60&lt;&gt;"", CC60&lt;&gt;""), IF(CF59 &gt; $A$36, $B$37, IF(CF59 &gt; $A$35, $B$36, IF(CF59 &gt; $A$34, $B$35, IF(CF59 &gt; $A$33, $B$34, IF(CF59 &gt; $A$32, $B$33,IF(CF59 &gt; $A$31, $B$32, IF(CF59 &gt; $A$30, $B$31, IF(CF59 &gt; $A$29, $B$30, $B$29)))))))), "")</f>
        <v>1</v>
      </c>
      <c r="CB60" s="15">
        <f>IF(AND(BZ60&lt;&gt;"", CC60&lt;&gt;""), ROUND(100*(1-(CE59+CE60)/2/CF$56), $B$39), "")</f>
        <v>99</v>
      </c>
      <c r="CC60" s="52">
        <v>16</v>
      </c>
      <c r="CD60" s="16">
        <f t="shared" si="62"/>
        <v>3.4911629936722672E-3</v>
      </c>
      <c r="CE60" s="17">
        <f>IF(AND(BZ60&lt;&gt;"", CC60&lt;&gt;""), SUM(CC$59:CC60), "")</f>
        <v>47</v>
      </c>
      <c r="CF60" s="16">
        <f t="shared" si="63"/>
        <v>1.0255291293912285E-2</v>
      </c>
      <c r="CG60" s="14"/>
      <c r="CH60" s="27">
        <v>48</v>
      </c>
      <c r="CI60" s="20" t="e" cm="1">
        <f t="array" aca="1" ref="CI60" ca="1">(CH60-INDIRECT(SUBSTITUTE(ADDRESS(1,COLUMN($C$9),4),"1","")&amp;SUMPRODUCT(($B$10:$D$26=INDIRECT(SUBSTITUTE(ADDRESS(1,COLUMN()-1,4),"1","")&amp;ROW()-4))*ROW($B$10:$D$26))))/INDIRECT(SUBSTITUTE(ADDRESS(1,COLUMN($D$9),4),"1","")&amp;SUMPRODUCT(($B$10:$D$26=INDIRECT(SUBSTITUTE(ADDRESS(1,COLUMN()-1,4),"1","")&amp;ROW()-4))*ROW($B$10:$D$26)))*10+50</f>
        <v>#DIV/0!</v>
      </c>
      <c r="CJ60" s="8"/>
      <c r="CK60" s="49">
        <v>74</v>
      </c>
      <c r="CL60" s="83">
        <f>IF(AND(CK60&lt;&gt;"", CN60&lt;&gt;""), IF(CQ59 &gt; $A$36, $B$37, IF(CQ59 &gt; $A$35, $B$36, IF(CQ59 &gt; $A$34, $B$35, IF(CQ59 &gt; $A$33, $B$34, IF(CQ59 &gt; $A$32, $B$33,IF(CQ59 &gt; $A$31, $B$32, IF(CQ59 &gt; $A$30, $B$31, IF(CQ59 &gt; $A$29, $B$30, $B$29)))))))), "")</f>
        <v>1</v>
      </c>
      <c r="CM60" s="15">
        <f>IF(AND(CK60&lt;&gt;"", CN60&lt;&gt;""), ROUND(100*(1-(CP59+CP60)/2/CQ$56), $B$39), "")</f>
        <v>98</v>
      </c>
      <c r="CN60" s="52">
        <v>78</v>
      </c>
      <c r="CO60" s="16">
        <f t="shared" si="64"/>
        <v>9.8199672667757774E-3</v>
      </c>
      <c r="CP60" s="17">
        <f>IF(AND(CK60&lt;&gt;"", CN60&lt;&gt;""), SUM(CN$59:CN60), "")</f>
        <v>217</v>
      </c>
      <c r="CQ60" s="16">
        <f t="shared" si="65"/>
        <v>2.7319652524235176E-2</v>
      </c>
      <c r="CR60" s="14"/>
      <c r="CS60" s="27">
        <v>48</v>
      </c>
      <c r="CT60" s="20" t="e" cm="1">
        <f t="array" aca="1" ref="CT60" ca="1">(CS60-INDIRECT(SUBSTITUTE(ADDRESS(1,COLUMN($C$9),4),"1","")&amp;SUMPRODUCT(($B$10:$D$26=INDIRECT(SUBSTITUTE(ADDRESS(1,COLUMN()-1,4),"1","")&amp;ROW()-4))*ROW($B$10:$D$26))))/INDIRECT(SUBSTITUTE(ADDRESS(1,COLUMN($D$9),4),"1","")&amp;SUMPRODUCT(($B$10:$D$26=INDIRECT(SUBSTITUTE(ADDRESS(1,COLUMN()-1,4),"1","")&amp;ROW()-4))*ROW($B$10:$D$26)))*10+50</f>
        <v>#DIV/0!</v>
      </c>
      <c r="CU60" s="8"/>
      <c r="CV60" s="49">
        <v>83</v>
      </c>
      <c r="CW60" s="83">
        <f>IF(AND(CV60&lt;&gt;"", CY60&lt;&gt;""), IF(DB59 &gt; $A$36, $B$37, IF(DB59 &gt; $A$35, $B$36, IF(DB59 &gt; $A$34, $B$35, IF(DB59 &gt; $A$33, $B$34, IF(DB59 &gt; $A$32, $B$33,IF(DB59 &gt; $A$31, $B$32, IF(DB59 &gt; $A$30, $B$31, IF(DB59 &gt; $A$29, $B$30, $B$29)))))))), "")</f>
        <v>1</v>
      </c>
      <c r="CX60" s="15">
        <f>IF(AND(CV60&lt;&gt;"", CY60&lt;&gt;""), ROUND(100*(1-(DA59+DA60)/2/DB$56), $B$39), "")</f>
        <v>100</v>
      </c>
      <c r="CY60" s="52">
        <v>6</v>
      </c>
      <c r="CZ60" s="16">
        <f t="shared" si="66"/>
        <v>1.1489850631941786E-3</v>
      </c>
      <c r="DA60" s="17">
        <f>IF(AND(CV60&lt;&gt;"", CY60&lt;&gt;""), SUM(CY$59:CY60), "")</f>
        <v>8</v>
      </c>
      <c r="DB60" s="16">
        <f t="shared" si="67"/>
        <v>1.5319800842589046E-3</v>
      </c>
    </row>
    <row r="61" spans="5:180" ht="16" customHeight="1" x14ac:dyDescent="0.2">
      <c r="E61" s="1"/>
      <c r="F61" s="86"/>
      <c r="G61" s="85">
        <v>9</v>
      </c>
      <c r="H61" s="36"/>
      <c r="I61" s="86"/>
      <c r="J61" s="85">
        <v>9</v>
      </c>
      <c r="K61" s="36"/>
      <c r="L61" s="86"/>
      <c r="M61" s="85">
        <v>9</v>
      </c>
      <c r="N61"/>
      <c r="O61" s="38"/>
      <c r="P61" s="83" t="str">
        <f t="shared" si="27"/>
        <v/>
      </c>
      <c r="Q61" s="164" t="str">
        <f t="shared" si="18"/>
        <v/>
      </c>
      <c r="R61" s="43"/>
      <c r="S61" s="16" t="str">
        <f t="shared" si="36"/>
        <v/>
      </c>
      <c r="T61" s="17" t="str">
        <f>IF(AND(O61&lt;&gt;"", R61&lt;&gt;""), SUM(R$4:R61), "")</f>
        <v/>
      </c>
      <c r="U61" s="16" t="str">
        <f t="shared" si="37"/>
        <v/>
      </c>
      <c r="W61" s="38">
        <v>90</v>
      </c>
      <c r="X61" s="83">
        <f t="shared" si="28"/>
        <v>6</v>
      </c>
      <c r="Y61" s="164">
        <f t="shared" si="19"/>
        <v>37</v>
      </c>
      <c r="Z61" s="43">
        <v>4476</v>
      </c>
      <c r="AA61" s="16">
        <f t="shared" si="38"/>
        <v>1.1548732503386441E-2</v>
      </c>
      <c r="AB61" s="17">
        <f>IF(AND(W61&lt;&gt;"", Z61&lt;&gt;""), SUM(Z$4:Z61), "")</f>
        <v>244937</v>
      </c>
      <c r="AC61" s="16">
        <f t="shared" si="39"/>
        <v>0.63197316648390633</v>
      </c>
      <c r="AD61" s="1"/>
      <c r="AE61" s="19">
        <v>47</v>
      </c>
      <c r="AF61" s="20" t="e" cm="1">
        <f t="array" aca="1" ref="AF61" ca="1">(AE61-INDIRECT(SUBSTITUTE(ADDRESS(1,COLUMN($C$9),4),"1","")&amp;SUMPRODUCT(($B$10:$D$26=INDIRECT(SUBSTITUTE(ADDRESS(1,COLUMN()-1,4),"1","")&amp;ROW()-5))*ROW($B$10:$D$26))))/INDIRECT(SUBSTITUTE(ADDRESS(1,COLUMN($D$9),4),"1","")&amp;SUMPRODUCT(($B$10:$D$26=INDIRECT(SUBSTITUTE(ADDRESS(1,COLUMN()-1,4),"1","")&amp;ROW()-5))*ROW($B$10:$D$26)))*10+50</f>
        <v>#DIV/0!</v>
      </c>
      <c r="AG61" s="8"/>
      <c r="AH61" s="49">
        <v>65</v>
      </c>
      <c r="AI61" s="83">
        <f>IF(AND(AH61&lt;&gt;"", AK61&lt;&gt;""), IF(AN60 &gt; $A$36, $B$37, IF(AN60 &gt; $A$35, $B$36, IF(AN60 &gt; $A$34, $B$35, IF(AN60 &gt; $A$33, $B$34, IF(AN60 &gt; $A$32, $B$33,IF(AN60 &gt; $A$31, $B$32, IF(AN60 &gt; $A$30, $B$31, IF(AN60 &gt; $A$29, $B$30, $B$29)))))))), "")</f>
        <v>1</v>
      </c>
      <c r="AJ61" s="15">
        <f>IF(AND(AH61&lt;&gt;"", AK61&lt;&gt;""), ROUND(100*(1-(AM60+AM61)/2/AN$56), $B$39), "")</f>
        <v>96</v>
      </c>
      <c r="AK61" s="52">
        <v>371</v>
      </c>
      <c r="AL61" s="16">
        <f t="shared" si="54"/>
        <v>1.9393622582331415E-2</v>
      </c>
      <c r="AM61" s="17">
        <f>IF(AND(AH61&lt;&gt;"", AK61&lt;&gt;""), SUM(AK$59:AK61), "")</f>
        <v>926</v>
      </c>
      <c r="AN61" s="16">
        <f t="shared" si="55"/>
        <v>4.8405645582854158E-2</v>
      </c>
      <c r="AO61" s="14"/>
      <c r="AP61" s="19">
        <v>47</v>
      </c>
      <c r="AQ61" s="20" t="e" cm="1">
        <f t="array" aca="1" ref="AQ61" ca="1">(AP61-INDIRECT(SUBSTITUTE(ADDRESS(1,COLUMN($C$9),4),"1","")&amp;SUMPRODUCT(($B$10:$D$26=INDIRECT(SUBSTITUTE(ADDRESS(1,COLUMN()-1,4),"1","")&amp;ROW()-5))*ROW($B$10:$D$26))))/INDIRECT(SUBSTITUTE(ADDRESS(1,COLUMN($D$9),4),"1","")&amp;SUMPRODUCT(($B$10:$D$26=INDIRECT(SUBSTITUTE(ADDRESS(1,COLUMN()-1,4),"1","")&amp;ROW()-5))*ROW($B$10:$D$26)))*10+50</f>
        <v>#DIV/0!</v>
      </c>
      <c r="AR61" s="8"/>
      <c r="AS61" s="49">
        <v>66</v>
      </c>
      <c r="AT61" s="83">
        <f>IF(AND(AS61&lt;&gt;"", AV61&lt;&gt;""), IF(AY60 &gt; $A$36, $B$37, IF(AY60 &gt; $A$35, $B$36, IF(AY60 &gt; $A$34, $B$35, IF(AY60 &gt; $A$33, $B$34, IF(AY60 &gt; $A$32, $B$33,IF(AY60 &gt; $A$31, $B$32, IF(AY60 &gt; $A$30, $B$31, IF(AY60 &gt; $A$29, $B$30, $B$29)))))))), "")</f>
        <v>2</v>
      </c>
      <c r="AU61" s="15">
        <f>IF(AND(AS61&lt;&gt;"", AV61&lt;&gt;""), ROUND(100*(1-(AX60+AX61)/2/AY$56), $B$39), "")</f>
        <v>91</v>
      </c>
      <c r="AV61" s="52">
        <v>46</v>
      </c>
      <c r="AW61" s="16">
        <f t="shared" si="56"/>
        <v>2.4024651381417453E-3</v>
      </c>
      <c r="AX61" s="17">
        <f>IF(AND(AS61&lt;&gt;"", AV61&lt;&gt;""), SUM(AV$59:AV61), "")</f>
        <v>1813</v>
      </c>
      <c r="AY61" s="16">
        <f t="shared" si="57"/>
        <v>9.4688462944586618E-2</v>
      </c>
      <c r="AZ61" s="14"/>
      <c r="BA61" s="19">
        <v>47</v>
      </c>
      <c r="BB61" s="20" t="e" cm="1">
        <f t="array" aca="1" ref="BB61" ca="1">(BA61-INDIRECT(SUBSTITUTE(ADDRESS(1,COLUMN($C$9),4),"1","")&amp;SUMPRODUCT(($B$10:$D$26=INDIRECT(SUBSTITUTE(ADDRESS(1,COLUMN()-1,4),"1","")&amp;ROW()-5))*ROW($B$10:$D$26))))/INDIRECT(SUBSTITUTE(ADDRESS(1,COLUMN($D$9),4),"1","")&amp;SUMPRODUCT(($B$10:$D$26=INDIRECT(SUBSTITUTE(ADDRESS(1,COLUMN()-1,4),"1","")&amp;ROW()-5))*ROW($B$10:$D$26)))*10+50</f>
        <v>#DIV/0!</v>
      </c>
      <c r="BC61" s="8"/>
      <c r="BD61" s="49">
        <v>70</v>
      </c>
      <c r="BE61" s="83">
        <f>IF(AND(BD61&lt;&gt;"", BG61&lt;&gt;""), IF(BJ60 &gt; $A$36, $B$37, IF(BJ60 &gt; $A$35, $B$36, IF(BJ60 &gt; $A$34, $B$35, IF(BJ60 &gt; $A$33, $B$34, IF(BJ60 &gt; $A$32, $B$33,IF(BJ60 &gt; $A$31, $B$32, IF(BJ60 &gt; $A$30, $B$31, IF(BJ60 &gt; $A$29, $B$30, $B$29)))))))), "")</f>
        <v>2</v>
      </c>
      <c r="BF61" s="15">
        <f>IF(AND(BD61&lt;&gt;"", BG61&lt;&gt;""), ROUND(100*(1-(BI60+BI61)/2/BJ$56), $B$39), "")</f>
        <v>95</v>
      </c>
      <c r="BG61" s="52">
        <v>66</v>
      </c>
      <c r="BH61" s="16">
        <f t="shared" si="58"/>
        <v>4.4733631557543714E-3</v>
      </c>
      <c r="BI61" s="17">
        <f>IF(AND(BD61&lt;&gt;"", BG61&lt;&gt;""), SUM(BG$59:BG61), "")</f>
        <v>698</v>
      </c>
      <c r="BJ61" s="16">
        <f t="shared" si="59"/>
        <v>4.7309204283584115E-2</v>
      </c>
      <c r="BK61" s="14"/>
      <c r="BL61" s="27">
        <v>47</v>
      </c>
      <c r="BM61" s="20" t="e" cm="1">
        <f t="array" aca="1" ref="BM61" ca="1">(BL61-INDIRECT(SUBSTITUTE(ADDRESS(1,COLUMN($C$9),4),"1","")&amp;SUMPRODUCT(($B$10:$D$26=INDIRECT(SUBSTITUTE(ADDRESS(1,COLUMN()-1,4),"1","")&amp;ROW()-5))*ROW($B$10:$D$26))))/INDIRECT(SUBSTITUTE(ADDRESS(1,COLUMN($D$9),4),"1","")&amp;SUMPRODUCT(($B$10:$D$26=INDIRECT(SUBSTITUTE(ADDRESS(1,COLUMN()-1,4),"1","")&amp;ROW()-5))*ROW($B$10:$D$26)))*10+50</f>
        <v>#DIV/0!</v>
      </c>
      <c r="BN61" s="8"/>
      <c r="BO61" s="49">
        <v>77</v>
      </c>
      <c r="BP61" s="83">
        <f>IF(AND(BO61&lt;&gt;"", BR61&lt;&gt;""), IF(BU60 &gt; $A$36, $B$37, IF(BU60 &gt; $A$35, $B$36, IF(BU60 &gt; $A$34, $B$35, IF(BU60 &gt; $A$33, $B$34, IF(BU60 &gt; $A$32, $B$33,IF(BU60 &gt; $A$31, $B$32, IF(BU60 &gt; $A$30, $B$31, IF(BU60 &gt; $A$29, $B$30, $B$29)))))))), "")</f>
        <v>1</v>
      </c>
      <c r="BQ61" s="15">
        <f>IF(AND(BO61&lt;&gt;"", BR61&lt;&gt;""), ROUND(100*(1-(BT60+BT61)/2/BU$56), $B$39), "")</f>
        <v>99</v>
      </c>
      <c r="BR61" s="52">
        <v>15</v>
      </c>
      <c r="BS61" s="16">
        <f t="shared" si="60"/>
        <v>3.687315634218289E-3</v>
      </c>
      <c r="BT61" s="17">
        <f>IF(AND(BO61&lt;&gt;"", BR61&lt;&gt;""), SUM(BR$59:BR61), "")</f>
        <v>54</v>
      </c>
      <c r="BU61" s="16">
        <f t="shared" si="61"/>
        <v>1.3274336283185841E-2</v>
      </c>
      <c r="BV61" s="14"/>
      <c r="BW61" s="27">
        <v>47</v>
      </c>
      <c r="BX61" s="20" t="e" cm="1">
        <f t="array" aca="1" ref="BX61" ca="1">(BW61-INDIRECT(SUBSTITUTE(ADDRESS(1,COLUMN($C$9),4),"1","")&amp;SUMPRODUCT(($B$10:$D$26=INDIRECT(SUBSTITUTE(ADDRESS(1,COLUMN()-1,4),"1","")&amp;ROW()-5))*ROW($B$10:$D$26))))/INDIRECT(SUBSTITUTE(ADDRESS(1,COLUMN($D$9),4),"1","")&amp;SUMPRODUCT(($B$10:$D$26=INDIRECT(SUBSTITUTE(ADDRESS(1,COLUMN()-1,4),"1","")&amp;ROW()-5))*ROW($B$10:$D$26)))*10+50</f>
        <v>#DIV/0!</v>
      </c>
      <c r="BY61" s="8"/>
      <c r="BZ61" s="49">
        <v>75</v>
      </c>
      <c r="CA61" s="83">
        <f>IF(AND(BZ61&lt;&gt;"", CC61&lt;&gt;""), IF(CF60 &gt; $A$36, $B$37, IF(CF60 &gt; $A$35, $B$36, IF(CF60 &gt; $A$34, $B$35, IF(CF60 &gt; $A$33, $B$34, IF(CF60 &gt; $A$32, $B$33,IF(CF60 &gt; $A$31, $B$32, IF(CF60 &gt; $A$30, $B$31, IF(CF60 &gt; $A$29, $B$30, $B$29)))))))), "")</f>
        <v>1</v>
      </c>
      <c r="CB61" s="15">
        <f>IF(AND(BZ61&lt;&gt;"", CC61&lt;&gt;""), ROUND(100*(1-(CE60+CE61)/2/CF$56), $B$39), "")</f>
        <v>99</v>
      </c>
      <c r="CC61" s="52">
        <v>35</v>
      </c>
      <c r="CD61" s="16">
        <f t="shared" si="62"/>
        <v>7.6369190486580843E-3</v>
      </c>
      <c r="CE61" s="17">
        <f>IF(AND(BZ61&lt;&gt;"", CC61&lt;&gt;""), SUM(CC$59:CC61), "")</f>
        <v>82</v>
      </c>
      <c r="CF61" s="16">
        <f t="shared" si="63"/>
        <v>1.789221034257037E-2</v>
      </c>
      <c r="CG61" s="14"/>
      <c r="CH61" s="27">
        <v>47</v>
      </c>
      <c r="CI61" s="20" t="e" cm="1">
        <f t="array" aca="1" ref="CI61" ca="1">(CH61-INDIRECT(SUBSTITUTE(ADDRESS(1,COLUMN($C$9),4),"1","")&amp;SUMPRODUCT(($B$10:$D$26=INDIRECT(SUBSTITUTE(ADDRESS(1,COLUMN()-1,4),"1","")&amp;ROW()-5))*ROW($B$10:$D$26))))/INDIRECT(SUBSTITUTE(ADDRESS(1,COLUMN($D$9),4),"1","")&amp;SUMPRODUCT(($B$10:$D$26=INDIRECT(SUBSTITUTE(ADDRESS(1,COLUMN()-1,4),"1","")&amp;ROW()-5))*ROW($B$10:$D$26)))*10+50</f>
        <v>#DIV/0!</v>
      </c>
      <c r="CJ61" s="8"/>
      <c r="CK61" s="48">
        <v>73</v>
      </c>
      <c r="CL61" s="83">
        <f>IF(AND(CK61&lt;&gt;"", CN61&lt;&gt;""), IF(CQ60 &gt; $A$36, $B$37, IF(CQ60 &gt; $A$35, $B$36, IF(CQ60 &gt; $A$34, $B$35, IF(CQ60 &gt; $A$33, $B$34, IF(CQ60 &gt; $A$32, $B$33,IF(CQ60 &gt; $A$31, $B$32, IF(CQ60 &gt; $A$30, $B$31, IF(CQ60 &gt; $A$29, $B$30, $B$29)))))))), "")</f>
        <v>1</v>
      </c>
      <c r="CM61" s="15">
        <f>IF(AND(CK61&lt;&gt;"", CN61&lt;&gt;""), ROUND(100*(1-(CP60+CP61)/2/CQ$56), $B$39), "")</f>
        <v>97</v>
      </c>
      <c r="CN61" s="52">
        <v>110</v>
      </c>
      <c r="CO61" s="16">
        <f t="shared" si="64"/>
        <v>1.384867178647866E-2</v>
      </c>
      <c r="CP61" s="17">
        <f>IF(AND(CK61&lt;&gt;"", CN61&lt;&gt;""), SUM(CN$59:CN61), "")</f>
        <v>327</v>
      </c>
      <c r="CQ61" s="16">
        <f t="shared" si="65"/>
        <v>4.1168324310713836E-2</v>
      </c>
      <c r="CR61" s="14"/>
      <c r="CS61" s="27">
        <v>47</v>
      </c>
      <c r="CT61" s="20" t="e" cm="1">
        <f t="array" aca="1" ref="CT61" ca="1">(CS61-INDIRECT(SUBSTITUTE(ADDRESS(1,COLUMN($C$9),4),"1","")&amp;SUMPRODUCT(($B$10:$D$26=INDIRECT(SUBSTITUTE(ADDRESS(1,COLUMN()-1,4),"1","")&amp;ROW()-5))*ROW($B$10:$D$26))))/INDIRECT(SUBSTITUTE(ADDRESS(1,COLUMN($D$9),4),"1","")&amp;SUMPRODUCT(($B$10:$D$26=INDIRECT(SUBSTITUTE(ADDRESS(1,COLUMN()-1,4),"1","")&amp;ROW()-5))*ROW($B$10:$D$26)))*10+50</f>
        <v>#DIV/0!</v>
      </c>
      <c r="CU61" s="8"/>
      <c r="CV61" s="49">
        <v>82</v>
      </c>
      <c r="CW61" s="83">
        <f>IF(AND(CV61&lt;&gt;"", CY61&lt;&gt;""), IF(DB60 &gt; $A$36, $B$37, IF(DB60 &gt; $A$35, $B$36, IF(DB60 &gt; $A$34, $B$35, IF(DB60 &gt; $A$33, $B$34, IF(DB60 &gt; $A$32, $B$33,IF(DB60 &gt; $A$31, $B$32, IF(DB60 &gt; $A$30, $B$31, IF(DB60 &gt; $A$29, $B$30, $B$29)))))))), "")</f>
        <v>1</v>
      </c>
      <c r="CX61" s="15">
        <f>IF(AND(CV61&lt;&gt;"", CY61&lt;&gt;""), ROUND(100*(1-(DA60+DA61)/2/DB$56), $B$39), "")</f>
        <v>100</v>
      </c>
      <c r="CY61" s="52">
        <v>9</v>
      </c>
      <c r="CZ61" s="16">
        <f t="shared" si="66"/>
        <v>1.7234775947912676E-3</v>
      </c>
      <c r="DA61" s="17">
        <f>IF(AND(CV61&lt;&gt;"", CY61&lt;&gt;""), SUM(CY$59:CY61), "")</f>
        <v>17</v>
      </c>
      <c r="DB61" s="16">
        <f t="shared" si="67"/>
        <v>3.2554576790501722E-3</v>
      </c>
    </row>
    <row r="62" spans="5:180" ht="16" customHeight="1" x14ac:dyDescent="0.2">
      <c r="E62" s="1"/>
      <c r="F62" s="1"/>
      <c r="G62" s="1"/>
      <c r="H62" s="1"/>
      <c r="I62" s="1"/>
      <c r="J62" s="1"/>
      <c r="K62" s="1"/>
      <c r="L62" s="1"/>
      <c r="M62" s="1"/>
      <c r="N62"/>
      <c r="O62" s="38"/>
      <c r="P62" s="83" t="str">
        <f t="shared" si="27"/>
        <v/>
      </c>
      <c r="Q62" s="164" t="str">
        <f t="shared" si="18"/>
        <v/>
      </c>
      <c r="R62" s="43"/>
      <c r="S62" s="16" t="str">
        <f t="shared" si="36"/>
        <v/>
      </c>
      <c r="T62" s="17" t="str">
        <f>IF(AND(O62&lt;&gt;"", R62&lt;&gt;""), SUM(R$4:R62), "")</f>
        <v/>
      </c>
      <c r="U62" s="16" t="str">
        <f t="shared" si="37"/>
        <v/>
      </c>
      <c r="W62" s="38">
        <v>89</v>
      </c>
      <c r="X62" s="83">
        <f t="shared" si="28"/>
        <v>6</v>
      </c>
      <c r="Y62" s="164">
        <f t="shared" si="19"/>
        <v>36</v>
      </c>
      <c r="Z62" s="43">
        <v>4367</v>
      </c>
      <c r="AA62" s="16">
        <f t="shared" si="38"/>
        <v>1.1267496613558666E-2</v>
      </c>
      <c r="AB62" s="17">
        <f>IF(AND(W62&lt;&gt;"", Z62&lt;&gt;""), SUM(Z$4:Z62), "")</f>
        <v>249304</v>
      </c>
      <c r="AC62" s="16">
        <f t="shared" si="39"/>
        <v>0.64324066309746497</v>
      </c>
      <c r="AD62" s="1"/>
      <c r="AE62" s="19">
        <v>46</v>
      </c>
      <c r="AF62" s="20" t="e" cm="1">
        <f t="array" aca="1" ref="AF62" ca="1">(AE62-INDIRECT(SUBSTITUTE(ADDRESS(1,COLUMN($C$9),4),"1","")&amp;SUMPRODUCT(($B$10:$D$26=INDIRECT(SUBSTITUTE(ADDRESS(1,COLUMN()-1,4),"1","")&amp;ROW()-6))*ROW($B$10:$D$26))))/INDIRECT(SUBSTITUTE(ADDRESS(1,COLUMN($D$9),4),"1","")&amp;SUMPRODUCT(($B$10:$D$26=INDIRECT(SUBSTITUTE(ADDRESS(1,COLUMN()-1,4),"1","")&amp;ROW()-6))*ROW($B$10:$D$26)))*10+50</f>
        <v>#DIV/0!</v>
      </c>
      <c r="AG62" s="8"/>
      <c r="AH62" s="49">
        <v>64</v>
      </c>
      <c r="AI62" s="83">
        <f t="shared" ref="AI62:AI107" si="68">IF(AND(AH62&lt;&gt;"", AK62&lt;&gt;""), IF(AN61 &gt; $A$36, $B$37, IF(AN61 &gt; $A$35, $B$36, IF(AN61 &gt; $A$34, $B$35, IF(AN61 &gt; $A$33, $B$34, IF(AN61 &gt; $A$32, $B$33,IF(AN61 &gt; $A$31, $B$32, IF(AN61 &gt; $A$30, $B$31, IF(AN61 &gt; $A$29, $B$30, $B$29)))))))), "")</f>
        <v>2</v>
      </c>
      <c r="AJ62" s="15">
        <f>IF(AND(AH62&lt;&gt;"", AK62&lt;&gt;""), ROUND(100*(1-(AM61+AM62)/2/AN$56), $B$39), "")</f>
        <v>94</v>
      </c>
      <c r="AK62" s="52">
        <v>360</v>
      </c>
      <c r="AL62" s="16">
        <f t="shared" si="54"/>
        <v>1.8818609513852589E-2</v>
      </c>
      <c r="AM62" s="17">
        <f>IF(AND(AH62&lt;&gt;"", AK62&lt;&gt;""), SUM(AK$59:AK62), "")</f>
        <v>1286</v>
      </c>
      <c r="AN62" s="16">
        <f t="shared" si="55"/>
        <v>6.7224255096706736E-2</v>
      </c>
      <c r="AO62" s="14"/>
      <c r="AP62" s="19">
        <v>46</v>
      </c>
      <c r="AQ62" s="20" t="e" cm="1">
        <f t="array" aca="1" ref="AQ62" ca="1">(AP62-INDIRECT(SUBSTITUTE(ADDRESS(1,COLUMN($C$9),4),"1","")&amp;SUMPRODUCT(($B$10:$D$26=INDIRECT(SUBSTITUTE(ADDRESS(1,COLUMN()-1,4),"1","")&amp;ROW()-6))*ROW($B$10:$D$26))))/INDIRECT(SUBSTITUTE(ADDRESS(1,COLUMN($D$9),4),"1","")&amp;SUMPRODUCT(($B$10:$D$26=INDIRECT(SUBSTITUTE(ADDRESS(1,COLUMN()-1,4),"1","")&amp;ROW()-6))*ROW($B$10:$D$26)))*10+50</f>
        <v>#DIV/0!</v>
      </c>
      <c r="AR62" s="8"/>
      <c r="AS62" s="49">
        <v>65</v>
      </c>
      <c r="AT62" s="83">
        <f t="shared" ref="AT62:AT107" si="69">IF(AND(AS62&lt;&gt;"", AV62&lt;&gt;""), IF(AY61 &gt; $A$36, $B$37, IF(AY61 &gt; $A$35, $B$36, IF(AY61 &gt; $A$34, $B$35, IF(AY61 &gt; $A$33, $B$34, IF(AY61 &gt; $A$32, $B$33,IF(AY61 &gt; $A$31, $B$32, IF(AY61 &gt; $A$30, $B$31, IF(AY61 &gt; $A$29, $B$30, $B$29)))))))), "")</f>
        <v>2</v>
      </c>
      <c r="AU62" s="15">
        <f>IF(AND(AS62&lt;&gt;"", AV62&lt;&gt;""), ROUND(100*(1-(AX61+AX62)/2/AY$56), $B$39), "")</f>
        <v>90</v>
      </c>
      <c r="AV62" s="52">
        <v>366</v>
      </c>
      <c r="AW62" s="16">
        <f t="shared" si="56"/>
        <v>1.9115266099127802E-2</v>
      </c>
      <c r="AX62" s="17">
        <f>IF(AND(AS62&lt;&gt;"", AV62&lt;&gt;""), SUM(AV$59:AV62), "")</f>
        <v>2179</v>
      </c>
      <c r="AY62" s="16">
        <f t="shared" si="57"/>
        <v>0.11380372904371441</v>
      </c>
      <c r="AZ62" s="14"/>
      <c r="BA62" s="19">
        <v>46</v>
      </c>
      <c r="BB62" s="20" t="e" cm="1">
        <f t="array" aca="1" ref="BB62" ca="1">(BA62-INDIRECT(SUBSTITUTE(ADDRESS(1,COLUMN($C$9),4),"1","")&amp;SUMPRODUCT(($B$10:$D$26=INDIRECT(SUBSTITUTE(ADDRESS(1,COLUMN()-1,4),"1","")&amp;ROW()-6))*ROW($B$10:$D$26))))/INDIRECT(SUBSTITUTE(ADDRESS(1,COLUMN($D$9),4),"1","")&amp;SUMPRODUCT(($B$10:$D$26=INDIRECT(SUBSTITUTE(ADDRESS(1,COLUMN()-1,4),"1","")&amp;ROW()-6))*ROW($B$10:$D$26)))*10+50</f>
        <v>#DIV/0!</v>
      </c>
      <c r="BC62" s="8"/>
      <c r="BD62" s="49">
        <v>69</v>
      </c>
      <c r="BE62" s="83">
        <f t="shared" ref="BE62:BE107" si="70">IF(AND(BD62&lt;&gt;"", BG62&lt;&gt;""), IF(BJ61 &gt; $A$36, $B$37, IF(BJ61 &gt; $A$35, $B$36, IF(BJ61 &gt; $A$34, $B$35, IF(BJ61 &gt; $A$33, $B$34, IF(BJ61 &gt; $A$32, $B$33,IF(BJ61 &gt; $A$31, $B$32, IF(BJ61 &gt; $A$30, $B$31, IF(BJ61 &gt; $A$29, $B$30, $B$29)))))))), "")</f>
        <v>2</v>
      </c>
      <c r="BF62" s="15">
        <f>IF(AND(BD62&lt;&gt;"", BG62&lt;&gt;""), ROUND(100*(1-(BI61+BI62)/2/BJ$56), $B$39), "")</f>
        <v>94</v>
      </c>
      <c r="BG62" s="52">
        <v>284</v>
      </c>
      <c r="BH62" s="16">
        <f t="shared" si="58"/>
        <v>1.9249017215670326E-2</v>
      </c>
      <c r="BI62" s="17">
        <f>IF(AND(BD62&lt;&gt;"", BG62&lt;&gt;""), SUM(BG$59:BG62), "")</f>
        <v>982</v>
      </c>
      <c r="BJ62" s="16">
        <f t="shared" si="59"/>
        <v>6.6558221499254444E-2</v>
      </c>
      <c r="BK62" s="14"/>
      <c r="BL62" s="27">
        <v>46</v>
      </c>
      <c r="BM62" s="20" t="e" cm="1">
        <f t="array" aca="1" ref="BM62" ca="1">(BL62-INDIRECT(SUBSTITUTE(ADDRESS(1,COLUMN($C$9),4),"1","")&amp;SUMPRODUCT(($B$10:$D$26=INDIRECT(SUBSTITUTE(ADDRESS(1,COLUMN()-1,4),"1","")&amp;ROW()-6))*ROW($B$10:$D$26))))/INDIRECT(SUBSTITUTE(ADDRESS(1,COLUMN($D$9),4),"1","")&amp;SUMPRODUCT(($B$10:$D$26=INDIRECT(SUBSTITUTE(ADDRESS(1,COLUMN()-1,4),"1","")&amp;ROW()-6))*ROW($B$10:$D$26)))*10+50</f>
        <v>#DIV/0!</v>
      </c>
      <c r="BN62" s="8"/>
      <c r="BO62" s="49">
        <v>76</v>
      </c>
      <c r="BP62" s="83">
        <f t="shared" ref="BP62:BP107" si="71">IF(AND(BO62&lt;&gt;"", BR62&lt;&gt;""), IF(BU61 &gt; $A$36, $B$37, IF(BU61 &gt; $A$35, $B$36, IF(BU61 &gt; $A$34, $B$35, IF(BU61 &gt; $A$33, $B$34, IF(BU61 &gt; $A$32, $B$33,IF(BU61 &gt; $A$31, $B$32, IF(BU61 &gt; $A$30, $B$31, IF(BU61 &gt; $A$29, $B$30, $B$29)))))))), "")</f>
        <v>1</v>
      </c>
      <c r="BQ62" s="15">
        <f>IF(AND(BO62&lt;&gt;"", BR62&lt;&gt;""), ROUND(100*(1-(BT61+BT62)/2/BU$56), $B$39), "")</f>
        <v>99</v>
      </c>
      <c r="BR62" s="52">
        <v>10</v>
      </c>
      <c r="BS62" s="16">
        <f t="shared" si="60"/>
        <v>2.4582104228121925E-3</v>
      </c>
      <c r="BT62" s="17">
        <f>IF(AND(BO62&lt;&gt;"", BR62&lt;&gt;""), SUM(BR$59:BR62), "")</f>
        <v>64</v>
      </c>
      <c r="BU62" s="16">
        <f t="shared" si="61"/>
        <v>1.5732546705998034E-2</v>
      </c>
      <c r="BV62" s="14"/>
      <c r="BW62" s="27">
        <v>46</v>
      </c>
      <c r="BX62" s="20" t="e" cm="1">
        <f t="array" aca="1" ref="BX62" ca="1">(BW62-INDIRECT(SUBSTITUTE(ADDRESS(1,COLUMN($C$9),4),"1","")&amp;SUMPRODUCT(($B$10:$D$26=INDIRECT(SUBSTITUTE(ADDRESS(1,COLUMN()-1,4),"1","")&amp;ROW()-6))*ROW($B$10:$D$26))))/INDIRECT(SUBSTITUTE(ADDRESS(1,COLUMN($D$9),4),"1","")&amp;SUMPRODUCT(($B$10:$D$26=INDIRECT(SUBSTITUTE(ADDRESS(1,COLUMN()-1,4),"1","")&amp;ROW()-6))*ROW($B$10:$D$26)))*10+50</f>
        <v>#DIV/0!</v>
      </c>
      <c r="BY62" s="8"/>
      <c r="BZ62" s="49">
        <v>74</v>
      </c>
      <c r="CA62" s="83">
        <f t="shared" ref="CA62:CA107" si="72">IF(AND(BZ62&lt;&gt;"", CC62&lt;&gt;""), IF(CF61 &gt; $A$36, $B$37, IF(CF61 &gt; $A$35, $B$36, IF(CF61 &gt; $A$34, $B$35, IF(CF61 &gt; $A$33, $B$34, IF(CF61 &gt; $A$32, $B$33,IF(CF61 &gt; $A$31, $B$32, IF(CF61 &gt; $A$30, $B$31, IF(CF61 &gt; $A$29, $B$30, $B$29)))))))), "")</f>
        <v>1</v>
      </c>
      <c r="CB62" s="15">
        <f>IF(AND(BZ62&lt;&gt;"", CC62&lt;&gt;""), ROUND(100*(1-(CE61+CE62)/2/CF$56), $B$39), "")</f>
        <v>98</v>
      </c>
      <c r="CC62" s="52">
        <v>7</v>
      </c>
      <c r="CD62" s="16">
        <f t="shared" si="62"/>
        <v>1.5273838097316168E-3</v>
      </c>
      <c r="CE62" s="17">
        <f>IF(AND(BZ62&lt;&gt;"", CC62&lt;&gt;""), SUM(CC$59:CC62), "")</f>
        <v>89</v>
      </c>
      <c r="CF62" s="16">
        <f t="shared" si="63"/>
        <v>1.9419594152301985E-2</v>
      </c>
      <c r="CG62" s="14"/>
      <c r="CH62" s="27">
        <v>46</v>
      </c>
      <c r="CI62" s="20" t="e" cm="1">
        <f t="array" aca="1" ref="CI62" ca="1">(CH62-INDIRECT(SUBSTITUTE(ADDRESS(1,COLUMN($C$9),4),"1","")&amp;SUMPRODUCT(($B$10:$D$26=INDIRECT(SUBSTITUTE(ADDRESS(1,COLUMN()-1,4),"1","")&amp;ROW()-6))*ROW($B$10:$D$26))))/INDIRECT(SUBSTITUTE(ADDRESS(1,COLUMN($D$9),4),"1","")&amp;SUMPRODUCT(($B$10:$D$26=INDIRECT(SUBSTITUTE(ADDRESS(1,COLUMN()-1,4),"1","")&amp;ROW()-6))*ROW($B$10:$D$26)))*10+50</f>
        <v>#DIV/0!</v>
      </c>
      <c r="CJ62" s="8"/>
      <c r="CK62" s="49">
        <v>72</v>
      </c>
      <c r="CL62" s="83">
        <f t="shared" ref="CL62:CL107" si="73">IF(AND(CK62&lt;&gt;"", CN62&lt;&gt;""), IF(CQ61 &gt; $A$36, $B$37, IF(CQ61 &gt; $A$35, $B$36, IF(CQ61 &gt; $A$34, $B$35, IF(CQ61 &gt; $A$33, $B$34, IF(CQ61 &gt; $A$32, $B$33,IF(CQ61 &gt; $A$31, $B$32, IF(CQ61 &gt; $A$30, $B$31, IF(CQ61 &gt; $A$29, $B$30, $B$29)))))))), "")</f>
        <v>2</v>
      </c>
      <c r="CM62" s="15">
        <f>IF(AND(CK62&lt;&gt;"", CN62&lt;&gt;""), ROUND(100*(1-(CP61+CP62)/2/CQ$56), $B$39), "")</f>
        <v>96</v>
      </c>
      <c r="CN62" s="52">
        <v>20</v>
      </c>
      <c r="CO62" s="16">
        <f t="shared" si="64"/>
        <v>2.517940324814302E-3</v>
      </c>
      <c r="CP62" s="17">
        <f>IF(AND(CK62&lt;&gt;"", CN62&lt;&gt;""), SUM(CN$59:CN62), "")</f>
        <v>347</v>
      </c>
      <c r="CQ62" s="16">
        <f t="shared" si="65"/>
        <v>4.3686264635528139E-2</v>
      </c>
      <c r="CR62" s="14"/>
      <c r="CS62" s="27">
        <v>46</v>
      </c>
      <c r="CT62" s="20" t="e" cm="1">
        <f t="array" aca="1" ref="CT62" ca="1">(CS62-INDIRECT(SUBSTITUTE(ADDRESS(1,COLUMN($C$9),4),"1","")&amp;SUMPRODUCT(($B$10:$D$26=INDIRECT(SUBSTITUTE(ADDRESS(1,COLUMN()-1,4),"1","")&amp;ROW()-6))*ROW($B$10:$D$26))))/INDIRECT(SUBSTITUTE(ADDRESS(1,COLUMN($D$9),4),"1","")&amp;SUMPRODUCT(($B$10:$D$26=INDIRECT(SUBSTITUTE(ADDRESS(1,COLUMN()-1,4),"1","")&amp;ROW()-6))*ROW($B$10:$D$26)))*10+50</f>
        <v>#DIV/0!</v>
      </c>
      <c r="CU62" s="8"/>
      <c r="CV62" s="49">
        <v>80</v>
      </c>
      <c r="CW62" s="83">
        <f t="shared" ref="CW62:CW107" si="74">IF(AND(CV62&lt;&gt;"", CY62&lt;&gt;""), IF(DB61 &gt; $A$36, $B$37, IF(DB61 &gt; $A$35, $B$36, IF(DB61 &gt; $A$34, $B$35, IF(DB61 &gt; $A$33, $B$34, IF(DB61 &gt; $A$32, $B$33,IF(DB61 &gt; $A$31, $B$32, IF(DB61 &gt; $A$30, $B$31, IF(DB61 &gt; $A$29, $B$30, $B$29)))))))), "")</f>
        <v>1</v>
      </c>
      <c r="CX62" s="15">
        <f>IF(AND(CV62&lt;&gt;"", CY62&lt;&gt;""), ROUND(100*(1-(DA61+DA62)/2/DB$56), $B$39), "")</f>
        <v>99</v>
      </c>
      <c r="CY62" s="52">
        <v>21</v>
      </c>
      <c r="CZ62" s="16">
        <f t="shared" si="66"/>
        <v>4.0214477211796247E-3</v>
      </c>
      <c r="DA62" s="17">
        <f>IF(AND(CV62&lt;&gt;"", CY62&lt;&gt;""), SUM(CY$59:CY62), "")</f>
        <v>38</v>
      </c>
      <c r="DB62" s="16">
        <f t="shared" si="67"/>
        <v>7.2769054002297974E-3</v>
      </c>
    </row>
    <row r="63" spans="5:180" ht="16" customHeight="1" thickBot="1" x14ac:dyDescent="0.25">
      <c r="E63" s="1"/>
      <c r="F63" s="117" t="s">
        <v>7</v>
      </c>
      <c r="G63" s="118"/>
      <c r="H63" s="36"/>
      <c r="I63" s="117" t="s">
        <v>29</v>
      </c>
      <c r="J63" s="118"/>
      <c r="K63" s="36"/>
      <c r="L63" s="36"/>
      <c r="M63" s="36"/>
      <c r="N63"/>
      <c r="O63" s="38"/>
      <c r="P63" s="83" t="str">
        <f t="shared" si="27"/>
        <v/>
      </c>
      <c r="Q63" s="164" t="str">
        <f t="shared" si="18"/>
        <v/>
      </c>
      <c r="R63" s="43"/>
      <c r="S63" s="16" t="str">
        <f t="shared" si="36"/>
        <v/>
      </c>
      <c r="T63" s="17" t="str">
        <f>IF(AND(O63&lt;&gt;"", R63&lt;&gt;""), SUM(R$4:R63), "")</f>
        <v/>
      </c>
      <c r="U63" s="16" t="str">
        <f t="shared" si="37"/>
        <v/>
      </c>
      <c r="W63" s="38">
        <v>88</v>
      </c>
      <c r="X63" s="83">
        <f t="shared" si="28"/>
        <v>6</v>
      </c>
      <c r="Y63" s="164">
        <f t="shared" si="19"/>
        <v>35</v>
      </c>
      <c r="Z63" s="43">
        <v>4355</v>
      </c>
      <c r="AA63" s="16">
        <f t="shared" si="38"/>
        <v>1.1236534864219829E-2</v>
      </c>
      <c r="AB63" s="17">
        <f>IF(AND(W63&lt;&gt;"", Z63&lt;&gt;""), SUM(Z$4:Z63), "")</f>
        <v>253659</v>
      </c>
      <c r="AC63" s="16">
        <f t="shared" si="39"/>
        <v>0.6544771979616848</v>
      </c>
      <c r="AD63" s="1"/>
      <c r="AE63" s="19">
        <v>45</v>
      </c>
      <c r="AF63" s="20" t="e" cm="1">
        <f t="array" aca="1" ref="AF63" ca="1">(AE63-INDIRECT(SUBSTITUTE(ADDRESS(1,COLUMN($C$9),4),"1","")&amp;SUMPRODUCT(($B$10:$D$26=INDIRECT(SUBSTITUTE(ADDRESS(1,COLUMN()-1,4),"1","")&amp;ROW()-7))*ROW($B$10:$D$26))))/INDIRECT(SUBSTITUTE(ADDRESS(1,COLUMN($D$9),4),"1","")&amp;SUMPRODUCT(($B$10:$D$26=INDIRECT(SUBSTITUTE(ADDRESS(1,COLUMN()-1,4),"1","")&amp;ROW()-7))*ROW($B$10:$D$26)))*10+50</f>
        <v>#DIV/0!</v>
      </c>
      <c r="AG63" s="8"/>
      <c r="AH63" s="49">
        <v>63</v>
      </c>
      <c r="AI63" s="83">
        <f t="shared" si="68"/>
        <v>2</v>
      </c>
      <c r="AJ63" s="15">
        <f>IF(AND(AH63&lt;&gt;"", AK63&lt;&gt;""), ROUND(100*(1-(AM62+AM63)/2/AN$56), $B$39), "")</f>
        <v>92</v>
      </c>
      <c r="AK63" s="52">
        <v>302</v>
      </c>
      <c r="AL63" s="16">
        <f t="shared" si="54"/>
        <v>1.5786722425509672E-2</v>
      </c>
      <c r="AM63" s="17">
        <f>IF(AND(AH63&lt;&gt;"", AK63&lt;&gt;""), SUM(AK$59:AK63), "")</f>
        <v>1588</v>
      </c>
      <c r="AN63" s="16">
        <f t="shared" si="55"/>
        <v>8.3010977522216409E-2</v>
      </c>
      <c r="AO63" s="14"/>
      <c r="AP63" s="19">
        <v>45</v>
      </c>
      <c r="AQ63" s="20" t="e" cm="1">
        <f t="array" aca="1" ref="AQ63" ca="1">(AP63-INDIRECT(SUBSTITUTE(ADDRESS(1,COLUMN($C$9),4),"1","")&amp;SUMPRODUCT(($B$10:$D$26=INDIRECT(SUBSTITUTE(ADDRESS(1,COLUMN()-1,4),"1","")&amp;ROW()-7))*ROW($B$10:$D$26))))/INDIRECT(SUBSTITUTE(ADDRESS(1,COLUMN($D$9),4),"1","")&amp;SUMPRODUCT(($B$10:$D$26=INDIRECT(SUBSTITUTE(ADDRESS(1,COLUMN()-1,4),"1","")&amp;ROW()-7))*ROW($B$10:$D$26)))*10+50</f>
        <v>#DIV/0!</v>
      </c>
      <c r="AR63" s="8"/>
      <c r="AS63" s="49">
        <v>64</v>
      </c>
      <c r="AT63" s="83">
        <f t="shared" si="69"/>
        <v>3</v>
      </c>
      <c r="AU63" s="15">
        <f>IF(AND(AS63&lt;&gt;"", AV63&lt;&gt;""), ROUND(100*(1-(AX62+AX63)/2/AY$56), $B$39), "")</f>
        <v>87</v>
      </c>
      <c r="AV63" s="52">
        <v>467</v>
      </c>
      <c r="AW63" s="16">
        <f t="shared" si="56"/>
        <v>2.4390243902439025E-2</v>
      </c>
      <c r="AX63" s="17">
        <f>IF(AND(AS63&lt;&gt;"", AV63&lt;&gt;""), SUM(AV$59:AV63), "")</f>
        <v>2646</v>
      </c>
      <c r="AY63" s="16">
        <f t="shared" si="57"/>
        <v>0.13819397294615343</v>
      </c>
      <c r="AZ63" s="14"/>
      <c r="BA63" s="19">
        <v>45</v>
      </c>
      <c r="BB63" s="20" t="e" cm="1">
        <f t="array" aca="1" ref="BB63" ca="1">(BA63-INDIRECT(SUBSTITUTE(ADDRESS(1,COLUMN($C$9),4),"1","")&amp;SUMPRODUCT(($B$10:$D$26=INDIRECT(SUBSTITUTE(ADDRESS(1,COLUMN()-1,4),"1","")&amp;ROW()-7))*ROW($B$10:$D$26))))/INDIRECT(SUBSTITUTE(ADDRESS(1,COLUMN($D$9),4),"1","")&amp;SUMPRODUCT(($B$10:$D$26=INDIRECT(SUBSTITUTE(ADDRESS(1,COLUMN()-1,4),"1","")&amp;ROW()-7))*ROW($B$10:$D$26)))*10+50</f>
        <v>#DIV/0!</v>
      </c>
      <c r="BC63" s="8"/>
      <c r="BD63" s="49">
        <v>68</v>
      </c>
      <c r="BE63" s="83">
        <f t="shared" si="70"/>
        <v>2</v>
      </c>
      <c r="BF63" s="15">
        <f>IF(AND(BD63&lt;&gt;"", BG63&lt;&gt;""), ROUND(100*(1-(BI62+BI63)/2/BJ$56), $B$39), "")</f>
        <v>92</v>
      </c>
      <c r="BG63" s="52">
        <v>356</v>
      </c>
      <c r="BH63" s="16">
        <f t="shared" si="58"/>
        <v>2.412904974922055E-2</v>
      </c>
      <c r="BI63" s="17">
        <f>IF(AND(BD63&lt;&gt;"", BG63&lt;&gt;""), SUM(BG$59:BG63), "")</f>
        <v>1338</v>
      </c>
      <c r="BJ63" s="16">
        <f t="shared" si="59"/>
        <v>9.068727124847499E-2</v>
      </c>
      <c r="BK63" s="14"/>
      <c r="BL63" s="27">
        <v>45</v>
      </c>
      <c r="BM63" s="20" t="e" cm="1">
        <f t="array" aca="1" ref="BM63" ca="1">(BL63-INDIRECT(SUBSTITUTE(ADDRESS(1,COLUMN($C$9),4),"1","")&amp;SUMPRODUCT(($B$10:$D$26=INDIRECT(SUBSTITUTE(ADDRESS(1,COLUMN()-1,4),"1","")&amp;ROW()-7))*ROW($B$10:$D$26))))/INDIRECT(SUBSTITUTE(ADDRESS(1,COLUMN($D$9),4),"1","")&amp;SUMPRODUCT(($B$10:$D$26=INDIRECT(SUBSTITUTE(ADDRESS(1,COLUMN()-1,4),"1","")&amp;ROW()-7))*ROW($B$10:$D$26)))*10+50</f>
        <v>#DIV/0!</v>
      </c>
      <c r="BN63" s="8"/>
      <c r="BO63" s="49">
        <v>75</v>
      </c>
      <c r="BP63" s="83">
        <f t="shared" si="71"/>
        <v>1</v>
      </c>
      <c r="BQ63" s="15">
        <f>IF(AND(BO63&lt;&gt;"", BR63&lt;&gt;""), ROUND(100*(1-(BT62+BT63)/2/BU$56), $B$39), "")</f>
        <v>98</v>
      </c>
      <c r="BR63" s="52">
        <v>41</v>
      </c>
      <c r="BS63" s="16">
        <f t="shared" si="60"/>
        <v>1.0078662733529991E-2</v>
      </c>
      <c r="BT63" s="17">
        <f>IF(AND(BO63&lt;&gt;"", BR63&lt;&gt;""), SUM(BR$59:BR63), "")</f>
        <v>105</v>
      </c>
      <c r="BU63" s="16">
        <f t="shared" si="61"/>
        <v>2.5811209439528023E-2</v>
      </c>
      <c r="BV63" s="14"/>
      <c r="BW63" s="27">
        <v>45</v>
      </c>
      <c r="BX63" s="20" t="e" cm="1">
        <f t="array" aca="1" ref="BX63" ca="1">(BW63-INDIRECT(SUBSTITUTE(ADDRESS(1,COLUMN($C$9),4),"1","")&amp;SUMPRODUCT(($B$10:$D$26=INDIRECT(SUBSTITUTE(ADDRESS(1,COLUMN()-1,4),"1","")&amp;ROW()-7))*ROW($B$10:$D$26))))/INDIRECT(SUBSTITUTE(ADDRESS(1,COLUMN($D$9),4),"1","")&amp;SUMPRODUCT(($B$10:$D$26=INDIRECT(SUBSTITUTE(ADDRESS(1,COLUMN()-1,4),"1","")&amp;ROW()-7))*ROW($B$10:$D$26)))*10+50</f>
        <v>#DIV/0!</v>
      </c>
      <c r="BY63" s="8"/>
      <c r="BZ63" s="49">
        <v>73</v>
      </c>
      <c r="CA63" s="83">
        <f t="shared" si="72"/>
        <v>1</v>
      </c>
      <c r="CB63" s="15">
        <f>IF(AND(BZ63&lt;&gt;"", CC63&lt;&gt;""), ROUND(100*(1-(CE62+CE63)/2/CF$56), $B$39), "")</f>
        <v>98</v>
      </c>
      <c r="CC63" s="52">
        <v>47</v>
      </c>
      <c r="CD63" s="16">
        <f t="shared" si="62"/>
        <v>1.0255291293912285E-2</v>
      </c>
      <c r="CE63" s="17">
        <f>IF(AND(BZ63&lt;&gt;"", CC63&lt;&gt;""), SUM(CC$59:CC63), "")</f>
        <v>136</v>
      </c>
      <c r="CF63" s="16">
        <f t="shared" si="63"/>
        <v>2.9674885446214268E-2</v>
      </c>
      <c r="CG63" s="14"/>
      <c r="CH63" s="27">
        <v>45</v>
      </c>
      <c r="CI63" s="20" t="e" cm="1">
        <f t="array" aca="1" ref="CI63" ca="1">(CH63-INDIRECT(SUBSTITUTE(ADDRESS(1,COLUMN($C$9),4),"1","")&amp;SUMPRODUCT(($B$10:$D$26=INDIRECT(SUBSTITUTE(ADDRESS(1,COLUMN()-1,4),"1","")&amp;ROW()-7))*ROW($B$10:$D$26))))/INDIRECT(SUBSTITUTE(ADDRESS(1,COLUMN($D$9),4),"1","")&amp;SUMPRODUCT(($B$10:$D$26=INDIRECT(SUBSTITUTE(ADDRESS(1,COLUMN()-1,4),"1","")&amp;ROW()-7))*ROW($B$10:$D$26)))*10+50</f>
        <v>#DIV/0!</v>
      </c>
      <c r="CJ63" s="8"/>
      <c r="CK63" s="49">
        <v>71</v>
      </c>
      <c r="CL63" s="83">
        <f t="shared" si="73"/>
        <v>2</v>
      </c>
      <c r="CM63" s="15">
        <f>IF(AND(CK63&lt;&gt;"", CN63&lt;&gt;""), ROUND(100*(1-(CP62+CP63)/2/CQ$56), $B$39), "")</f>
        <v>95</v>
      </c>
      <c r="CN63" s="52">
        <v>154</v>
      </c>
      <c r="CO63" s="16">
        <f t="shared" si="64"/>
        <v>1.9388140501070125E-2</v>
      </c>
      <c r="CP63" s="17">
        <f>IF(AND(CK63&lt;&gt;"", CN63&lt;&gt;""), SUM(CN$59:CN63), "")</f>
        <v>501</v>
      </c>
      <c r="CQ63" s="16">
        <f t="shared" si="65"/>
        <v>6.3074405136598261E-2</v>
      </c>
      <c r="CR63" s="14"/>
      <c r="CS63" s="27">
        <v>45</v>
      </c>
      <c r="CT63" s="20" t="e" cm="1">
        <f t="array" aca="1" ref="CT63" ca="1">(CS63-INDIRECT(SUBSTITUTE(ADDRESS(1,COLUMN($C$9),4),"1","")&amp;SUMPRODUCT(($B$10:$D$26=INDIRECT(SUBSTITUTE(ADDRESS(1,COLUMN()-1,4),"1","")&amp;ROW()-7))*ROW($B$10:$D$26))))/INDIRECT(SUBSTITUTE(ADDRESS(1,COLUMN($D$9),4),"1","")&amp;SUMPRODUCT(($B$10:$D$26=INDIRECT(SUBSTITUTE(ADDRESS(1,COLUMN()-1,4),"1","")&amp;ROW()-7))*ROW($B$10:$D$26)))*10+50</f>
        <v>#DIV/0!</v>
      </c>
      <c r="CU63" s="8"/>
      <c r="CV63" s="49">
        <v>79</v>
      </c>
      <c r="CW63" s="83">
        <f t="shared" si="74"/>
        <v>1</v>
      </c>
      <c r="CX63" s="15">
        <f>IF(AND(CV63&lt;&gt;"", CY63&lt;&gt;""), ROUND(100*(1-(DA62+DA63)/2/DB$56), $B$39), "")</f>
        <v>99</v>
      </c>
      <c r="CY63" s="52">
        <v>26</v>
      </c>
      <c r="CZ63" s="16">
        <f t="shared" si="66"/>
        <v>4.9789352738414403E-3</v>
      </c>
      <c r="DA63" s="17">
        <f>IF(AND(CV63&lt;&gt;"", CY63&lt;&gt;""), SUM(CY$59:CY63), "")</f>
        <v>64</v>
      </c>
      <c r="DB63" s="16">
        <f t="shared" si="67"/>
        <v>1.2255840674071237E-2</v>
      </c>
    </row>
    <row r="64" spans="5:180" ht="16" customHeight="1" x14ac:dyDescent="0.2">
      <c r="E64" s="1"/>
      <c r="F64" s="30" t="s">
        <v>30</v>
      </c>
      <c r="G64" s="30" t="s">
        <v>14</v>
      </c>
      <c r="H64" s="36"/>
      <c r="I64" s="30" t="s">
        <v>30</v>
      </c>
      <c r="J64" s="30" t="s">
        <v>14</v>
      </c>
      <c r="K64" s="36"/>
      <c r="L64" s="36"/>
      <c r="M64" s="36"/>
      <c r="N64"/>
      <c r="O64" s="38"/>
      <c r="P64" s="83" t="str">
        <f t="shared" si="27"/>
        <v/>
      </c>
      <c r="Q64" s="164" t="str">
        <f t="shared" si="18"/>
        <v/>
      </c>
      <c r="R64" s="43"/>
      <c r="S64" s="16" t="str">
        <f t="shared" si="36"/>
        <v/>
      </c>
      <c r="T64" s="17" t="str">
        <f>IF(AND(O64&lt;&gt;"", R64&lt;&gt;""), SUM(R$4:R64), "")</f>
        <v/>
      </c>
      <c r="U64" s="16" t="str">
        <f t="shared" si="37"/>
        <v/>
      </c>
      <c r="W64" s="38">
        <v>87</v>
      </c>
      <c r="X64" s="83">
        <f t="shared" si="28"/>
        <v>6</v>
      </c>
      <c r="Y64" s="164">
        <f t="shared" si="19"/>
        <v>34</v>
      </c>
      <c r="Z64" s="43">
        <v>4052</v>
      </c>
      <c r="AA64" s="16">
        <f t="shared" si="38"/>
        <v>1.0454750693414177E-2</v>
      </c>
      <c r="AB64" s="17">
        <f>IF(AND(W64&lt;&gt;"", Z64&lt;&gt;""), SUM(Z$4:Z64), "")</f>
        <v>257711</v>
      </c>
      <c r="AC64" s="16">
        <f t="shared" si="39"/>
        <v>0.66493194865509897</v>
      </c>
      <c r="AD64" s="1"/>
      <c r="AE64" s="19">
        <v>44</v>
      </c>
      <c r="AF64" s="20" t="e" cm="1">
        <f t="array" aca="1" ref="AF64" ca="1">(AE64-INDIRECT(SUBSTITUTE(ADDRESS(1,COLUMN($C$9),4),"1","")&amp;SUMPRODUCT(($B$10:$D$26=INDIRECT(SUBSTITUTE(ADDRESS(1,COLUMN()-1,4),"1","")&amp;ROW()-8))*ROW($B$10:$D$26))))/INDIRECT(SUBSTITUTE(ADDRESS(1,COLUMN($D$9),4),"1","")&amp;SUMPRODUCT(($B$10:$D$26=INDIRECT(SUBSTITUTE(ADDRESS(1,COLUMN()-1,4),"1","")&amp;ROW()-8))*ROW($B$10:$D$26)))*10+50</f>
        <v>#DIV/0!</v>
      </c>
      <c r="AG64" s="8"/>
      <c r="AH64" s="49">
        <v>62</v>
      </c>
      <c r="AI64" s="83">
        <f t="shared" si="68"/>
        <v>2</v>
      </c>
      <c r="AJ64" s="15">
        <f>IF(AND(AH64&lt;&gt;"", AK64&lt;&gt;""), ROUND(100*(1-(AM63+AM64)/2/AN$56), $B$39), "")</f>
        <v>91</v>
      </c>
      <c r="AK64" s="52">
        <v>169</v>
      </c>
      <c r="AL64" s="16">
        <f t="shared" si="54"/>
        <v>8.834291688447465E-3</v>
      </c>
      <c r="AM64" s="17">
        <f>IF(AND(AH64&lt;&gt;"", AK64&lt;&gt;""), SUM(AK$59:AK64), "")</f>
        <v>1757</v>
      </c>
      <c r="AN64" s="16">
        <f t="shared" si="55"/>
        <v>9.1845269210663882E-2</v>
      </c>
      <c r="AO64" s="14"/>
      <c r="AP64" s="19">
        <v>44</v>
      </c>
      <c r="AQ64" s="20" t="e" cm="1">
        <f t="array" aca="1" ref="AQ64" ca="1">(AP64-INDIRECT(SUBSTITUTE(ADDRESS(1,COLUMN($C$9),4),"1","")&amp;SUMPRODUCT(($B$10:$D$26=INDIRECT(SUBSTITUTE(ADDRESS(1,COLUMN()-1,4),"1","")&amp;ROW()-8))*ROW($B$10:$D$26))))/INDIRECT(SUBSTITUTE(ADDRESS(1,COLUMN($D$9),4),"1","")&amp;SUMPRODUCT(($B$10:$D$26=INDIRECT(SUBSTITUTE(ADDRESS(1,COLUMN()-1,4),"1","")&amp;ROW()-8))*ROW($B$10:$D$26)))*10+50</f>
        <v>#DIV/0!</v>
      </c>
      <c r="AR64" s="8"/>
      <c r="AS64" s="49">
        <v>63</v>
      </c>
      <c r="AT64" s="83">
        <f t="shared" si="69"/>
        <v>3</v>
      </c>
      <c r="AU64" s="15">
        <f>IF(AND(AS64&lt;&gt;"", AV64&lt;&gt;""), ROUND(100*(1-(AX63+AX64)/2/AY$56), $B$39), "")</f>
        <v>85</v>
      </c>
      <c r="AV64" s="52">
        <v>366</v>
      </c>
      <c r="AW64" s="16">
        <f t="shared" si="56"/>
        <v>1.9115266099127802E-2</v>
      </c>
      <c r="AX64" s="17">
        <f>IF(AND(AS64&lt;&gt;"", AV64&lt;&gt;""), SUM(AV$59:AV64), "")</f>
        <v>3012</v>
      </c>
      <c r="AY64" s="16">
        <f t="shared" si="57"/>
        <v>0.15730923904528124</v>
      </c>
      <c r="AZ64" s="14"/>
      <c r="BA64" s="19">
        <v>44</v>
      </c>
      <c r="BB64" s="20" t="e" cm="1">
        <f t="array" aca="1" ref="BB64" ca="1">(BA64-INDIRECT(SUBSTITUTE(ADDRESS(1,COLUMN($C$9),4),"1","")&amp;SUMPRODUCT(($B$10:$D$26=INDIRECT(SUBSTITUTE(ADDRESS(1,COLUMN()-1,4),"1","")&amp;ROW()-8))*ROW($B$10:$D$26))))/INDIRECT(SUBSTITUTE(ADDRESS(1,COLUMN($D$9),4),"1","")&amp;SUMPRODUCT(($B$10:$D$26=INDIRECT(SUBSTITUTE(ADDRESS(1,COLUMN()-1,4),"1","")&amp;ROW()-8))*ROW($B$10:$D$26)))*10+50</f>
        <v>#DIV/0!</v>
      </c>
      <c r="BC64" s="8"/>
      <c r="BD64" s="49">
        <v>67</v>
      </c>
      <c r="BE64" s="83">
        <f t="shared" si="70"/>
        <v>2</v>
      </c>
      <c r="BF64" s="15">
        <f>IF(AND(BD64&lt;&gt;"", BG64&lt;&gt;""), ROUND(100*(1-(BI63+BI64)/2/BJ$56), $B$39), "")</f>
        <v>90</v>
      </c>
      <c r="BG64" s="52">
        <v>235</v>
      </c>
      <c r="BH64" s="16">
        <f t="shared" si="58"/>
        <v>1.5927883963670869E-2</v>
      </c>
      <c r="BI64" s="17">
        <f>IF(AND(BD64&lt;&gt;"", BG64&lt;&gt;""), SUM(BG$59:BG64), "")</f>
        <v>1573</v>
      </c>
      <c r="BJ64" s="16">
        <f t="shared" si="59"/>
        <v>0.10661515521214586</v>
      </c>
      <c r="BK64" s="14"/>
      <c r="BL64" s="27">
        <v>44</v>
      </c>
      <c r="BM64" s="20" t="e" cm="1">
        <f t="array" aca="1" ref="BM64" ca="1">(BL64-INDIRECT(SUBSTITUTE(ADDRESS(1,COLUMN($C$9),4),"1","")&amp;SUMPRODUCT(($B$10:$D$26=INDIRECT(SUBSTITUTE(ADDRESS(1,COLUMN()-1,4),"1","")&amp;ROW()-8))*ROW($B$10:$D$26))))/INDIRECT(SUBSTITUTE(ADDRESS(1,COLUMN($D$9),4),"1","")&amp;SUMPRODUCT(($B$10:$D$26=INDIRECT(SUBSTITUTE(ADDRESS(1,COLUMN()-1,4),"1","")&amp;ROW()-8))*ROW($B$10:$D$26)))*10+50</f>
        <v>#DIV/0!</v>
      </c>
      <c r="BN64" s="8"/>
      <c r="BO64" s="49">
        <v>74</v>
      </c>
      <c r="BP64" s="83">
        <f t="shared" si="71"/>
        <v>1</v>
      </c>
      <c r="BQ64" s="15">
        <f>IF(AND(BO64&lt;&gt;"", BR64&lt;&gt;""), ROUND(100*(1-(BT63+BT64)/2/BU$56), $B$39), "")</f>
        <v>97</v>
      </c>
      <c r="BR64" s="52">
        <v>16</v>
      </c>
      <c r="BS64" s="16">
        <f t="shared" si="60"/>
        <v>3.9331366764995086E-3</v>
      </c>
      <c r="BT64" s="17">
        <f>IF(AND(BO64&lt;&gt;"", BR64&lt;&gt;""), SUM(BR$59:BR64), "")</f>
        <v>121</v>
      </c>
      <c r="BU64" s="16">
        <f t="shared" si="61"/>
        <v>2.9744346116027533E-2</v>
      </c>
      <c r="BV64" s="14"/>
      <c r="BW64" s="27">
        <v>44</v>
      </c>
      <c r="BX64" s="20" t="e" cm="1">
        <f t="array" aca="1" ref="BX64" ca="1">(BW64-INDIRECT(SUBSTITUTE(ADDRESS(1,COLUMN($C$9),4),"1","")&amp;SUMPRODUCT(($B$10:$D$26=INDIRECT(SUBSTITUTE(ADDRESS(1,COLUMN()-1,4),"1","")&amp;ROW()-8))*ROW($B$10:$D$26))))/INDIRECT(SUBSTITUTE(ADDRESS(1,COLUMN($D$9),4),"1","")&amp;SUMPRODUCT(($B$10:$D$26=INDIRECT(SUBSTITUTE(ADDRESS(1,COLUMN()-1,4),"1","")&amp;ROW()-8))*ROW($B$10:$D$26)))*10+50</f>
        <v>#DIV/0!</v>
      </c>
      <c r="BY64" s="8"/>
      <c r="BZ64" s="49">
        <v>72</v>
      </c>
      <c r="CA64" s="83">
        <f t="shared" si="72"/>
        <v>1</v>
      </c>
      <c r="CB64" s="15">
        <f>IF(AND(BZ64&lt;&gt;"", CC64&lt;&gt;""), ROUND(100*(1-(CE63+CE64)/2/CF$56), $B$39), "")</f>
        <v>97</v>
      </c>
      <c r="CC64" s="52">
        <v>45</v>
      </c>
      <c r="CD64" s="16">
        <f t="shared" si="62"/>
        <v>9.8188959197032504E-3</v>
      </c>
      <c r="CE64" s="17">
        <f>IF(AND(BZ64&lt;&gt;"", CC64&lt;&gt;""), SUM(CC$59:CC64), "")</f>
        <v>181</v>
      </c>
      <c r="CF64" s="16">
        <f t="shared" si="63"/>
        <v>3.9493781365917524E-2</v>
      </c>
      <c r="CG64" s="14"/>
      <c r="CH64" s="27">
        <v>44</v>
      </c>
      <c r="CI64" s="20" t="e" cm="1">
        <f t="array" aca="1" ref="CI64" ca="1">(CH64-INDIRECT(SUBSTITUTE(ADDRESS(1,COLUMN($C$9),4),"1","")&amp;SUMPRODUCT(($B$10:$D$26=INDIRECT(SUBSTITUTE(ADDRESS(1,COLUMN()-1,4),"1","")&amp;ROW()-8))*ROW($B$10:$D$26))))/INDIRECT(SUBSTITUTE(ADDRESS(1,COLUMN($D$9),4),"1","")&amp;SUMPRODUCT(($B$10:$D$26=INDIRECT(SUBSTITUTE(ADDRESS(1,COLUMN()-1,4),"1","")&amp;ROW()-8))*ROW($B$10:$D$26)))*10+50</f>
        <v>#DIV/0!</v>
      </c>
      <c r="CJ64" s="8"/>
      <c r="CK64" s="49">
        <v>70</v>
      </c>
      <c r="CL64" s="83">
        <f t="shared" si="73"/>
        <v>2</v>
      </c>
      <c r="CM64" s="15">
        <f>IF(AND(CK64&lt;&gt;"", CN64&lt;&gt;""), ROUND(100*(1-(CP63+CP64)/2/CQ$56), $B$39), "")</f>
        <v>93</v>
      </c>
      <c r="CN64" s="52">
        <v>152</v>
      </c>
      <c r="CO64" s="16">
        <f t="shared" si="64"/>
        <v>1.9136346468588694E-2</v>
      </c>
      <c r="CP64" s="17">
        <f>IF(AND(CK64&lt;&gt;"", CN64&lt;&gt;""), SUM(CN$59:CN64), "")</f>
        <v>653</v>
      </c>
      <c r="CQ64" s="16">
        <f t="shared" si="65"/>
        <v>8.2210751605186955E-2</v>
      </c>
      <c r="CR64" s="14"/>
      <c r="CS64" s="27">
        <v>44</v>
      </c>
      <c r="CT64" s="20" t="e" cm="1">
        <f t="array" aca="1" ref="CT64" ca="1">(CS64-INDIRECT(SUBSTITUTE(ADDRESS(1,COLUMN($C$9),4),"1","")&amp;SUMPRODUCT(($B$10:$D$26=INDIRECT(SUBSTITUTE(ADDRESS(1,COLUMN()-1,4),"1","")&amp;ROW()-8))*ROW($B$10:$D$26))))/INDIRECT(SUBSTITUTE(ADDRESS(1,COLUMN($D$9),4),"1","")&amp;SUMPRODUCT(($B$10:$D$26=INDIRECT(SUBSTITUTE(ADDRESS(1,COLUMN()-1,4),"1","")&amp;ROW()-8))*ROW($B$10:$D$26)))*10+50</f>
        <v>#DIV/0!</v>
      </c>
      <c r="CU64" s="8"/>
      <c r="CV64" s="49">
        <v>78</v>
      </c>
      <c r="CW64" s="83">
        <f t="shared" si="74"/>
        <v>1</v>
      </c>
      <c r="CX64" s="15">
        <f>IF(AND(CV64&lt;&gt;"", CY64&lt;&gt;""), ROUND(100*(1-(DA63+DA64)/2/DB$56), $B$39), "")</f>
        <v>99</v>
      </c>
      <c r="CY64" s="52">
        <v>13</v>
      </c>
      <c r="CZ64" s="16">
        <f t="shared" si="66"/>
        <v>2.4894676369207201E-3</v>
      </c>
      <c r="DA64" s="17">
        <f>IF(AND(CV64&lt;&gt;"", CY64&lt;&gt;""), SUM(CY$59:CY64), "")</f>
        <v>77</v>
      </c>
      <c r="DB64" s="16">
        <f t="shared" si="67"/>
        <v>1.4745308310991957E-2</v>
      </c>
    </row>
    <row r="65" spans="5:106" ht="16" customHeight="1" x14ac:dyDescent="0.2">
      <c r="E65" s="1"/>
      <c r="F65" s="86"/>
      <c r="G65" s="85">
        <v>1</v>
      </c>
      <c r="H65" s="36"/>
      <c r="I65" s="86"/>
      <c r="J65" s="85">
        <v>1</v>
      </c>
      <c r="K65" s="70"/>
      <c r="L65" s="70"/>
      <c r="M65" s="70"/>
      <c r="N65"/>
      <c r="O65" s="38"/>
      <c r="P65" s="83" t="str">
        <f t="shared" si="27"/>
        <v/>
      </c>
      <c r="Q65" s="164" t="str">
        <f t="shared" si="18"/>
        <v/>
      </c>
      <c r="R65" s="43"/>
      <c r="S65" s="16" t="str">
        <f t="shared" si="36"/>
        <v/>
      </c>
      <c r="T65" s="17" t="str">
        <f>IF(AND(O65&lt;&gt;"", R65&lt;&gt;""), SUM(R$4:R65), "")</f>
        <v/>
      </c>
      <c r="U65" s="16" t="str">
        <f t="shared" si="37"/>
        <v/>
      </c>
      <c r="W65" s="38">
        <v>86</v>
      </c>
      <c r="X65" s="83">
        <f t="shared" si="28"/>
        <v>6</v>
      </c>
      <c r="Y65" s="164">
        <f t="shared" si="19"/>
        <v>33</v>
      </c>
      <c r="Z65" s="43">
        <v>4696</v>
      </c>
      <c r="AA65" s="16">
        <f t="shared" si="38"/>
        <v>1.2116364574598465E-2</v>
      </c>
      <c r="AB65" s="17">
        <f>IF(AND(W65&lt;&gt;"", Z65&lt;&gt;""), SUM(Z$4:Z65), "")</f>
        <v>262407</v>
      </c>
      <c r="AC65" s="16">
        <f t="shared" si="39"/>
        <v>0.6770483132296975</v>
      </c>
      <c r="AD65" s="1"/>
      <c r="AE65" s="19">
        <v>43</v>
      </c>
      <c r="AF65" s="20" t="e" cm="1">
        <f t="array" aca="1" ref="AF65" ca="1">(AE65-INDIRECT(SUBSTITUTE(ADDRESS(1,COLUMN($C$9),4),"1","")&amp;SUMPRODUCT(($B$10:$D$26=INDIRECT(SUBSTITUTE(ADDRESS(1,COLUMN()-1,4),"1","")&amp;ROW()-9))*ROW($B$10:$D$26))))/INDIRECT(SUBSTITUTE(ADDRESS(1,COLUMN($D$9),4),"1","")&amp;SUMPRODUCT(($B$10:$D$26=INDIRECT(SUBSTITUTE(ADDRESS(1,COLUMN()-1,4),"1","")&amp;ROW()-9))*ROW($B$10:$D$26)))*10+50</f>
        <v>#DIV/0!</v>
      </c>
      <c r="AG65" s="8"/>
      <c r="AH65" s="49">
        <v>61</v>
      </c>
      <c r="AI65" s="83">
        <f t="shared" si="68"/>
        <v>2</v>
      </c>
      <c r="AJ65" s="15">
        <f>IF(AND(AH65&lt;&gt;"", AK65&lt;&gt;""), ROUND(100*(1-(AM64+AM65)/2/AN$56), $B$39), "")</f>
        <v>90</v>
      </c>
      <c r="AK65" s="52">
        <v>338</v>
      </c>
      <c r="AL65" s="16">
        <f t="shared" si="54"/>
        <v>1.766858337689493E-2</v>
      </c>
      <c r="AM65" s="17">
        <f>IF(AND(AH65&lt;&gt;"", AK65&lt;&gt;""), SUM(AK$59:AK65), "")</f>
        <v>2095</v>
      </c>
      <c r="AN65" s="16">
        <f t="shared" si="55"/>
        <v>0.1095138525875588</v>
      </c>
      <c r="AO65" s="14"/>
      <c r="AP65" s="19">
        <v>43</v>
      </c>
      <c r="AQ65" s="20" t="e" cm="1">
        <f t="array" aca="1" ref="AQ65" ca="1">(AP65-INDIRECT(SUBSTITUTE(ADDRESS(1,COLUMN($C$9),4),"1","")&amp;SUMPRODUCT(($B$10:$D$26=INDIRECT(SUBSTITUTE(ADDRESS(1,COLUMN()-1,4),"1","")&amp;ROW()-9))*ROW($B$10:$D$26))))/INDIRECT(SUBSTITUTE(ADDRESS(1,COLUMN($D$9),4),"1","")&amp;SUMPRODUCT(($B$10:$D$26=INDIRECT(SUBSTITUTE(ADDRESS(1,COLUMN()-1,4),"1","")&amp;ROW()-9))*ROW($B$10:$D$26)))*10+50</f>
        <v>#DIV/0!</v>
      </c>
      <c r="AR65" s="8"/>
      <c r="AS65" s="49">
        <v>62</v>
      </c>
      <c r="AT65" s="83">
        <f t="shared" si="69"/>
        <v>3</v>
      </c>
      <c r="AU65" s="15">
        <f>IF(AND(AS65&lt;&gt;"", AV65&lt;&gt;""), ROUND(100*(1-(AX64+AX65)/2/AY$56), $B$39), "")</f>
        <v>84</v>
      </c>
      <c r="AV65" s="52">
        <v>215</v>
      </c>
      <c r="AW65" s="16">
        <f t="shared" si="56"/>
        <v>1.1228913145662506E-2</v>
      </c>
      <c r="AX65" s="17">
        <f>IF(AND(AS65&lt;&gt;"", AV65&lt;&gt;""), SUM(AV$59:AV65), "")</f>
        <v>3227</v>
      </c>
      <c r="AY65" s="16">
        <f t="shared" si="57"/>
        <v>0.16853815219094376</v>
      </c>
      <c r="AZ65" s="14"/>
      <c r="BA65" s="19">
        <v>43</v>
      </c>
      <c r="BB65" s="20" t="e" cm="1">
        <f t="array" aca="1" ref="BB65" ca="1">(BA65-INDIRECT(SUBSTITUTE(ADDRESS(1,COLUMN($C$9),4),"1","")&amp;SUMPRODUCT(($B$10:$D$26=INDIRECT(SUBSTITUTE(ADDRESS(1,COLUMN()-1,4),"1","")&amp;ROW()-9))*ROW($B$10:$D$26))))/INDIRECT(SUBSTITUTE(ADDRESS(1,COLUMN($D$9),4),"1","")&amp;SUMPRODUCT(($B$10:$D$26=INDIRECT(SUBSTITUTE(ADDRESS(1,COLUMN()-1,4),"1","")&amp;ROW()-9))*ROW($B$10:$D$26)))*10+50</f>
        <v>#DIV/0!</v>
      </c>
      <c r="BC65" s="8"/>
      <c r="BD65" s="49">
        <v>66</v>
      </c>
      <c r="BE65" s="83">
        <f t="shared" si="70"/>
        <v>2</v>
      </c>
      <c r="BF65" s="15">
        <f>IF(AND(BD65&lt;&gt;"", BG65&lt;&gt;""), ROUND(100*(1-(BI64+BI65)/2/BJ$56), $B$39), "")</f>
        <v>89</v>
      </c>
      <c r="BG65" s="52">
        <v>124</v>
      </c>
      <c r="BH65" s="16">
        <f t="shared" si="58"/>
        <v>8.4045004744476067E-3</v>
      </c>
      <c r="BI65" s="17">
        <f>IF(AND(BD65&lt;&gt;"", BG65&lt;&gt;""), SUM(BG$59:BG65), "")</f>
        <v>1697</v>
      </c>
      <c r="BJ65" s="16">
        <f t="shared" si="59"/>
        <v>0.11501965568659346</v>
      </c>
      <c r="BK65" s="14"/>
      <c r="BL65" s="27">
        <v>43</v>
      </c>
      <c r="BM65" s="20" t="e" cm="1">
        <f t="array" aca="1" ref="BM65" ca="1">(BL65-INDIRECT(SUBSTITUTE(ADDRESS(1,COLUMN($C$9),4),"1","")&amp;SUMPRODUCT(($B$10:$D$26=INDIRECT(SUBSTITUTE(ADDRESS(1,COLUMN()-1,4),"1","")&amp;ROW()-9))*ROW($B$10:$D$26))))/INDIRECT(SUBSTITUTE(ADDRESS(1,COLUMN($D$9),4),"1","")&amp;SUMPRODUCT(($B$10:$D$26=INDIRECT(SUBSTITUTE(ADDRESS(1,COLUMN()-1,4),"1","")&amp;ROW()-9))*ROW($B$10:$D$26)))*10+50</f>
        <v>#DIV/0!</v>
      </c>
      <c r="BN65" s="8"/>
      <c r="BO65" s="49">
        <v>73</v>
      </c>
      <c r="BP65" s="83">
        <f t="shared" si="71"/>
        <v>1</v>
      </c>
      <c r="BQ65" s="15">
        <f>IF(AND(BO65&lt;&gt;"", BR65&lt;&gt;""), ROUND(100*(1-(BT64+BT65)/2/BU$56), $B$39), "")</f>
        <v>96</v>
      </c>
      <c r="BR65" s="52">
        <v>91</v>
      </c>
      <c r="BS65" s="16">
        <f t="shared" si="60"/>
        <v>2.2369714847590955E-2</v>
      </c>
      <c r="BT65" s="17">
        <f>IF(AND(BO65&lt;&gt;"", BR65&lt;&gt;""), SUM(BR$59:BR65), "")</f>
        <v>212</v>
      </c>
      <c r="BU65" s="16">
        <f t="shared" si="61"/>
        <v>5.2114060963618487E-2</v>
      </c>
      <c r="BV65" s="14"/>
      <c r="BW65" s="27">
        <v>43</v>
      </c>
      <c r="BX65" s="20" t="e" cm="1">
        <f t="array" aca="1" ref="BX65" ca="1">(BW65-INDIRECT(SUBSTITUTE(ADDRESS(1,COLUMN($C$9),4),"1","")&amp;SUMPRODUCT(($B$10:$D$26=INDIRECT(SUBSTITUTE(ADDRESS(1,COLUMN()-1,4),"1","")&amp;ROW()-9))*ROW($B$10:$D$26))))/INDIRECT(SUBSTITUTE(ADDRESS(1,COLUMN($D$9),4),"1","")&amp;SUMPRODUCT(($B$10:$D$26=INDIRECT(SUBSTITUTE(ADDRESS(1,COLUMN()-1,4),"1","")&amp;ROW()-9))*ROW($B$10:$D$26)))*10+50</f>
        <v>#DIV/0!</v>
      </c>
      <c r="BY65" s="8"/>
      <c r="BZ65" s="49">
        <v>71</v>
      </c>
      <c r="CA65" s="83">
        <f t="shared" si="72"/>
        <v>1</v>
      </c>
      <c r="CB65" s="15">
        <f>IF(AND(BZ65&lt;&gt;"", CC65&lt;&gt;""), ROUND(100*(1-(CE64+CE65)/2/CF$56), $B$39), "")</f>
        <v>96</v>
      </c>
      <c r="CC65" s="52">
        <v>48</v>
      </c>
      <c r="CD65" s="16">
        <f t="shared" si="62"/>
        <v>1.0473488981016802E-2</v>
      </c>
      <c r="CE65" s="17">
        <f>IF(AND(BZ65&lt;&gt;"", CC65&lt;&gt;""), SUM(CC$59:CC65), "")</f>
        <v>229</v>
      </c>
      <c r="CF65" s="16">
        <f t="shared" si="63"/>
        <v>4.9967270346934323E-2</v>
      </c>
      <c r="CG65" s="14"/>
      <c r="CH65" s="27">
        <v>43</v>
      </c>
      <c r="CI65" s="20" t="e" cm="1">
        <f t="array" aca="1" ref="CI65" ca="1">(CH65-INDIRECT(SUBSTITUTE(ADDRESS(1,COLUMN($C$9),4),"1","")&amp;SUMPRODUCT(($B$10:$D$26=INDIRECT(SUBSTITUTE(ADDRESS(1,COLUMN()-1,4),"1","")&amp;ROW()-9))*ROW($B$10:$D$26))))/INDIRECT(SUBSTITUTE(ADDRESS(1,COLUMN($D$9),4),"1","")&amp;SUMPRODUCT(($B$10:$D$26=INDIRECT(SUBSTITUTE(ADDRESS(1,COLUMN()-1,4),"1","")&amp;ROW()-9))*ROW($B$10:$D$26)))*10+50</f>
        <v>#DIV/0!</v>
      </c>
      <c r="CJ65" s="8"/>
      <c r="CK65" s="49">
        <v>69</v>
      </c>
      <c r="CL65" s="83">
        <f t="shared" si="73"/>
        <v>2</v>
      </c>
      <c r="CM65" s="15">
        <f>IF(AND(CK65&lt;&gt;"", CN65&lt;&gt;""), ROUND(100*(1-(CP64+CP65)/2/CQ$56), $B$39), "")</f>
        <v>91</v>
      </c>
      <c r="CN65" s="52">
        <v>137</v>
      </c>
      <c r="CO65" s="16">
        <f t="shared" si="64"/>
        <v>1.7247891224977968E-2</v>
      </c>
      <c r="CP65" s="17">
        <f>IF(AND(CK65&lt;&gt;"", CN65&lt;&gt;""), SUM(CN$59:CN65), "")</f>
        <v>790</v>
      </c>
      <c r="CQ65" s="16">
        <f t="shared" si="65"/>
        <v>9.9458642830164923E-2</v>
      </c>
      <c r="CR65" s="14"/>
      <c r="CS65" s="27">
        <v>43</v>
      </c>
      <c r="CT65" s="20" t="e" cm="1">
        <f t="array" aca="1" ref="CT65" ca="1">(CS65-INDIRECT(SUBSTITUTE(ADDRESS(1,COLUMN($C$9),4),"1","")&amp;SUMPRODUCT(($B$10:$D$26=INDIRECT(SUBSTITUTE(ADDRESS(1,COLUMN()-1,4),"1","")&amp;ROW()-9))*ROW($B$10:$D$26))))/INDIRECT(SUBSTITUTE(ADDRESS(1,COLUMN($D$9),4),"1","")&amp;SUMPRODUCT(($B$10:$D$26=INDIRECT(SUBSTITUTE(ADDRESS(1,COLUMN()-1,4),"1","")&amp;ROW()-9))*ROW($B$10:$D$26)))*10+50</f>
        <v>#DIV/0!</v>
      </c>
      <c r="CU65" s="8"/>
      <c r="CV65" s="49">
        <v>77</v>
      </c>
      <c r="CW65" s="83">
        <f t="shared" si="74"/>
        <v>1</v>
      </c>
      <c r="CX65" s="15">
        <f>IF(AND(CV65&lt;&gt;"", CY65&lt;&gt;""), ROUND(100*(1-(DA64+DA65)/2/DB$56), $B$39), "")</f>
        <v>98</v>
      </c>
      <c r="CY65" s="52">
        <v>46</v>
      </c>
      <c r="CZ65" s="16">
        <f t="shared" si="66"/>
        <v>8.8088854844887016E-3</v>
      </c>
      <c r="DA65" s="17">
        <f>IF(AND(CV65&lt;&gt;"", CY65&lt;&gt;""), SUM(CY$59:CY65), "")</f>
        <v>123</v>
      </c>
      <c r="DB65" s="16">
        <f t="shared" si="67"/>
        <v>2.3554193795480658E-2</v>
      </c>
    </row>
    <row r="66" spans="5:106" ht="16" customHeight="1" x14ac:dyDescent="0.2">
      <c r="E66" s="1"/>
      <c r="F66" s="86"/>
      <c r="G66" s="85">
        <v>2</v>
      </c>
      <c r="H66" s="36"/>
      <c r="I66" s="86"/>
      <c r="J66" s="85">
        <v>2</v>
      </c>
      <c r="K66" s="70"/>
      <c r="L66" s="70"/>
      <c r="M66" s="70"/>
      <c r="N66"/>
      <c r="O66" s="38"/>
      <c r="P66" s="83" t="str">
        <f t="shared" si="27"/>
        <v/>
      </c>
      <c r="Q66" s="164" t="str">
        <f t="shared" si="18"/>
        <v/>
      </c>
      <c r="R66" s="43"/>
      <c r="S66" s="16" t="str">
        <f t="shared" si="36"/>
        <v/>
      </c>
      <c r="T66" s="17" t="str">
        <f>IF(AND(O66&lt;&gt;"", R66&lt;&gt;""), SUM(R$4:R66), "")</f>
        <v/>
      </c>
      <c r="U66" s="16" t="str">
        <f t="shared" si="37"/>
        <v/>
      </c>
      <c r="W66" s="38">
        <v>85</v>
      </c>
      <c r="X66" s="83">
        <f t="shared" si="28"/>
        <v>6</v>
      </c>
      <c r="Y66" s="164">
        <f t="shared" si="19"/>
        <v>32</v>
      </c>
      <c r="Z66" s="43">
        <v>4659</v>
      </c>
      <c r="AA66" s="16">
        <f t="shared" si="38"/>
        <v>1.2020899180803716E-2</v>
      </c>
      <c r="AB66" s="17">
        <f>IF(AND(W66&lt;&gt;"", Z66&lt;&gt;""), SUM(Z$4:Z66), "")</f>
        <v>267066</v>
      </c>
      <c r="AC66" s="16">
        <f t="shared" si="39"/>
        <v>0.68906921241050123</v>
      </c>
      <c r="AD66" s="1"/>
      <c r="AE66" s="19">
        <v>42</v>
      </c>
      <c r="AF66" s="20" t="e" cm="1">
        <f t="array" aca="1" ref="AF66" ca="1">(AE66-INDIRECT(SUBSTITUTE(ADDRESS(1,COLUMN($C$9),4),"1","")&amp;SUMPRODUCT(($B$10:$D$26=INDIRECT(SUBSTITUTE(ADDRESS(1,COLUMN()-1,4),"1","")&amp;ROW()-10))*ROW($B$10:$D$26))))/INDIRECT(SUBSTITUTE(ADDRESS(1,COLUMN($D$9),4),"1","")&amp;SUMPRODUCT(($B$10:$D$26=INDIRECT(SUBSTITUTE(ADDRESS(1,COLUMN()-1,4),"1","")&amp;ROW()-10))*ROW($B$10:$D$26)))*10+50</f>
        <v>#DIV/0!</v>
      </c>
      <c r="AG66" s="8"/>
      <c r="AH66" s="49">
        <v>60</v>
      </c>
      <c r="AI66" s="83">
        <f t="shared" si="68"/>
        <v>2</v>
      </c>
      <c r="AJ66" s="15">
        <f>IF(AND(AH66&lt;&gt;"", AK66&lt;&gt;""), ROUND(100*(1-(AM65+AM66)/2/AN$56), $B$39), "")</f>
        <v>88</v>
      </c>
      <c r="AK66" s="52">
        <v>234</v>
      </c>
      <c r="AL66" s="16">
        <f t="shared" si="54"/>
        <v>1.2232096184004181E-2</v>
      </c>
      <c r="AM66" s="17">
        <f>IF(AND(AH66&lt;&gt;"", AK66&lt;&gt;""), SUM(AK$59:AK66), "")</f>
        <v>2329</v>
      </c>
      <c r="AN66" s="16">
        <f t="shared" si="55"/>
        <v>0.12174594877156299</v>
      </c>
      <c r="AO66" s="14"/>
      <c r="AP66" s="19">
        <v>42</v>
      </c>
      <c r="AQ66" s="20" t="e" cm="1">
        <f t="array" aca="1" ref="AQ66" ca="1">(AP66-INDIRECT(SUBSTITUTE(ADDRESS(1,COLUMN($C$9),4),"1","")&amp;SUMPRODUCT(($B$10:$D$26=INDIRECT(SUBSTITUTE(ADDRESS(1,COLUMN()-1,4),"1","")&amp;ROW()-10))*ROW($B$10:$D$26))))/INDIRECT(SUBSTITUTE(ADDRESS(1,COLUMN($D$9),4),"1","")&amp;SUMPRODUCT(($B$10:$D$26=INDIRECT(SUBSTITUTE(ADDRESS(1,COLUMN()-1,4),"1","")&amp;ROW()-10))*ROW($B$10:$D$26)))*10+50</f>
        <v>#DIV/0!</v>
      </c>
      <c r="AR66" s="8"/>
      <c r="AS66" s="49">
        <v>61</v>
      </c>
      <c r="AT66" s="83">
        <f t="shared" si="69"/>
        <v>3</v>
      </c>
      <c r="AU66" s="15">
        <f>IF(AND(AS66&lt;&gt;"", AV66&lt;&gt;""), ROUND(100*(1-(AX65+AX66)/2/AY$56), $B$39), "")</f>
        <v>82</v>
      </c>
      <c r="AV66" s="52">
        <v>627</v>
      </c>
      <c r="AW66" s="16">
        <f t="shared" si="56"/>
        <v>3.2746644382932052E-2</v>
      </c>
      <c r="AX66" s="17">
        <f>IF(AND(AS66&lt;&gt;"", AV66&lt;&gt;""), SUM(AV$59:AV66), "")</f>
        <v>3854</v>
      </c>
      <c r="AY66" s="16">
        <f t="shared" si="57"/>
        <v>0.2012847965738758</v>
      </c>
      <c r="AZ66" s="14"/>
      <c r="BA66" s="19">
        <v>42</v>
      </c>
      <c r="BB66" s="20" t="e" cm="1">
        <f t="array" aca="1" ref="BB66" ca="1">(BA66-INDIRECT(SUBSTITUTE(ADDRESS(1,COLUMN($C$9),4),"1","")&amp;SUMPRODUCT(($B$10:$D$26=INDIRECT(SUBSTITUTE(ADDRESS(1,COLUMN()-1,4),"1","")&amp;ROW()-10))*ROW($B$10:$D$26))))/INDIRECT(SUBSTITUTE(ADDRESS(1,COLUMN($D$9),4),"1","")&amp;SUMPRODUCT(($B$10:$D$26=INDIRECT(SUBSTITUTE(ADDRESS(1,COLUMN()-1,4),"1","")&amp;ROW()-10))*ROW($B$10:$D$26)))*10+50</f>
        <v>#DIV/0!</v>
      </c>
      <c r="BC66" s="8"/>
      <c r="BD66" s="49">
        <v>65</v>
      </c>
      <c r="BE66" s="83">
        <f t="shared" si="70"/>
        <v>3</v>
      </c>
      <c r="BF66" s="15">
        <f>IF(AND(BD66&lt;&gt;"", BG66&lt;&gt;""), ROUND(100*(1-(BI65+BI66)/2/BJ$56), $B$39), "")</f>
        <v>88</v>
      </c>
      <c r="BG66" s="52">
        <v>215</v>
      </c>
      <c r="BH66" s="16">
        <f t="shared" si="58"/>
        <v>1.4572319371018029E-2</v>
      </c>
      <c r="BI66" s="17">
        <f>IF(AND(BD66&lt;&gt;"", BG66&lt;&gt;""), SUM(BG$59:BG66), "")</f>
        <v>1912</v>
      </c>
      <c r="BJ66" s="16">
        <f t="shared" si="59"/>
        <v>0.1295919750576115</v>
      </c>
      <c r="BK66" s="14"/>
      <c r="BL66" s="27">
        <v>42</v>
      </c>
      <c r="BM66" s="20" t="e" cm="1">
        <f t="array" aca="1" ref="BM66" ca="1">(BL66-INDIRECT(SUBSTITUTE(ADDRESS(1,COLUMN($C$9),4),"1","")&amp;SUMPRODUCT(($B$10:$D$26=INDIRECT(SUBSTITUTE(ADDRESS(1,COLUMN()-1,4),"1","")&amp;ROW()-10))*ROW($B$10:$D$26))))/INDIRECT(SUBSTITUTE(ADDRESS(1,COLUMN($D$9),4),"1","")&amp;SUMPRODUCT(($B$10:$D$26=INDIRECT(SUBSTITUTE(ADDRESS(1,COLUMN()-1,4),"1","")&amp;ROW()-10))*ROW($B$10:$D$26)))*10+50</f>
        <v>#DIV/0!</v>
      </c>
      <c r="BN66" s="8"/>
      <c r="BO66" s="49">
        <v>72</v>
      </c>
      <c r="BP66" s="83">
        <f t="shared" si="71"/>
        <v>2</v>
      </c>
      <c r="BQ66" s="15">
        <f>IF(AND(BO66&lt;&gt;"", BR66&lt;&gt;""), ROUND(100*(1-(BT65+BT66)/2/BU$56), $B$39), "")</f>
        <v>94</v>
      </c>
      <c r="BR66" s="52">
        <v>25</v>
      </c>
      <c r="BS66" s="16">
        <f t="shared" si="60"/>
        <v>6.145526057030482E-3</v>
      </c>
      <c r="BT66" s="17">
        <f>IF(AND(BO66&lt;&gt;"", BR66&lt;&gt;""), SUM(BR$59:BR66), "")</f>
        <v>237</v>
      </c>
      <c r="BU66" s="16">
        <f t="shared" si="61"/>
        <v>5.825958702064897E-2</v>
      </c>
      <c r="BV66" s="14"/>
      <c r="BW66" s="27">
        <v>42</v>
      </c>
      <c r="BX66" s="20" t="e" cm="1">
        <f t="array" aca="1" ref="BX66" ca="1">(BW66-INDIRECT(SUBSTITUTE(ADDRESS(1,COLUMN($C$9),4),"1","")&amp;SUMPRODUCT(($B$10:$D$26=INDIRECT(SUBSTITUTE(ADDRESS(1,COLUMN()-1,4),"1","")&amp;ROW()-10))*ROW($B$10:$D$26))))/INDIRECT(SUBSTITUTE(ADDRESS(1,COLUMN($D$9),4),"1","")&amp;SUMPRODUCT(($B$10:$D$26=INDIRECT(SUBSTITUTE(ADDRESS(1,COLUMN()-1,4),"1","")&amp;ROW()-10))*ROW($B$10:$D$26)))*10+50</f>
        <v>#DIV/0!</v>
      </c>
      <c r="BY66" s="8"/>
      <c r="BZ66" s="49">
        <v>70</v>
      </c>
      <c r="CA66" s="83">
        <f t="shared" si="72"/>
        <v>2</v>
      </c>
      <c r="CB66" s="15">
        <f>IF(AND(BZ66&lt;&gt;"", CC66&lt;&gt;""), ROUND(100*(1-(CE65+CE66)/2/CF$56), $B$39), "")</f>
        <v>95</v>
      </c>
      <c r="CC66" s="52">
        <v>32</v>
      </c>
      <c r="CD66" s="16">
        <f t="shared" si="62"/>
        <v>6.9823259873445344E-3</v>
      </c>
      <c r="CE66" s="17">
        <f>IF(AND(BZ66&lt;&gt;"", CC66&lt;&gt;""), SUM(CC$59:CC66), "")</f>
        <v>261</v>
      </c>
      <c r="CF66" s="16">
        <f t="shared" si="63"/>
        <v>5.694959633427886E-2</v>
      </c>
      <c r="CG66" s="14"/>
      <c r="CH66" s="27">
        <v>42</v>
      </c>
      <c r="CI66" s="20" t="e" cm="1">
        <f t="array" aca="1" ref="CI66" ca="1">(CH66-INDIRECT(SUBSTITUTE(ADDRESS(1,COLUMN($C$9),4),"1","")&amp;SUMPRODUCT(($B$10:$D$26=INDIRECT(SUBSTITUTE(ADDRESS(1,COLUMN()-1,4),"1","")&amp;ROW()-10))*ROW($B$10:$D$26))))/INDIRECT(SUBSTITUTE(ADDRESS(1,COLUMN($D$9),4),"1","")&amp;SUMPRODUCT(($B$10:$D$26=INDIRECT(SUBSTITUTE(ADDRESS(1,COLUMN()-1,4),"1","")&amp;ROW()-10))*ROW($B$10:$D$26)))*10+50</f>
        <v>#DIV/0!</v>
      </c>
      <c r="CJ66" s="8"/>
      <c r="CK66" s="48">
        <v>68</v>
      </c>
      <c r="CL66" s="83">
        <f t="shared" si="73"/>
        <v>2</v>
      </c>
      <c r="CM66" s="15">
        <f>IF(AND(CK66&lt;&gt;"", CN66&lt;&gt;""), ROUND(100*(1-(CP65+CP66)/2/CQ$56), $B$39), "")</f>
        <v>90</v>
      </c>
      <c r="CN66" s="52">
        <v>69</v>
      </c>
      <c r="CO66" s="16">
        <f t="shared" si="64"/>
        <v>8.6868941206093408E-3</v>
      </c>
      <c r="CP66" s="17">
        <f>IF(AND(CK66&lt;&gt;"", CN66&lt;&gt;""), SUM(CN$59:CN66), "")</f>
        <v>859</v>
      </c>
      <c r="CQ66" s="16">
        <f t="shared" si="65"/>
        <v>0.10814553695077427</v>
      </c>
      <c r="CR66" s="14"/>
      <c r="CS66" s="27">
        <v>42</v>
      </c>
      <c r="CT66" s="20" t="e" cm="1">
        <f t="array" aca="1" ref="CT66" ca="1">(CS66-INDIRECT(SUBSTITUTE(ADDRESS(1,COLUMN($C$9),4),"1","")&amp;SUMPRODUCT(($B$10:$D$26=INDIRECT(SUBSTITUTE(ADDRESS(1,COLUMN()-1,4),"1","")&amp;ROW()-10))*ROW($B$10:$D$26))))/INDIRECT(SUBSTITUTE(ADDRESS(1,COLUMN($D$9),4),"1","")&amp;SUMPRODUCT(($B$10:$D$26=INDIRECT(SUBSTITUTE(ADDRESS(1,COLUMN()-1,4),"1","")&amp;ROW()-10))*ROW($B$10:$D$26)))*10+50</f>
        <v>#DIV/0!</v>
      </c>
      <c r="CU66" s="8"/>
      <c r="CV66" s="49">
        <v>75</v>
      </c>
      <c r="CW66" s="83">
        <f t="shared" si="74"/>
        <v>1</v>
      </c>
      <c r="CX66" s="15">
        <f>IF(AND(CV66&lt;&gt;"", CY66&lt;&gt;""), ROUND(100*(1-(DA65+DA66)/2/DB$56), $B$39), "")</f>
        <v>97</v>
      </c>
      <c r="CY66" s="52">
        <v>32</v>
      </c>
      <c r="CZ66" s="16">
        <f t="shared" si="66"/>
        <v>6.1279203370356184E-3</v>
      </c>
      <c r="DA66" s="17">
        <f>IF(AND(CV66&lt;&gt;"", CY66&lt;&gt;""), SUM(CY$59:CY66), "")</f>
        <v>155</v>
      </c>
      <c r="DB66" s="16">
        <f t="shared" si="67"/>
        <v>2.9682114132516278E-2</v>
      </c>
    </row>
    <row r="67" spans="5:106" ht="16" customHeight="1" x14ac:dyDescent="0.2">
      <c r="E67" s="1"/>
      <c r="F67" s="86"/>
      <c r="G67" s="85">
        <v>3</v>
      </c>
      <c r="H67" s="36"/>
      <c r="I67" s="86"/>
      <c r="J67" s="85">
        <v>3</v>
      </c>
      <c r="K67" s="70"/>
      <c r="L67" s="70"/>
      <c r="M67" s="70"/>
      <c r="N67"/>
      <c r="O67" s="38"/>
      <c r="P67" s="83" t="str">
        <f t="shared" si="27"/>
        <v/>
      </c>
      <c r="Q67" s="164" t="str">
        <f t="shared" si="18"/>
        <v/>
      </c>
      <c r="R67" s="43"/>
      <c r="S67" s="16" t="str">
        <f t="shared" si="36"/>
        <v/>
      </c>
      <c r="T67" s="17" t="str">
        <f>IF(AND(O67&lt;&gt;"", R67&lt;&gt;""), SUM(R$4:R67), "")</f>
        <v/>
      </c>
      <c r="U67" s="16" t="str">
        <f t="shared" si="37"/>
        <v/>
      </c>
      <c r="W67" s="38">
        <v>84</v>
      </c>
      <c r="X67" s="83">
        <f t="shared" si="28"/>
        <v>6</v>
      </c>
      <c r="Y67" s="164">
        <f t="shared" si="19"/>
        <v>31</v>
      </c>
      <c r="Z67" s="43">
        <v>4495</v>
      </c>
      <c r="AA67" s="16">
        <f t="shared" si="38"/>
        <v>1.1597755273172933E-2</v>
      </c>
      <c r="AB67" s="17">
        <f>IF(AND(W67&lt;&gt;"", Z67&lt;&gt;""), SUM(Z$4:Z67), "")</f>
        <v>271561</v>
      </c>
      <c r="AC67" s="16">
        <f t="shared" si="39"/>
        <v>0.70066696768367409</v>
      </c>
      <c r="AD67" s="1"/>
      <c r="AE67" s="19">
        <v>41</v>
      </c>
      <c r="AF67" s="20" t="e" cm="1">
        <f t="array" aca="1" ref="AF67" ca="1">(AE67-INDIRECT(SUBSTITUTE(ADDRESS(1,COLUMN($C$9),4),"1","")&amp;SUMPRODUCT(($B$10:$D$26=INDIRECT(SUBSTITUTE(ADDRESS(1,COLUMN()-1,4),"1","")&amp;ROW()-11))*ROW($B$10:$D$26))))/INDIRECT(SUBSTITUTE(ADDRESS(1,COLUMN($D$9),4),"1","")&amp;SUMPRODUCT(($B$10:$D$26=INDIRECT(SUBSTITUTE(ADDRESS(1,COLUMN()-1,4),"1","")&amp;ROW()-11))*ROW($B$10:$D$26)))*10+50</f>
        <v>#DIV/0!</v>
      </c>
      <c r="AG67" s="8"/>
      <c r="AH67" s="49">
        <v>59</v>
      </c>
      <c r="AI67" s="83">
        <f t="shared" si="68"/>
        <v>3</v>
      </c>
      <c r="AJ67" s="15">
        <f>IF(AND(AH67&lt;&gt;"", AK67&lt;&gt;""), ROUND(100*(1-(AM66+AM67)/2/AN$56), $B$39), "")</f>
        <v>86</v>
      </c>
      <c r="AK67" s="52">
        <v>601</v>
      </c>
      <c r="AL67" s="16">
        <f t="shared" si="54"/>
        <v>3.1416623105070568E-2</v>
      </c>
      <c r="AM67" s="17">
        <f>IF(AND(AH67&lt;&gt;"", AK67&lt;&gt;""), SUM(AK$59:AK67), "")</f>
        <v>2930</v>
      </c>
      <c r="AN67" s="16">
        <f t="shared" si="55"/>
        <v>0.15316257187663357</v>
      </c>
      <c r="AO67" s="14"/>
      <c r="AP67" s="19">
        <v>41</v>
      </c>
      <c r="AQ67" s="20" t="e" cm="1">
        <f t="array" aca="1" ref="AQ67" ca="1">(AP67-INDIRECT(SUBSTITUTE(ADDRESS(1,COLUMN($C$9),4),"1","")&amp;SUMPRODUCT(($B$10:$D$26=INDIRECT(SUBSTITUTE(ADDRESS(1,COLUMN()-1,4),"1","")&amp;ROW()-11))*ROW($B$10:$D$26))))/INDIRECT(SUBSTITUTE(ADDRESS(1,COLUMN($D$9),4),"1","")&amp;SUMPRODUCT(($B$10:$D$26=INDIRECT(SUBSTITUTE(ADDRESS(1,COLUMN()-1,4),"1","")&amp;ROW()-11))*ROW($B$10:$D$26)))*10+50</f>
        <v>#DIV/0!</v>
      </c>
      <c r="AR67" s="8"/>
      <c r="AS67" s="49">
        <v>60</v>
      </c>
      <c r="AT67" s="83">
        <f t="shared" si="69"/>
        <v>3</v>
      </c>
      <c r="AU67" s="15">
        <f>IF(AND(AS67&lt;&gt;"", AV67&lt;&gt;""), ROUND(100*(1-(AX66+AX67)/2/AY$56), $B$39), "")</f>
        <v>79</v>
      </c>
      <c r="AV67" s="52">
        <v>244</v>
      </c>
      <c r="AW67" s="16">
        <f t="shared" si="56"/>
        <v>1.2743510732751867E-2</v>
      </c>
      <c r="AX67" s="17">
        <f>IF(AND(AS67&lt;&gt;"", AV67&lt;&gt;""), SUM(AV$59:AV67), "")</f>
        <v>4098</v>
      </c>
      <c r="AY67" s="16">
        <f t="shared" si="57"/>
        <v>0.21402830730662767</v>
      </c>
      <c r="AZ67" s="14"/>
      <c r="BA67" s="19">
        <v>41</v>
      </c>
      <c r="BB67" s="20" t="e" cm="1">
        <f t="array" aca="1" ref="BB67" ca="1">(BA67-INDIRECT(SUBSTITUTE(ADDRESS(1,COLUMN($C$9),4),"1","")&amp;SUMPRODUCT(($B$10:$D$26=INDIRECT(SUBSTITUTE(ADDRESS(1,COLUMN()-1,4),"1","")&amp;ROW()-11))*ROW($B$10:$D$26))))/INDIRECT(SUBSTITUTE(ADDRESS(1,COLUMN($D$9),4),"1","")&amp;SUMPRODUCT(($B$10:$D$26=INDIRECT(SUBSTITUTE(ADDRESS(1,COLUMN()-1,4),"1","")&amp;ROW()-11))*ROW($B$10:$D$26)))*10+50</f>
        <v>#DIV/0!</v>
      </c>
      <c r="BC67" s="8"/>
      <c r="BD67" s="49">
        <v>64</v>
      </c>
      <c r="BE67" s="83">
        <f t="shared" si="70"/>
        <v>3</v>
      </c>
      <c r="BF67" s="15">
        <f>IF(AND(BD67&lt;&gt;"", BG67&lt;&gt;""), ROUND(100*(1-(BI66+BI67)/2/BJ$56), $B$39), "")</f>
        <v>86</v>
      </c>
      <c r="BG67" s="52">
        <v>335</v>
      </c>
      <c r="BH67" s="16">
        <f t="shared" si="58"/>
        <v>2.2705706926935069E-2</v>
      </c>
      <c r="BI67" s="17">
        <f>IF(AND(BD67&lt;&gt;"", BG67&lt;&gt;""), SUM(BG$59:BG67), "")</f>
        <v>2247</v>
      </c>
      <c r="BJ67" s="16">
        <f t="shared" si="59"/>
        <v>0.15229768198454657</v>
      </c>
      <c r="BK67" s="14"/>
      <c r="BL67" s="27">
        <v>41</v>
      </c>
      <c r="BM67" s="20" t="e" cm="1">
        <f t="array" aca="1" ref="BM67" ca="1">(BL67-INDIRECT(SUBSTITUTE(ADDRESS(1,COLUMN($C$9),4),"1","")&amp;SUMPRODUCT(($B$10:$D$26=INDIRECT(SUBSTITUTE(ADDRESS(1,COLUMN()-1,4),"1","")&amp;ROW()-11))*ROW($B$10:$D$26))))/INDIRECT(SUBSTITUTE(ADDRESS(1,COLUMN($D$9),4),"1","")&amp;SUMPRODUCT(($B$10:$D$26=INDIRECT(SUBSTITUTE(ADDRESS(1,COLUMN()-1,4),"1","")&amp;ROW()-11))*ROW($B$10:$D$26)))*10+50</f>
        <v>#DIV/0!</v>
      </c>
      <c r="BN67" s="8"/>
      <c r="BO67" s="49">
        <v>71</v>
      </c>
      <c r="BP67" s="83">
        <f t="shared" si="71"/>
        <v>2</v>
      </c>
      <c r="BQ67" s="15">
        <f>IF(AND(BO67&lt;&gt;"", BR67&lt;&gt;""), ROUND(100*(1-(BT66+BT67)/2/BU$56), $B$39), "")</f>
        <v>94</v>
      </c>
      <c r="BR67" s="52">
        <v>49</v>
      </c>
      <c r="BS67" s="16">
        <f t="shared" si="60"/>
        <v>1.2045231071779744E-2</v>
      </c>
      <c r="BT67" s="17">
        <f>IF(AND(BO67&lt;&gt;"", BR67&lt;&gt;""), SUM(BR$59:BR67), "")</f>
        <v>286</v>
      </c>
      <c r="BU67" s="16">
        <f t="shared" si="61"/>
        <v>7.0304818092428709E-2</v>
      </c>
      <c r="BV67" s="14"/>
      <c r="BW67" s="27">
        <v>41</v>
      </c>
      <c r="BX67" s="20" t="e" cm="1">
        <f t="array" aca="1" ref="BX67" ca="1">(BW67-INDIRECT(SUBSTITUTE(ADDRESS(1,COLUMN($C$9),4),"1","")&amp;SUMPRODUCT(($B$10:$D$26=INDIRECT(SUBSTITUTE(ADDRESS(1,COLUMN()-1,4),"1","")&amp;ROW()-11))*ROW($B$10:$D$26))))/INDIRECT(SUBSTITUTE(ADDRESS(1,COLUMN($D$9),4),"1","")&amp;SUMPRODUCT(($B$10:$D$26=INDIRECT(SUBSTITUTE(ADDRESS(1,COLUMN()-1,4),"1","")&amp;ROW()-11))*ROW($B$10:$D$26)))*10+50</f>
        <v>#DIV/0!</v>
      </c>
      <c r="BY67" s="8"/>
      <c r="BZ67" s="49">
        <v>69</v>
      </c>
      <c r="CA67" s="83">
        <f t="shared" si="72"/>
        <v>2</v>
      </c>
      <c r="CB67" s="15">
        <f>IF(AND(BZ67&lt;&gt;"", CC67&lt;&gt;""), ROUND(100*(1-(CE66+CE67)/2/CF$56), $B$39), "")</f>
        <v>94</v>
      </c>
      <c r="CC67" s="52">
        <v>48</v>
      </c>
      <c r="CD67" s="16">
        <f t="shared" si="62"/>
        <v>1.0473488981016802E-2</v>
      </c>
      <c r="CE67" s="17">
        <f>IF(AND(BZ67&lt;&gt;"", CC67&lt;&gt;""), SUM(CC$59:CC67), "")</f>
        <v>309</v>
      </c>
      <c r="CF67" s="16">
        <f t="shared" si="63"/>
        <v>6.7423085315295658E-2</v>
      </c>
      <c r="CG67" s="14"/>
      <c r="CH67" s="27">
        <v>41</v>
      </c>
      <c r="CI67" s="20" t="e" cm="1">
        <f t="array" aca="1" ref="CI67" ca="1">(CH67-INDIRECT(SUBSTITUTE(ADDRESS(1,COLUMN($C$9),4),"1","")&amp;SUMPRODUCT(($B$10:$D$26=INDIRECT(SUBSTITUTE(ADDRESS(1,COLUMN()-1,4),"1","")&amp;ROW()-11))*ROW($B$10:$D$26))))/INDIRECT(SUBSTITUTE(ADDRESS(1,COLUMN($D$9),4),"1","")&amp;SUMPRODUCT(($B$10:$D$26=INDIRECT(SUBSTITUTE(ADDRESS(1,COLUMN()-1,4),"1","")&amp;ROW()-11))*ROW($B$10:$D$26)))*10+50</f>
        <v>#DIV/0!</v>
      </c>
      <c r="CJ67" s="8"/>
      <c r="CK67" s="49">
        <v>67</v>
      </c>
      <c r="CL67" s="83">
        <f t="shared" si="73"/>
        <v>2</v>
      </c>
      <c r="CM67" s="15">
        <f>IF(AND(CK67&lt;&gt;"", CN67&lt;&gt;""), ROUND(100*(1-(CP66+CP67)/2/CQ$56), $B$39), "")</f>
        <v>88</v>
      </c>
      <c r="CN67" s="52">
        <v>172</v>
      </c>
      <c r="CO67" s="16">
        <f t="shared" si="64"/>
        <v>2.1654286793402998E-2</v>
      </c>
      <c r="CP67" s="17">
        <f>IF(AND(CK67&lt;&gt;"", CN67&lt;&gt;""), SUM(CN$59:CN67), "")</f>
        <v>1031</v>
      </c>
      <c r="CQ67" s="16">
        <f t="shared" si="65"/>
        <v>0.12979982374417726</v>
      </c>
      <c r="CR67" s="14"/>
      <c r="CS67" s="27">
        <v>41</v>
      </c>
      <c r="CT67" s="20" t="e" cm="1">
        <f t="array" aca="1" ref="CT67" ca="1">(CS67-INDIRECT(SUBSTITUTE(ADDRESS(1,COLUMN($C$9),4),"1","")&amp;SUMPRODUCT(($B$10:$D$26=INDIRECT(SUBSTITUTE(ADDRESS(1,COLUMN()-1,4),"1","")&amp;ROW()-11))*ROW($B$10:$D$26))))/INDIRECT(SUBSTITUTE(ADDRESS(1,COLUMN($D$9),4),"1","")&amp;SUMPRODUCT(($B$10:$D$26=INDIRECT(SUBSTITUTE(ADDRESS(1,COLUMN()-1,4),"1","")&amp;ROW()-11))*ROW($B$10:$D$26)))*10+50</f>
        <v>#DIV/0!</v>
      </c>
      <c r="CU67" s="8"/>
      <c r="CV67" s="49">
        <v>74</v>
      </c>
      <c r="CW67" s="83">
        <f t="shared" si="74"/>
        <v>1</v>
      </c>
      <c r="CX67" s="15">
        <f>IF(AND(CV67&lt;&gt;"", CY67&lt;&gt;""), ROUND(100*(1-(DA66+DA67)/2/DB$56), $B$39), "")</f>
        <v>97</v>
      </c>
      <c r="CY67" s="52">
        <v>39</v>
      </c>
      <c r="CZ67" s="16">
        <f t="shared" si="66"/>
        <v>7.46840291076216E-3</v>
      </c>
      <c r="DA67" s="17">
        <f>IF(AND(CV67&lt;&gt;"", CY67&lt;&gt;""), SUM(CY$59:CY67), "")</f>
        <v>194</v>
      </c>
      <c r="DB67" s="16">
        <f t="shared" si="67"/>
        <v>3.7150517043278437E-2</v>
      </c>
    </row>
    <row r="68" spans="5:106" ht="16" customHeight="1" x14ac:dyDescent="0.2">
      <c r="E68" s="1"/>
      <c r="F68" s="86"/>
      <c r="G68" s="85">
        <v>4</v>
      </c>
      <c r="H68" s="36"/>
      <c r="I68" s="86"/>
      <c r="J68" s="85">
        <v>4</v>
      </c>
      <c r="K68" s="70"/>
      <c r="L68" s="70"/>
      <c r="M68" s="70"/>
      <c r="N68"/>
      <c r="O68" s="38"/>
      <c r="P68" s="83" t="str">
        <f t="shared" si="27"/>
        <v/>
      </c>
      <c r="Q68" s="164" t="str">
        <f t="shared" si="18"/>
        <v/>
      </c>
      <c r="R68" s="43"/>
      <c r="S68" s="16" t="str">
        <f t="shared" ref="S68:S99" si="75">IF(AND(O68&lt;&gt;"", R68&lt;&gt;""), R68/U$1, "")</f>
        <v/>
      </c>
      <c r="T68" s="17" t="str">
        <f>IF(AND(O68&lt;&gt;"", R68&lt;&gt;""), SUM(R$4:R68), "")</f>
        <v/>
      </c>
      <c r="U68" s="16" t="str">
        <f t="shared" ref="U68:U99" si="76">IF(AND(O68&lt;&gt;"", R68&lt;&gt;""), T68/U$1, "")</f>
        <v/>
      </c>
      <c r="W68" s="38">
        <v>83</v>
      </c>
      <c r="X68" s="83">
        <f t="shared" si="28"/>
        <v>6</v>
      </c>
      <c r="Y68" s="164">
        <f t="shared" si="19"/>
        <v>29</v>
      </c>
      <c r="Z68" s="43">
        <v>4720</v>
      </c>
      <c r="AA68" s="16">
        <f t="shared" ref="AA68:AA99" si="77">IF(AND(W68&lt;&gt;"", Z68&lt;&gt;""), Z68/AC$1, "")</f>
        <v>1.2178288073276139E-2</v>
      </c>
      <c r="AB68" s="17">
        <f>IF(AND(W68&lt;&gt;"", Z68&lt;&gt;""), SUM(Z$4:Z68), "")</f>
        <v>276281</v>
      </c>
      <c r="AC68" s="16">
        <f t="shared" ref="AC68:AC99" si="78">IF(AND(W68&lt;&gt;"", Z68&lt;&gt;""), AB68/AC$1, "")</f>
        <v>0.71284525575695024</v>
      </c>
      <c r="AD68" s="1"/>
      <c r="AE68" s="19">
        <v>40</v>
      </c>
      <c r="AF68" s="20" t="e" cm="1">
        <f t="array" aca="1" ref="AF68" ca="1">(AE68-INDIRECT(SUBSTITUTE(ADDRESS(1,COLUMN($C$9),4),"1","")&amp;SUMPRODUCT(($B$10:$D$26=INDIRECT(SUBSTITUTE(ADDRESS(1,COLUMN()-1,4),"1","")&amp;ROW()-12))*ROW($B$10:$D$26))))/INDIRECT(SUBSTITUTE(ADDRESS(1,COLUMN($D$9),4),"1","")&amp;SUMPRODUCT(($B$10:$D$26=INDIRECT(SUBSTITUTE(ADDRESS(1,COLUMN()-1,4),"1","")&amp;ROW()-12))*ROW($B$10:$D$26)))*10+50</f>
        <v>#DIV/0!</v>
      </c>
      <c r="AG68" s="8"/>
      <c r="AH68" s="49">
        <v>58</v>
      </c>
      <c r="AI68" s="83">
        <f t="shared" si="68"/>
        <v>3</v>
      </c>
      <c r="AJ68" s="15">
        <f>IF(AND(AH68&lt;&gt;"", AK68&lt;&gt;""), ROUND(100*(1-(AM67+AM68)/2/AN$56), $B$39), "")</f>
        <v>84</v>
      </c>
      <c r="AK68" s="52">
        <v>242</v>
      </c>
      <c r="AL68" s="16">
        <f t="shared" si="54"/>
        <v>1.265028750653424E-2</v>
      </c>
      <c r="AM68" s="17">
        <f>IF(AND(AH68&lt;&gt;"", AK68&lt;&gt;""), SUM(AK$59:AK68), "")</f>
        <v>3172</v>
      </c>
      <c r="AN68" s="16">
        <f t="shared" si="55"/>
        <v>0.16581285938316781</v>
      </c>
      <c r="AO68" s="14"/>
      <c r="AP68" s="19">
        <v>40</v>
      </c>
      <c r="AQ68" s="20" t="e" cm="1">
        <f t="array" aca="1" ref="AQ68" ca="1">(AP68-INDIRECT(SUBSTITUTE(ADDRESS(1,COLUMN($C$9),4),"1","")&amp;SUMPRODUCT(($B$10:$D$26=INDIRECT(SUBSTITUTE(ADDRESS(1,COLUMN()-1,4),"1","")&amp;ROW()-12))*ROW($B$10:$D$26))))/INDIRECT(SUBSTITUTE(ADDRESS(1,COLUMN($D$9),4),"1","")&amp;SUMPRODUCT(($B$10:$D$26=INDIRECT(SUBSTITUTE(ADDRESS(1,COLUMN()-1,4),"1","")&amp;ROW()-12))*ROW($B$10:$D$26)))*10+50</f>
        <v>#DIV/0!</v>
      </c>
      <c r="AR68" s="8"/>
      <c r="AS68" s="49">
        <v>59</v>
      </c>
      <c r="AT68" s="83">
        <f t="shared" si="69"/>
        <v>3</v>
      </c>
      <c r="AU68" s="15">
        <f>IF(AND(AS68&lt;&gt;"", AV68&lt;&gt;""), ROUND(100*(1-(AX67+AX68)/2/AY$56), $B$39), "")</f>
        <v>78</v>
      </c>
      <c r="AV68" s="52">
        <v>336</v>
      </c>
      <c r="AW68" s="16">
        <f t="shared" si="56"/>
        <v>1.7548441009035357E-2</v>
      </c>
      <c r="AX68" s="17">
        <f>IF(AND(AS68&lt;&gt;"", AV68&lt;&gt;""), SUM(AV$59:AV68), "")</f>
        <v>4434</v>
      </c>
      <c r="AY68" s="16">
        <f t="shared" si="57"/>
        <v>0.23157674831566302</v>
      </c>
      <c r="AZ68" s="14"/>
      <c r="BA68" s="19">
        <v>40</v>
      </c>
      <c r="BB68" s="20" t="e" cm="1">
        <f t="array" aca="1" ref="BB68" ca="1">(BA68-INDIRECT(SUBSTITUTE(ADDRESS(1,COLUMN($C$9),4),"1","")&amp;SUMPRODUCT(($B$10:$D$26=INDIRECT(SUBSTITUTE(ADDRESS(1,COLUMN()-1,4),"1","")&amp;ROW()-12))*ROW($B$10:$D$26))))/INDIRECT(SUBSTITUTE(ADDRESS(1,COLUMN($D$9),4),"1","")&amp;SUMPRODUCT(($B$10:$D$26=INDIRECT(SUBSTITUTE(ADDRESS(1,COLUMN()-1,4),"1","")&amp;ROW()-12))*ROW($B$10:$D$26)))*10+50</f>
        <v>#DIV/0!</v>
      </c>
      <c r="BC68" s="8"/>
      <c r="BD68" s="49">
        <v>63</v>
      </c>
      <c r="BE68" s="83">
        <f t="shared" si="70"/>
        <v>3</v>
      </c>
      <c r="BF68" s="15">
        <f>IF(AND(BD68&lt;&gt;"", BG68&lt;&gt;""), ROUND(100*(1-(BI67+BI68)/2/BJ$56), $B$39), "")</f>
        <v>84</v>
      </c>
      <c r="BG68" s="52">
        <v>200</v>
      </c>
      <c r="BH68" s="16">
        <f t="shared" si="58"/>
        <v>1.3555645926528399E-2</v>
      </c>
      <c r="BI68" s="17">
        <f>IF(AND(BD68&lt;&gt;"", BG68&lt;&gt;""), SUM(BG$59:BG68), "")</f>
        <v>2447</v>
      </c>
      <c r="BJ68" s="16">
        <f t="shared" si="59"/>
        <v>0.16585332791107496</v>
      </c>
      <c r="BK68" s="14"/>
      <c r="BL68" s="27">
        <v>40</v>
      </c>
      <c r="BM68" s="20" t="e" cm="1">
        <f t="array" aca="1" ref="BM68" ca="1">(BL68-INDIRECT(SUBSTITUTE(ADDRESS(1,COLUMN($C$9),4),"1","")&amp;SUMPRODUCT(($B$10:$D$26=INDIRECT(SUBSTITUTE(ADDRESS(1,COLUMN()-1,4),"1","")&amp;ROW()-12))*ROW($B$10:$D$26))))/INDIRECT(SUBSTITUTE(ADDRESS(1,COLUMN($D$9),4),"1","")&amp;SUMPRODUCT(($B$10:$D$26=INDIRECT(SUBSTITUTE(ADDRESS(1,COLUMN()-1,4),"1","")&amp;ROW()-12))*ROW($B$10:$D$26)))*10+50</f>
        <v>#DIV/0!</v>
      </c>
      <c r="BN68" s="8"/>
      <c r="BO68" s="49">
        <v>70</v>
      </c>
      <c r="BP68" s="83">
        <f t="shared" si="71"/>
        <v>2</v>
      </c>
      <c r="BQ68" s="15">
        <f>IF(AND(BO68&lt;&gt;"", BR68&lt;&gt;""), ROUND(100*(1-(BT67+BT68)/2/BU$56), $B$39), "")</f>
        <v>93</v>
      </c>
      <c r="BR68" s="52">
        <v>35</v>
      </c>
      <c r="BS68" s="16">
        <f t="shared" si="60"/>
        <v>8.603736479842675E-3</v>
      </c>
      <c r="BT68" s="17">
        <f>IF(AND(BO68&lt;&gt;"", BR68&lt;&gt;""), SUM(BR$59:BR68), "")</f>
        <v>321</v>
      </c>
      <c r="BU68" s="16">
        <f t="shared" si="61"/>
        <v>7.8908554572271389E-2</v>
      </c>
      <c r="BV68" s="14"/>
      <c r="BW68" s="27">
        <v>40</v>
      </c>
      <c r="BX68" s="20" t="e" cm="1">
        <f t="array" aca="1" ref="BX68" ca="1">(BW68-INDIRECT(SUBSTITUTE(ADDRESS(1,COLUMN($C$9),4),"1","")&amp;SUMPRODUCT(($B$10:$D$26=INDIRECT(SUBSTITUTE(ADDRESS(1,COLUMN()-1,4),"1","")&amp;ROW()-12))*ROW($B$10:$D$26))))/INDIRECT(SUBSTITUTE(ADDRESS(1,COLUMN($D$9),4),"1","")&amp;SUMPRODUCT(($B$10:$D$26=INDIRECT(SUBSTITUTE(ADDRESS(1,COLUMN()-1,4),"1","")&amp;ROW()-12))*ROW($B$10:$D$26)))*10+50</f>
        <v>#DIV/0!</v>
      </c>
      <c r="BY68" s="8"/>
      <c r="BZ68" s="49">
        <v>68</v>
      </c>
      <c r="CA68" s="83">
        <f t="shared" si="72"/>
        <v>2</v>
      </c>
      <c r="CB68" s="15">
        <f>IF(AND(BZ68&lt;&gt;"", CC68&lt;&gt;""), ROUND(100*(1-(CE67+CE68)/2/CF$56), $B$39), "")</f>
        <v>93</v>
      </c>
      <c r="CC68" s="52">
        <v>64</v>
      </c>
      <c r="CD68" s="16">
        <f t="shared" si="62"/>
        <v>1.3964651974689069E-2</v>
      </c>
      <c r="CE68" s="17">
        <f>IF(AND(BZ68&lt;&gt;"", CC68&lt;&gt;""), SUM(CC$59:CC68), "")</f>
        <v>373</v>
      </c>
      <c r="CF68" s="16">
        <f t="shared" si="63"/>
        <v>8.1387737289984732E-2</v>
      </c>
      <c r="CG68" s="14"/>
      <c r="CH68" s="27">
        <v>40</v>
      </c>
      <c r="CI68" s="20" t="e" cm="1">
        <f t="array" aca="1" ref="CI68" ca="1">(CH68-INDIRECT(SUBSTITUTE(ADDRESS(1,COLUMN($C$9),4),"1","")&amp;SUMPRODUCT(($B$10:$D$26=INDIRECT(SUBSTITUTE(ADDRESS(1,COLUMN()-1,4),"1","")&amp;ROW()-12))*ROW($B$10:$D$26))))/INDIRECT(SUBSTITUTE(ADDRESS(1,COLUMN($D$9),4),"1","")&amp;SUMPRODUCT(($B$10:$D$26=INDIRECT(SUBSTITUTE(ADDRESS(1,COLUMN()-1,4),"1","")&amp;ROW()-12))*ROW($B$10:$D$26)))*10+50</f>
        <v>#DIV/0!</v>
      </c>
      <c r="CJ68" s="8"/>
      <c r="CK68" s="49">
        <v>66</v>
      </c>
      <c r="CL68" s="83">
        <f t="shared" si="73"/>
        <v>3</v>
      </c>
      <c r="CM68" s="15">
        <f>IF(AND(CK68&lt;&gt;"", CN68&lt;&gt;""), ROUND(100*(1-(CP67+CP68)/2/CQ$56), $B$39), "")</f>
        <v>87</v>
      </c>
      <c r="CN68" s="52">
        <v>56</v>
      </c>
      <c r="CO68" s="16">
        <f t="shared" si="64"/>
        <v>7.0502329094800451E-3</v>
      </c>
      <c r="CP68" s="17">
        <f>IF(AND(CK68&lt;&gt;"", CN68&lt;&gt;""), SUM(CN$59:CN68), "")</f>
        <v>1087</v>
      </c>
      <c r="CQ68" s="16">
        <f t="shared" si="65"/>
        <v>0.13685005665365732</v>
      </c>
      <c r="CR68" s="14"/>
      <c r="CS68" s="27">
        <v>40</v>
      </c>
      <c r="CT68" s="20" t="e" cm="1">
        <f t="array" aca="1" ref="CT68" ca="1">(CS68-INDIRECT(SUBSTITUTE(ADDRESS(1,COLUMN($C$9),4),"1","")&amp;SUMPRODUCT(($B$10:$D$26=INDIRECT(SUBSTITUTE(ADDRESS(1,COLUMN()-1,4),"1","")&amp;ROW()-12))*ROW($B$10:$D$26))))/INDIRECT(SUBSTITUTE(ADDRESS(1,COLUMN($D$9),4),"1","")&amp;SUMPRODUCT(($B$10:$D$26=INDIRECT(SUBSTITUTE(ADDRESS(1,COLUMN()-1,4),"1","")&amp;ROW()-12))*ROW($B$10:$D$26)))*10+50</f>
        <v>#DIV/0!</v>
      </c>
      <c r="CU68" s="8"/>
      <c r="CV68" s="49">
        <v>73</v>
      </c>
      <c r="CW68" s="83">
        <f t="shared" si="74"/>
        <v>1</v>
      </c>
      <c r="CX68" s="15">
        <f>IF(AND(CV68&lt;&gt;"", CY68&lt;&gt;""), ROUND(100*(1-(DA67+DA68)/2/DB$56), $B$39), "")</f>
        <v>96</v>
      </c>
      <c r="CY68" s="52">
        <v>49</v>
      </c>
      <c r="CZ68" s="16">
        <f t="shared" si="66"/>
        <v>9.3833780160857902E-3</v>
      </c>
      <c r="DA68" s="17">
        <f>IF(AND(CV68&lt;&gt;"", CY68&lt;&gt;""), SUM(CY$59:CY68), "")</f>
        <v>243</v>
      </c>
      <c r="DB68" s="16">
        <f t="shared" si="67"/>
        <v>4.6533895059364228E-2</v>
      </c>
    </row>
    <row r="69" spans="5:106" ht="16" customHeight="1" x14ac:dyDescent="0.2">
      <c r="E69" s="1"/>
      <c r="F69" s="86"/>
      <c r="G69" s="85">
        <v>5</v>
      </c>
      <c r="H69" s="36"/>
      <c r="I69" s="86"/>
      <c r="J69" s="85">
        <v>5</v>
      </c>
      <c r="K69" s="70"/>
      <c r="L69" s="70"/>
      <c r="M69" s="70"/>
      <c r="N69"/>
      <c r="O69" s="38"/>
      <c r="P69" s="83" t="str">
        <f t="shared" si="27"/>
        <v/>
      </c>
      <c r="Q69" s="164" t="str">
        <f t="shared" ref="Q69:Q132" si="79">IF(AND(O69&lt;&gt;"", R69&lt;&gt;""), ROUND(100*(1-(T68+T69)/2/U$1), $B$39), "")</f>
        <v/>
      </c>
      <c r="R69" s="43"/>
      <c r="S69" s="16" t="str">
        <f t="shared" si="75"/>
        <v/>
      </c>
      <c r="T69" s="17" t="str">
        <f>IF(AND(O69&lt;&gt;"", R69&lt;&gt;""), SUM(R$4:R69), "")</f>
        <v/>
      </c>
      <c r="U69" s="16" t="str">
        <f t="shared" si="76"/>
        <v/>
      </c>
      <c r="W69" s="38">
        <v>82</v>
      </c>
      <c r="X69" s="83">
        <f t="shared" si="28"/>
        <v>6</v>
      </c>
      <c r="Y69" s="164">
        <f t="shared" ref="Y69:Y132" si="80">IF(AND(W69&lt;&gt;"", Z69&lt;&gt;""), ROUND(100*(1-(AB68+AB69)/2/AC$1), $B$39), "")</f>
        <v>28</v>
      </c>
      <c r="Z69" s="43">
        <v>6388</v>
      </c>
      <c r="AA69" s="16">
        <f t="shared" si="77"/>
        <v>1.6481971231374574E-2</v>
      </c>
      <c r="AB69" s="17">
        <f>IF(AND(W69&lt;&gt;"", Z69&lt;&gt;""), SUM(Z$4:Z69), "")</f>
        <v>282669</v>
      </c>
      <c r="AC69" s="16">
        <f t="shared" si="78"/>
        <v>0.72932722698832486</v>
      </c>
      <c r="AD69" s="1"/>
      <c r="AE69" s="19">
        <v>39</v>
      </c>
      <c r="AF69" s="20" t="e" cm="1">
        <f t="array" aca="1" ref="AF69" ca="1">(AE69-INDIRECT(SUBSTITUTE(ADDRESS(1,COLUMN($C$9),4),"1","")&amp;SUMPRODUCT(($B$10:$D$26=INDIRECT(SUBSTITUTE(ADDRESS(1,COLUMN()-1,4),"1","")&amp;ROW()-13))*ROW($B$10:$D$26))))/INDIRECT(SUBSTITUTE(ADDRESS(1,COLUMN($D$9),4),"1","")&amp;SUMPRODUCT(($B$10:$D$26=INDIRECT(SUBSTITUTE(ADDRESS(1,COLUMN()-1,4),"1","")&amp;ROW()-13))*ROW($B$10:$D$26)))*10+50</f>
        <v>#DIV/0!</v>
      </c>
      <c r="AG69" s="8"/>
      <c r="AH69" s="49">
        <v>57</v>
      </c>
      <c r="AI69" s="83">
        <f t="shared" si="68"/>
        <v>3</v>
      </c>
      <c r="AJ69" s="15">
        <f>IF(AND(AH69&lt;&gt;"", AK69&lt;&gt;""), ROUND(100*(1-(AM68+AM69)/2/AN$56), $B$39), "")</f>
        <v>82</v>
      </c>
      <c r="AK69" s="52">
        <v>386</v>
      </c>
      <c r="AL69" s="16">
        <f t="shared" si="54"/>
        <v>2.0177731312075273E-2</v>
      </c>
      <c r="AM69" s="17">
        <f>IF(AND(AH69&lt;&gt;"", AK69&lt;&gt;""), SUM(AK$59:AK69), "")</f>
        <v>3558</v>
      </c>
      <c r="AN69" s="16">
        <f t="shared" si="55"/>
        <v>0.18599059069524307</v>
      </c>
      <c r="AO69" s="14"/>
      <c r="AP69" s="19">
        <v>39</v>
      </c>
      <c r="AQ69" s="20" t="e" cm="1">
        <f t="array" aca="1" ref="AQ69" ca="1">(AP69-INDIRECT(SUBSTITUTE(ADDRESS(1,COLUMN($C$9),4),"1","")&amp;SUMPRODUCT(($B$10:$D$26=INDIRECT(SUBSTITUTE(ADDRESS(1,COLUMN()-1,4),"1","")&amp;ROW()-13))*ROW($B$10:$D$26))))/INDIRECT(SUBSTITUTE(ADDRESS(1,COLUMN($D$9),4),"1","")&amp;SUMPRODUCT(($B$10:$D$26=INDIRECT(SUBSTITUTE(ADDRESS(1,COLUMN()-1,4),"1","")&amp;ROW()-13))*ROW($B$10:$D$26)))*10+50</f>
        <v>#DIV/0!</v>
      </c>
      <c r="AR69" s="8"/>
      <c r="AS69" s="49">
        <v>58</v>
      </c>
      <c r="AT69" s="83">
        <f t="shared" si="69"/>
        <v>4</v>
      </c>
      <c r="AU69" s="15">
        <f>IF(AND(AS69&lt;&gt;"", AV69&lt;&gt;""), ROUND(100*(1-(AX68+AX69)/2/AY$56), $B$39), "")</f>
        <v>75</v>
      </c>
      <c r="AV69" s="52">
        <v>576</v>
      </c>
      <c r="AW69" s="16">
        <f t="shared" si="56"/>
        <v>3.0083041729774898E-2</v>
      </c>
      <c r="AX69" s="17">
        <f>IF(AND(AS69&lt;&gt;"", AV69&lt;&gt;""), SUM(AV$59:AV69), "")</f>
        <v>5010</v>
      </c>
      <c r="AY69" s="16">
        <f t="shared" si="57"/>
        <v>0.26165979004543793</v>
      </c>
      <c r="AZ69" s="14"/>
      <c r="BA69" s="19">
        <v>39</v>
      </c>
      <c r="BB69" s="20" t="e" cm="1">
        <f t="array" aca="1" ref="BB69" ca="1">(BA69-INDIRECT(SUBSTITUTE(ADDRESS(1,COLUMN($C$9),4),"1","")&amp;SUMPRODUCT(($B$10:$D$26=INDIRECT(SUBSTITUTE(ADDRESS(1,COLUMN()-1,4),"1","")&amp;ROW()-13))*ROW($B$10:$D$26))))/INDIRECT(SUBSTITUTE(ADDRESS(1,COLUMN($D$9),4),"1","")&amp;SUMPRODUCT(($B$10:$D$26=INDIRECT(SUBSTITUTE(ADDRESS(1,COLUMN()-1,4),"1","")&amp;ROW()-13))*ROW($B$10:$D$26)))*10+50</f>
        <v>#DIV/0!</v>
      </c>
      <c r="BC69" s="8"/>
      <c r="BD69" s="49">
        <v>62</v>
      </c>
      <c r="BE69" s="83">
        <f t="shared" si="70"/>
        <v>3</v>
      </c>
      <c r="BF69" s="15">
        <f>IF(AND(BD69&lt;&gt;"", BG69&lt;&gt;""), ROUND(100*(1-(BI68+BI69)/2/BJ$56), $B$39), "")</f>
        <v>83</v>
      </c>
      <c r="BG69" s="52">
        <v>139</v>
      </c>
      <c r="BH69" s="16">
        <f t="shared" si="58"/>
        <v>9.4211739189372368E-3</v>
      </c>
      <c r="BI69" s="17">
        <f>IF(AND(BD69&lt;&gt;"", BG69&lt;&gt;""), SUM(BG$59:BG69), "")</f>
        <v>2586</v>
      </c>
      <c r="BJ69" s="16">
        <f t="shared" si="59"/>
        <v>0.1752745018300122</v>
      </c>
      <c r="BK69" s="14"/>
      <c r="BL69" s="27">
        <v>39</v>
      </c>
      <c r="BM69" s="20" t="e" cm="1">
        <f t="array" aca="1" ref="BM69" ca="1">(BL69-INDIRECT(SUBSTITUTE(ADDRESS(1,COLUMN($C$9),4),"1","")&amp;SUMPRODUCT(($B$10:$D$26=INDIRECT(SUBSTITUTE(ADDRESS(1,COLUMN()-1,4),"1","")&amp;ROW()-13))*ROW($B$10:$D$26))))/INDIRECT(SUBSTITUTE(ADDRESS(1,COLUMN($D$9),4),"1","")&amp;SUMPRODUCT(($B$10:$D$26=INDIRECT(SUBSTITUTE(ADDRESS(1,COLUMN()-1,4),"1","")&amp;ROW()-13))*ROW($B$10:$D$26)))*10+50</f>
        <v>#DIV/0!</v>
      </c>
      <c r="BN69" s="8"/>
      <c r="BO69" s="49">
        <v>69</v>
      </c>
      <c r="BP69" s="83">
        <f t="shared" si="71"/>
        <v>2</v>
      </c>
      <c r="BQ69" s="15">
        <f>IF(AND(BO69&lt;&gt;"", BR69&lt;&gt;""), ROUND(100*(1-(BT68+BT69)/2/BU$56), $B$39), "")</f>
        <v>92</v>
      </c>
      <c r="BR69" s="52">
        <v>33</v>
      </c>
      <c r="BS69" s="16">
        <f t="shared" si="60"/>
        <v>8.1120943952802359E-3</v>
      </c>
      <c r="BT69" s="17">
        <f>IF(AND(BO69&lt;&gt;"", BR69&lt;&gt;""), SUM(BR$59:BR69), "")</f>
        <v>354</v>
      </c>
      <c r="BU69" s="16">
        <f t="shared" si="61"/>
        <v>8.7020648967551628E-2</v>
      </c>
      <c r="BV69" s="14"/>
      <c r="BW69" s="27">
        <v>39</v>
      </c>
      <c r="BX69" s="20" t="e" cm="1">
        <f t="array" aca="1" ref="BX69" ca="1">(BW69-INDIRECT(SUBSTITUTE(ADDRESS(1,COLUMN($C$9),4),"1","")&amp;SUMPRODUCT(($B$10:$D$26=INDIRECT(SUBSTITUTE(ADDRESS(1,COLUMN()-1,4),"1","")&amp;ROW()-13))*ROW($B$10:$D$26))))/INDIRECT(SUBSTITUTE(ADDRESS(1,COLUMN($D$9),4),"1","")&amp;SUMPRODUCT(($B$10:$D$26=INDIRECT(SUBSTITUTE(ADDRESS(1,COLUMN()-1,4),"1","")&amp;ROW()-13))*ROW($B$10:$D$26)))*10+50</f>
        <v>#DIV/0!</v>
      </c>
      <c r="BY69" s="8"/>
      <c r="BZ69" s="49">
        <v>67</v>
      </c>
      <c r="CA69" s="83">
        <f t="shared" si="72"/>
        <v>2</v>
      </c>
      <c r="CB69" s="15">
        <f>IF(AND(BZ69&lt;&gt;"", CC69&lt;&gt;""), ROUND(100*(1-(CE68+CE69)/2/CF$56), $B$39), "")</f>
        <v>91</v>
      </c>
      <c r="CC69" s="52">
        <v>47</v>
      </c>
      <c r="CD69" s="16">
        <f t="shared" si="62"/>
        <v>1.0255291293912285E-2</v>
      </c>
      <c r="CE69" s="17">
        <f>IF(AND(BZ69&lt;&gt;"", CC69&lt;&gt;""), SUM(CC$59:CC69), "")</f>
        <v>420</v>
      </c>
      <c r="CF69" s="16">
        <f t="shared" si="63"/>
        <v>9.1643028583897015E-2</v>
      </c>
      <c r="CG69" s="14"/>
      <c r="CH69" s="27">
        <v>39</v>
      </c>
      <c r="CI69" s="20" t="e" cm="1">
        <f t="array" aca="1" ref="CI69" ca="1">(CH69-INDIRECT(SUBSTITUTE(ADDRESS(1,COLUMN($C$9),4),"1","")&amp;SUMPRODUCT(($B$10:$D$26=INDIRECT(SUBSTITUTE(ADDRESS(1,COLUMN()-1,4),"1","")&amp;ROW()-13))*ROW($B$10:$D$26))))/INDIRECT(SUBSTITUTE(ADDRESS(1,COLUMN($D$9),4),"1","")&amp;SUMPRODUCT(($B$10:$D$26=INDIRECT(SUBSTITUTE(ADDRESS(1,COLUMN()-1,4),"1","")&amp;ROW()-13))*ROW($B$10:$D$26)))*10+50</f>
        <v>#DIV/0!</v>
      </c>
      <c r="CJ69" s="8"/>
      <c r="CK69" s="48">
        <v>65</v>
      </c>
      <c r="CL69" s="83">
        <f t="shared" si="73"/>
        <v>3</v>
      </c>
      <c r="CM69" s="15">
        <f>IF(AND(CK69&lt;&gt;"", CN69&lt;&gt;""), ROUND(100*(1-(CP68+CP69)/2/CQ$56), $B$39), "")</f>
        <v>86</v>
      </c>
      <c r="CN69" s="52">
        <v>83</v>
      </c>
      <c r="CO69" s="16">
        <f t="shared" si="64"/>
        <v>1.0449452347979353E-2</v>
      </c>
      <c r="CP69" s="17">
        <f>IF(AND(CK69&lt;&gt;"", CN69&lt;&gt;""), SUM(CN$59:CN69), "")</f>
        <v>1170</v>
      </c>
      <c r="CQ69" s="16">
        <f t="shared" si="65"/>
        <v>0.14729950900163666</v>
      </c>
      <c r="CR69" s="14"/>
      <c r="CS69" s="27">
        <v>39</v>
      </c>
      <c r="CT69" s="20" t="e" cm="1">
        <f t="array" aca="1" ref="CT69" ca="1">(CS69-INDIRECT(SUBSTITUTE(ADDRESS(1,COLUMN($C$9),4),"1","")&amp;SUMPRODUCT(($B$10:$D$26=INDIRECT(SUBSTITUTE(ADDRESS(1,COLUMN()-1,4),"1","")&amp;ROW()-13))*ROW($B$10:$D$26))))/INDIRECT(SUBSTITUTE(ADDRESS(1,COLUMN($D$9),4),"1","")&amp;SUMPRODUCT(($B$10:$D$26=INDIRECT(SUBSTITUTE(ADDRESS(1,COLUMN()-1,4),"1","")&amp;ROW()-13))*ROW($B$10:$D$26)))*10+50</f>
        <v>#DIV/0!</v>
      </c>
      <c r="CU69" s="8"/>
      <c r="CV69" s="49">
        <v>72</v>
      </c>
      <c r="CW69" s="83">
        <f t="shared" si="74"/>
        <v>2</v>
      </c>
      <c r="CX69" s="15">
        <f>IF(AND(CV69&lt;&gt;"", CY69&lt;&gt;""), ROUND(100*(1-(DA68+DA69)/2/DB$56), $B$39), "")</f>
        <v>95</v>
      </c>
      <c r="CY69" s="52">
        <v>30</v>
      </c>
      <c r="CZ69" s="16">
        <f t="shared" si="66"/>
        <v>5.7449253159708924E-3</v>
      </c>
      <c r="DA69" s="17">
        <f>IF(AND(CV69&lt;&gt;"", CY69&lt;&gt;""), SUM(CY$59:CY69), "")</f>
        <v>273</v>
      </c>
      <c r="DB69" s="16">
        <f t="shared" si="67"/>
        <v>5.2278820375335121E-2</v>
      </c>
    </row>
    <row r="70" spans="5:106" ht="16" customHeight="1" x14ac:dyDescent="0.2">
      <c r="E70" s="1"/>
      <c r="F70" s="86"/>
      <c r="G70" s="85">
        <v>6</v>
      </c>
      <c r="H70" s="36"/>
      <c r="I70" s="86"/>
      <c r="J70" s="85">
        <v>6</v>
      </c>
      <c r="K70" s="70"/>
      <c r="L70" s="70"/>
      <c r="M70" s="70"/>
      <c r="N70"/>
      <c r="O70" s="38"/>
      <c r="P70" s="83" t="str">
        <f t="shared" si="27"/>
        <v/>
      </c>
      <c r="Q70" s="164" t="str">
        <f t="shared" si="79"/>
        <v/>
      </c>
      <c r="R70" s="43"/>
      <c r="S70" s="16" t="str">
        <f t="shared" si="75"/>
        <v/>
      </c>
      <c r="T70" s="17" t="str">
        <f>IF(AND(O70&lt;&gt;"", R70&lt;&gt;""), SUM(R$4:R70), "")</f>
        <v/>
      </c>
      <c r="U70" s="16" t="str">
        <f t="shared" si="76"/>
        <v/>
      </c>
      <c r="W70" s="38">
        <v>81</v>
      </c>
      <c r="X70" s="83">
        <f t="shared" si="28"/>
        <v>6</v>
      </c>
      <c r="Y70" s="164">
        <f t="shared" si="80"/>
        <v>26</v>
      </c>
      <c r="Z70" s="43">
        <v>5820</v>
      </c>
      <c r="AA70" s="16">
        <f t="shared" si="77"/>
        <v>1.5016448429336257E-2</v>
      </c>
      <c r="AB70" s="17">
        <f>IF(AND(W70&lt;&gt;"", Z70&lt;&gt;""), SUM(Z$4:Z70), "")</f>
        <v>288489</v>
      </c>
      <c r="AC70" s="16">
        <f t="shared" si="78"/>
        <v>0.74434367541766111</v>
      </c>
      <c r="AD70" s="1"/>
      <c r="AE70" s="19">
        <v>38</v>
      </c>
      <c r="AF70" s="20" t="e" cm="1">
        <f t="array" aca="1" ref="AF70" ca="1">(AE70-INDIRECT(SUBSTITUTE(ADDRESS(1,COLUMN($C$9),4),"1","")&amp;SUMPRODUCT(($B$10:$D$26=INDIRECT(SUBSTITUTE(ADDRESS(1,COLUMN()-1,4),"1","")&amp;ROW()-14))*ROW($B$10:$D$26))))/INDIRECT(SUBSTITUTE(ADDRESS(1,COLUMN($D$9),4),"1","")&amp;SUMPRODUCT(($B$10:$D$26=INDIRECT(SUBSTITUTE(ADDRESS(1,COLUMN()-1,4),"1","")&amp;ROW()-14))*ROW($B$10:$D$26)))*10+50</f>
        <v>#DIV/0!</v>
      </c>
      <c r="AG70" s="8"/>
      <c r="AH70" s="49">
        <v>56</v>
      </c>
      <c r="AI70" s="83">
        <f t="shared" si="68"/>
        <v>3</v>
      </c>
      <c r="AJ70" s="15">
        <f>IF(AND(AH70&lt;&gt;"", AK70&lt;&gt;""), ROUND(100*(1-(AM69+AM70)/2/AN$56), $B$39), "")</f>
        <v>81</v>
      </c>
      <c r="AK70" s="52">
        <v>337</v>
      </c>
      <c r="AL70" s="16">
        <f t="shared" si="54"/>
        <v>1.7616309461578671E-2</v>
      </c>
      <c r="AM70" s="17">
        <f>IF(AND(AH70&lt;&gt;"", AK70&lt;&gt;""), SUM(AK$59:AK70), "")</f>
        <v>3895</v>
      </c>
      <c r="AN70" s="16">
        <f t="shared" si="55"/>
        <v>0.20360690015682176</v>
      </c>
      <c r="AO70" s="14"/>
      <c r="AP70" s="19">
        <v>38</v>
      </c>
      <c r="AQ70" s="20" t="e" cm="1">
        <f t="array" aca="1" ref="AQ70" ca="1">(AP70-INDIRECT(SUBSTITUTE(ADDRESS(1,COLUMN($C$9),4),"1","")&amp;SUMPRODUCT(($B$10:$D$26=INDIRECT(SUBSTITUTE(ADDRESS(1,COLUMN()-1,4),"1","")&amp;ROW()-14))*ROW($B$10:$D$26))))/INDIRECT(SUBSTITUTE(ADDRESS(1,COLUMN($D$9),4),"1","")&amp;SUMPRODUCT(($B$10:$D$26=INDIRECT(SUBSTITUTE(ADDRESS(1,COLUMN()-1,4),"1","")&amp;ROW()-14))*ROW($B$10:$D$26)))*10+50</f>
        <v>#DIV/0!</v>
      </c>
      <c r="AR70" s="8"/>
      <c r="AS70" s="49">
        <v>57</v>
      </c>
      <c r="AT70" s="83">
        <f t="shared" si="69"/>
        <v>4</v>
      </c>
      <c r="AU70" s="15">
        <f>IF(AND(AS70&lt;&gt;"", AV70&lt;&gt;""), ROUND(100*(1-(AX69+AX70)/2/AY$56), $B$39), "")</f>
        <v>73</v>
      </c>
      <c r="AV70" s="52">
        <v>373</v>
      </c>
      <c r="AW70" s="16">
        <f t="shared" si="56"/>
        <v>1.948085862014937E-2</v>
      </c>
      <c r="AX70" s="17">
        <f>IF(AND(AS70&lt;&gt;"", AV70&lt;&gt;""), SUM(AV$59:AV70), "")</f>
        <v>5383</v>
      </c>
      <c r="AY70" s="16">
        <f t="shared" si="57"/>
        <v>0.2811406486655873</v>
      </c>
      <c r="AZ70" s="14"/>
      <c r="BA70" s="19">
        <v>38</v>
      </c>
      <c r="BB70" s="20" t="e" cm="1">
        <f t="array" aca="1" ref="BB70" ca="1">(BA70-INDIRECT(SUBSTITUTE(ADDRESS(1,COLUMN($C$9),4),"1","")&amp;SUMPRODUCT(($B$10:$D$26=INDIRECT(SUBSTITUTE(ADDRESS(1,COLUMN()-1,4),"1","")&amp;ROW()-14))*ROW($B$10:$D$26))))/INDIRECT(SUBSTITUTE(ADDRESS(1,COLUMN($D$9),4),"1","")&amp;SUMPRODUCT(($B$10:$D$26=INDIRECT(SUBSTITUTE(ADDRESS(1,COLUMN()-1,4),"1","")&amp;ROW()-14))*ROW($B$10:$D$26)))*10+50</f>
        <v>#DIV/0!</v>
      </c>
      <c r="BC70" s="8"/>
      <c r="BD70" s="49">
        <v>61</v>
      </c>
      <c r="BE70" s="83">
        <f t="shared" si="70"/>
        <v>3</v>
      </c>
      <c r="BF70" s="15">
        <f>IF(AND(BD70&lt;&gt;"", BG70&lt;&gt;""), ROUND(100*(1-(BI69+BI70)/2/BJ$56), $B$39), "")</f>
        <v>81</v>
      </c>
      <c r="BG70" s="52">
        <v>319</v>
      </c>
      <c r="BH70" s="16">
        <f t="shared" si="58"/>
        <v>2.1621255252812797E-2</v>
      </c>
      <c r="BI70" s="17">
        <f>IF(AND(BD70&lt;&gt;"", BG70&lt;&gt;""), SUM(BG$59:BG70), "")</f>
        <v>2905</v>
      </c>
      <c r="BJ70" s="16">
        <f t="shared" si="59"/>
        <v>0.196895757082825</v>
      </c>
      <c r="BK70" s="14"/>
      <c r="BL70" s="27">
        <v>38</v>
      </c>
      <c r="BM70" s="20" t="e" cm="1">
        <f t="array" aca="1" ref="BM70" ca="1">(BL70-INDIRECT(SUBSTITUTE(ADDRESS(1,COLUMN($C$9),4),"1","")&amp;SUMPRODUCT(($B$10:$D$26=INDIRECT(SUBSTITUTE(ADDRESS(1,COLUMN()-1,4),"1","")&amp;ROW()-14))*ROW($B$10:$D$26))))/INDIRECT(SUBSTITUTE(ADDRESS(1,COLUMN($D$9),4),"1","")&amp;SUMPRODUCT(($B$10:$D$26=INDIRECT(SUBSTITUTE(ADDRESS(1,COLUMN()-1,4),"1","")&amp;ROW()-14))*ROW($B$10:$D$26)))*10+50</f>
        <v>#DIV/0!</v>
      </c>
      <c r="BN70" s="8"/>
      <c r="BO70" s="49">
        <v>68</v>
      </c>
      <c r="BP70" s="83">
        <f t="shared" si="71"/>
        <v>2</v>
      </c>
      <c r="BQ70" s="15">
        <f>IF(AND(BO70&lt;&gt;"", BR70&lt;&gt;""), ROUND(100*(1-(BT69+BT70)/2/BU$56), $B$39), "")</f>
        <v>91</v>
      </c>
      <c r="BR70" s="52">
        <v>39</v>
      </c>
      <c r="BS70" s="16">
        <f t="shared" si="60"/>
        <v>9.5870206489675515E-3</v>
      </c>
      <c r="BT70" s="17">
        <f>IF(AND(BO70&lt;&gt;"", BR70&lt;&gt;""), SUM(BR$59:BR70), "")</f>
        <v>393</v>
      </c>
      <c r="BU70" s="16">
        <f t="shared" si="61"/>
        <v>9.6607669616519176E-2</v>
      </c>
      <c r="BV70" s="14"/>
      <c r="BW70" s="27">
        <v>38</v>
      </c>
      <c r="BX70" s="20" t="e" cm="1">
        <f t="array" aca="1" ref="BX70" ca="1">(BW70-INDIRECT(SUBSTITUTE(ADDRESS(1,COLUMN($C$9),4),"1","")&amp;SUMPRODUCT(($B$10:$D$26=INDIRECT(SUBSTITUTE(ADDRESS(1,COLUMN()-1,4),"1","")&amp;ROW()-14))*ROW($B$10:$D$26))))/INDIRECT(SUBSTITUTE(ADDRESS(1,COLUMN($D$9),4),"1","")&amp;SUMPRODUCT(($B$10:$D$26=INDIRECT(SUBSTITUTE(ADDRESS(1,COLUMN()-1,4),"1","")&amp;ROW()-14))*ROW($B$10:$D$26)))*10+50</f>
        <v>#DIV/0!</v>
      </c>
      <c r="BY70" s="8"/>
      <c r="BZ70" s="49">
        <v>66</v>
      </c>
      <c r="CA70" s="83">
        <f t="shared" si="72"/>
        <v>2</v>
      </c>
      <c r="CB70" s="15">
        <f>IF(AND(BZ70&lt;&gt;"", CC70&lt;&gt;""), ROUND(100*(1-(CE69+CE70)/2/CF$56), $B$39), "")</f>
        <v>90</v>
      </c>
      <c r="CC70" s="52">
        <v>63</v>
      </c>
      <c r="CD70" s="16">
        <f t="shared" si="62"/>
        <v>1.3746454287584552E-2</v>
      </c>
      <c r="CE70" s="17">
        <f>IF(AND(BZ70&lt;&gt;"", CC70&lt;&gt;""), SUM(CC$59:CC70), "")</f>
        <v>483</v>
      </c>
      <c r="CF70" s="16">
        <f t="shared" si="63"/>
        <v>0.10538948287148156</v>
      </c>
      <c r="CG70" s="14"/>
      <c r="CH70" s="27">
        <v>38</v>
      </c>
      <c r="CI70" s="20" t="e" cm="1">
        <f t="array" aca="1" ref="CI70" ca="1">(CH70-INDIRECT(SUBSTITUTE(ADDRESS(1,COLUMN($C$9),4),"1","")&amp;SUMPRODUCT(($B$10:$D$26=INDIRECT(SUBSTITUTE(ADDRESS(1,COLUMN()-1,4),"1","")&amp;ROW()-14))*ROW($B$10:$D$26))))/INDIRECT(SUBSTITUTE(ADDRESS(1,COLUMN($D$9),4),"1","")&amp;SUMPRODUCT(($B$10:$D$26=INDIRECT(SUBSTITUTE(ADDRESS(1,COLUMN()-1,4),"1","")&amp;ROW()-14))*ROW($B$10:$D$26)))*10+50</f>
        <v>#DIV/0!</v>
      </c>
      <c r="CJ70" s="8"/>
      <c r="CK70" s="49">
        <v>64</v>
      </c>
      <c r="CL70" s="83">
        <f t="shared" si="73"/>
        <v>3</v>
      </c>
      <c r="CM70" s="15">
        <f>IF(AND(CK70&lt;&gt;"", CN70&lt;&gt;""), ROUND(100*(1-(CP69+CP70)/2/CQ$56), $B$39), "")</f>
        <v>85</v>
      </c>
      <c r="CN70" s="52">
        <v>58</v>
      </c>
      <c r="CO70" s="16">
        <f t="shared" si="64"/>
        <v>7.3020269419614755E-3</v>
      </c>
      <c r="CP70" s="17">
        <f>IF(AND(CK70&lt;&gt;"", CN70&lt;&gt;""), SUM(CN$59:CN70), "")</f>
        <v>1228</v>
      </c>
      <c r="CQ70" s="16">
        <f t="shared" si="65"/>
        <v>0.15460153594359813</v>
      </c>
      <c r="CR70" s="14"/>
      <c r="CS70" s="27">
        <v>38</v>
      </c>
      <c r="CT70" s="20" t="e" cm="1">
        <f t="array" aca="1" ref="CT70" ca="1">(CS70-INDIRECT(SUBSTITUTE(ADDRESS(1,COLUMN($C$9),4),"1","")&amp;SUMPRODUCT(($B$10:$D$26=INDIRECT(SUBSTITUTE(ADDRESS(1,COLUMN()-1,4),"1","")&amp;ROW()-14))*ROW($B$10:$D$26))))/INDIRECT(SUBSTITUTE(ADDRESS(1,COLUMN($D$9),4),"1","")&amp;SUMPRODUCT(($B$10:$D$26=INDIRECT(SUBSTITUTE(ADDRESS(1,COLUMN()-1,4),"1","")&amp;ROW()-14))*ROW($B$10:$D$26)))*10+50</f>
        <v>#DIV/0!</v>
      </c>
      <c r="CU70" s="8"/>
      <c r="CV70" s="49">
        <v>71</v>
      </c>
      <c r="CW70" s="83">
        <f t="shared" si="74"/>
        <v>2</v>
      </c>
      <c r="CX70" s="15">
        <f>IF(AND(CV70&lt;&gt;"", CY70&lt;&gt;""), ROUND(100*(1-(DA69+DA70)/2/DB$56), $B$39), "")</f>
        <v>94</v>
      </c>
      <c r="CY70" s="52">
        <v>63</v>
      </c>
      <c r="CZ70" s="16">
        <f t="shared" si="66"/>
        <v>1.2064343163538873E-2</v>
      </c>
      <c r="DA70" s="17">
        <f>IF(AND(CV70&lt;&gt;"", CY70&lt;&gt;""), SUM(CY$59:CY70), "")</f>
        <v>336</v>
      </c>
      <c r="DB70" s="16">
        <f t="shared" si="67"/>
        <v>6.4343163538873996E-2</v>
      </c>
    </row>
    <row r="71" spans="5:106" ht="16" customHeight="1" x14ac:dyDescent="0.2">
      <c r="E71" s="1"/>
      <c r="F71" s="86"/>
      <c r="G71" s="85">
        <v>7</v>
      </c>
      <c r="H71" s="36"/>
      <c r="I71" s="86"/>
      <c r="J71" s="85">
        <v>7</v>
      </c>
      <c r="K71" s="70"/>
      <c r="L71" s="70"/>
      <c r="M71" s="70"/>
      <c r="N71"/>
      <c r="O71" s="38"/>
      <c r="P71" s="83" t="str">
        <f t="shared" ref="P71:P134" si="81">IF(AND(O71&lt;&gt;"", R71&lt;&gt;""), IF(U70 &gt; $A$36, $B$37, IF(U70 &gt; $A$35, $B$36, IF(U70 &gt; $A$34, $B$35, IF(U70 &gt; $A$33, $B$34, IF(U70 &gt; $A$32, $B$33,IF(U70 &gt; $A$31, $B$32, IF(U70 &gt; $A$30, $B$31, IF(U70 &gt; $A$29, $B$30, $B$29)))))))), "")</f>
        <v/>
      </c>
      <c r="Q71" s="164" t="str">
        <f t="shared" si="79"/>
        <v/>
      </c>
      <c r="R71" s="43"/>
      <c r="S71" s="16" t="str">
        <f t="shared" si="75"/>
        <v/>
      </c>
      <c r="T71" s="17" t="str">
        <f>IF(AND(O71&lt;&gt;"", R71&lt;&gt;""), SUM(R$4:R71), "")</f>
        <v/>
      </c>
      <c r="U71" s="16" t="str">
        <f t="shared" si="76"/>
        <v/>
      </c>
      <c r="W71" s="38">
        <v>80</v>
      </c>
      <c r="X71" s="83">
        <f t="shared" ref="X71:X134" si="82">IF(AND(W71&lt;&gt;"", Z71&lt;&gt;""), IF(AC70 &gt; $A$36, $B$37, IF(AC70 &gt; $A$35, $B$36, IF(AC70 &gt; $A$34, $B$35, IF(AC70 &gt; $A$33, $B$34, IF(AC70 &gt; $A$32, $B$33,IF(AC70 &gt; $A$31, $B$32, IF(AC70 &gt; $A$30, $B$31, IF(AC70 &gt; $A$29, $B$30, $B$29)))))))), "")</f>
        <v>6</v>
      </c>
      <c r="Y71" s="164">
        <f t="shared" si="80"/>
        <v>24</v>
      </c>
      <c r="Z71" s="43">
        <v>8993</v>
      </c>
      <c r="AA71" s="16">
        <f t="shared" si="77"/>
        <v>2.320325098368058E-2</v>
      </c>
      <c r="AB71" s="17">
        <f>IF(AND(W71&lt;&gt;"", Z71&lt;&gt;""), SUM(Z$4:Z71), "")</f>
        <v>297482</v>
      </c>
      <c r="AC71" s="16">
        <f t="shared" si="78"/>
        <v>0.7675469264013417</v>
      </c>
      <c r="AD71" s="1"/>
      <c r="AE71" s="19">
        <v>37</v>
      </c>
      <c r="AF71" s="20" t="e" cm="1">
        <f t="array" aca="1" ref="AF71" ca="1">(AE71-INDIRECT(SUBSTITUTE(ADDRESS(1,COLUMN($C$9),4),"1","")&amp;SUMPRODUCT(($B$10:$D$26=INDIRECT(SUBSTITUTE(ADDRESS(1,COLUMN()-1,4),"1","")&amp;ROW()-15))*ROW($B$10:$D$26))))/INDIRECT(SUBSTITUTE(ADDRESS(1,COLUMN($D$9),4),"1","")&amp;SUMPRODUCT(($B$10:$D$26=INDIRECT(SUBSTITUTE(ADDRESS(1,COLUMN()-1,4),"1","")&amp;ROW()-15))*ROW($B$10:$D$26)))*10+50</f>
        <v>#DIV/0!</v>
      </c>
      <c r="AG71" s="8"/>
      <c r="AH71" s="49">
        <v>55</v>
      </c>
      <c r="AI71" s="83">
        <f t="shared" si="68"/>
        <v>3</v>
      </c>
      <c r="AJ71" s="15">
        <f>IF(AND(AH71&lt;&gt;"", AK71&lt;&gt;""), ROUND(100*(1-(AM70+AM71)/2/AN$56), $B$39), "")</f>
        <v>78</v>
      </c>
      <c r="AK71" s="52">
        <v>678</v>
      </c>
      <c r="AL71" s="16">
        <f t="shared" si="54"/>
        <v>3.5441714584422371E-2</v>
      </c>
      <c r="AM71" s="17">
        <f>IF(AND(AH71&lt;&gt;"", AK71&lt;&gt;""), SUM(AK$59:AK71), "")</f>
        <v>4573</v>
      </c>
      <c r="AN71" s="16">
        <f t="shared" si="55"/>
        <v>0.23904861474124411</v>
      </c>
      <c r="AO71" s="14"/>
      <c r="AP71" s="19">
        <v>37</v>
      </c>
      <c r="AQ71" s="20" t="e" cm="1">
        <f t="array" aca="1" ref="AQ71" ca="1">(AP71-INDIRECT(SUBSTITUTE(ADDRESS(1,COLUMN($C$9),4),"1","")&amp;SUMPRODUCT(($B$10:$D$26=INDIRECT(SUBSTITUTE(ADDRESS(1,COLUMN()-1,4),"1","")&amp;ROW()-15))*ROW($B$10:$D$26))))/INDIRECT(SUBSTITUTE(ADDRESS(1,COLUMN($D$9),4),"1","")&amp;SUMPRODUCT(($B$10:$D$26=INDIRECT(SUBSTITUTE(ADDRESS(1,COLUMN()-1,4),"1","")&amp;ROW()-15))*ROW($B$10:$D$26)))*10+50</f>
        <v>#DIV/0!</v>
      </c>
      <c r="AR71" s="8"/>
      <c r="AS71" s="49">
        <v>56</v>
      </c>
      <c r="AT71" s="83">
        <f t="shared" si="69"/>
        <v>4</v>
      </c>
      <c r="AU71" s="15">
        <f>IF(AND(AS71&lt;&gt;"", AV71&lt;&gt;""), ROUND(100*(1-(AX70+AX71)/2/AY$56), $B$39), "")</f>
        <v>71</v>
      </c>
      <c r="AV71" s="52">
        <v>308</v>
      </c>
      <c r="AW71" s="16">
        <f t="shared" si="56"/>
        <v>1.6086070924949077E-2</v>
      </c>
      <c r="AX71" s="17">
        <f>IF(AND(AS71&lt;&gt;"", AV71&lt;&gt;""), SUM(AV$59:AV71), "")</f>
        <v>5691</v>
      </c>
      <c r="AY71" s="16">
        <f t="shared" si="57"/>
        <v>0.29722671959053637</v>
      </c>
      <c r="AZ71" s="14"/>
      <c r="BA71" s="19">
        <v>37</v>
      </c>
      <c r="BB71" s="20" t="e" cm="1">
        <f t="array" aca="1" ref="BB71" ca="1">(BA71-INDIRECT(SUBSTITUTE(ADDRESS(1,COLUMN($C$9),4),"1","")&amp;SUMPRODUCT(($B$10:$D$26=INDIRECT(SUBSTITUTE(ADDRESS(1,COLUMN()-1,4),"1","")&amp;ROW()-15))*ROW($B$10:$D$26))))/INDIRECT(SUBSTITUTE(ADDRESS(1,COLUMN($D$9),4),"1","")&amp;SUMPRODUCT(($B$10:$D$26=INDIRECT(SUBSTITUTE(ADDRESS(1,COLUMN()-1,4),"1","")&amp;ROW()-15))*ROW($B$10:$D$26)))*10+50</f>
        <v>#DIV/0!</v>
      </c>
      <c r="BC71" s="8"/>
      <c r="BD71" s="49">
        <v>60</v>
      </c>
      <c r="BE71" s="83">
        <f t="shared" si="70"/>
        <v>3</v>
      </c>
      <c r="BF71" s="15">
        <f>IF(AND(BD71&lt;&gt;"", BG71&lt;&gt;""), ROUND(100*(1-(BI70+BI71)/2/BJ$56), $B$39), "")</f>
        <v>80</v>
      </c>
      <c r="BG71" s="52">
        <v>147</v>
      </c>
      <c r="BH71" s="16">
        <f t="shared" si="58"/>
        <v>9.9633997559983728E-3</v>
      </c>
      <c r="BI71" s="17">
        <f>IF(AND(BD71&lt;&gt;"", BG71&lt;&gt;""), SUM(BG$59:BG71), "")</f>
        <v>3052</v>
      </c>
      <c r="BJ71" s="16">
        <f t="shared" si="59"/>
        <v>0.20685915683882336</v>
      </c>
      <c r="BK71" s="14"/>
      <c r="BL71" s="27">
        <v>37</v>
      </c>
      <c r="BM71" s="20" t="e" cm="1">
        <f t="array" aca="1" ref="BM71" ca="1">(BL71-INDIRECT(SUBSTITUTE(ADDRESS(1,COLUMN($C$9),4),"1","")&amp;SUMPRODUCT(($B$10:$D$26=INDIRECT(SUBSTITUTE(ADDRESS(1,COLUMN()-1,4),"1","")&amp;ROW()-15))*ROW($B$10:$D$26))))/INDIRECT(SUBSTITUTE(ADDRESS(1,COLUMN($D$9),4),"1","")&amp;SUMPRODUCT(($B$10:$D$26=INDIRECT(SUBSTITUTE(ADDRESS(1,COLUMN()-1,4),"1","")&amp;ROW()-15))*ROW($B$10:$D$26)))*10+50</f>
        <v>#DIV/0!</v>
      </c>
      <c r="BN71" s="8"/>
      <c r="BO71" s="49">
        <v>67</v>
      </c>
      <c r="BP71" s="83">
        <f t="shared" si="71"/>
        <v>2</v>
      </c>
      <c r="BQ71" s="15">
        <f>IF(AND(BO71&lt;&gt;"", BR71&lt;&gt;""), ROUND(100*(1-(BT70+BT71)/2/BU$56), $B$39), "")</f>
        <v>90</v>
      </c>
      <c r="BR71" s="52">
        <v>40</v>
      </c>
      <c r="BS71" s="16">
        <f t="shared" si="60"/>
        <v>9.8328416912487702E-3</v>
      </c>
      <c r="BT71" s="17">
        <f>IF(AND(BO71&lt;&gt;"", BR71&lt;&gt;""), SUM(BR$59:BR71), "")</f>
        <v>433</v>
      </c>
      <c r="BU71" s="16">
        <f t="shared" si="61"/>
        <v>0.10644051130776795</v>
      </c>
      <c r="BV71" s="14"/>
      <c r="BW71" s="27">
        <v>37</v>
      </c>
      <c r="BX71" s="20" t="e" cm="1">
        <f t="array" aca="1" ref="BX71" ca="1">(BW71-INDIRECT(SUBSTITUTE(ADDRESS(1,COLUMN($C$9),4),"1","")&amp;SUMPRODUCT(($B$10:$D$26=INDIRECT(SUBSTITUTE(ADDRESS(1,COLUMN()-1,4),"1","")&amp;ROW()-15))*ROW($B$10:$D$26))))/INDIRECT(SUBSTITUTE(ADDRESS(1,COLUMN($D$9),4),"1","")&amp;SUMPRODUCT(($B$10:$D$26=INDIRECT(SUBSTITUTE(ADDRESS(1,COLUMN()-1,4),"1","")&amp;ROW()-15))*ROW($B$10:$D$26)))*10+50</f>
        <v>#DIV/0!</v>
      </c>
      <c r="BY71" s="8"/>
      <c r="BZ71" s="49">
        <v>65</v>
      </c>
      <c r="CA71" s="83">
        <f t="shared" si="72"/>
        <v>2</v>
      </c>
      <c r="CB71" s="15">
        <f>IF(AND(BZ71&lt;&gt;"", CC71&lt;&gt;""), ROUND(100*(1-(CE70+CE71)/2/CF$56), $B$39), "")</f>
        <v>88</v>
      </c>
      <c r="CC71" s="52">
        <v>106</v>
      </c>
      <c r="CD71" s="16">
        <f t="shared" si="62"/>
        <v>2.3128954833078769E-2</v>
      </c>
      <c r="CE71" s="17">
        <f>IF(AND(BZ71&lt;&gt;"", CC71&lt;&gt;""), SUM(CC$59:CC71), "")</f>
        <v>589</v>
      </c>
      <c r="CF71" s="16">
        <f t="shared" si="63"/>
        <v>0.12851843770456034</v>
      </c>
      <c r="CG71" s="14"/>
      <c r="CH71" s="27">
        <v>37</v>
      </c>
      <c r="CI71" s="20" t="e" cm="1">
        <f t="array" aca="1" ref="CI71" ca="1">(CH71-INDIRECT(SUBSTITUTE(ADDRESS(1,COLUMN($C$9),4),"1","")&amp;SUMPRODUCT(($B$10:$D$26=INDIRECT(SUBSTITUTE(ADDRESS(1,COLUMN()-1,4),"1","")&amp;ROW()-15))*ROW($B$10:$D$26))))/INDIRECT(SUBSTITUTE(ADDRESS(1,COLUMN($D$9),4),"1","")&amp;SUMPRODUCT(($B$10:$D$26=INDIRECT(SUBSTITUTE(ADDRESS(1,COLUMN()-1,4),"1","")&amp;ROW()-15))*ROW($B$10:$D$26)))*10+50</f>
        <v>#DIV/0!</v>
      </c>
      <c r="CJ71" s="8"/>
      <c r="CK71" s="49">
        <v>63</v>
      </c>
      <c r="CL71" s="83">
        <f t="shared" si="73"/>
        <v>3</v>
      </c>
      <c r="CM71" s="15">
        <f>IF(AND(CK71&lt;&gt;"", CN71&lt;&gt;""), ROUND(100*(1-(CP70+CP71)/2/CQ$56), $B$39), "")</f>
        <v>84</v>
      </c>
      <c r="CN71" s="52">
        <v>125</v>
      </c>
      <c r="CO71" s="16">
        <f t="shared" si="64"/>
        <v>1.5737127030089386E-2</v>
      </c>
      <c r="CP71" s="17">
        <f>IF(AND(CK71&lt;&gt;"", CN71&lt;&gt;""), SUM(CN$59:CN71), "")</f>
        <v>1353</v>
      </c>
      <c r="CQ71" s="16">
        <f t="shared" si="65"/>
        <v>0.17033866297368752</v>
      </c>
      <c r="CR71" s="14"/>
      <c r="CS71" s="27">
        <v>37</v>
      </c>
      <c r="CT71" s="20" t="e" cm="1">
        <f t="array" aca="1" ref="CT71" ca="1">(CS71-INDIRECT(SUBSTITUTE(ADDRESS(1,COLUMN($C$9),4),"1","")&amp;SUMPRODUCT(($B$10:$D$26=INDIRECT(SUBSTITUTE(ADDRESS(1,COLUMN()-1,4),"1","")&amp;ROW()-15))*ROW($B$10:$D$26))))/INDIRECT(SUBSTITUTE(ADDRESS(1,COLUMN($D$9),4),"1","")&amp;SUMPRODUCT(($B$10:$D$26=INDIRECT(SUBSTITUTE(ADDRESS(1,COLUMN()-1,4),"1","")&amp;ROW()-15))*ROW($B$10:$D$26)))*10+50</f>
        <v>#DIV/0!</v>
      </c>
      <c r="CU71" s="8"/>
      <c r="CV71" s="49">
        <v>70</v>
      </c>
      <c r="CW71" s="83">
        <f t="shared" si="74"/>
        <v>2</v>
      </c>
      <c r="CX71" s="15">
        <f>IF(AND(CV71&lt;&gt;"", CY71&lt;&gt;""), ROUND(100*(1-(DA70+DA71)/2/DB$56), $B$39), "")</f>
        <v>93</v>
      </c>
      <c r="CY71" s="52">
        <v>41</v>
      </c>
      <c r="CZ71" s="16">
        <f t="shared" si="66"/>
        <v>7.851397931826886E-3</v>
      </c>
      <c r="DA71" s="17">
        <f>IF(AND(CV71&lt;&gt;"", CY71&lt;&gt;""), SUM(CY$59:CY71), "")</f>
        <v>377</v>
      </c>
      <c r="DB71" s="16">
        <f t="shared" si="67"/>
        <v>7.2194561470700885E-2</v>
      </c>
    </row>
    <row r="72" spans="5:106" ht="16" customHeight="1" x14ac:dyDescent="0.2">
      <c r="E72" s="1"/>
      <c r="F72" s="86"/>
      <c r="G72" s="85">
        <v>8</v>
      </c>
      <c r="H72" s="36"/>
      <c r="I72" s="86"/>
      <c r="J72" s="85">
        <v>8</v>
      </c>
      <c r="K72" s="70"/>
      <c r="L72" s="70"/>
      <c r="M72" s="70"/>
      <c r="N72"/>
      <c r="O72" s="38"/>
      <c r="P72" s="83" t="str">
        <f t="shared" si="81"/>
        <v/>
      </c>
      <c r="Q72" s="164" t="str">
        <f t="shared" si="79"/>
        <v/>
      </c>
      <c r="R72" s="43"/>
      <c r="S72" s="16" t="str">
        <f t="shared" si="75"/>
        <v/>
      </c>
      <c r="T72" s="17" t="str">
        <f>IF(AND(O72&lt;&gt;"", R72&lt;&gt;""), SUM(R$4:R72), "")</f>
        <v/>
      </c>
      <c r="U72" s="16" t="str">
        <f t="shared" si="76"/>
        <v/>
      </c>
      <c r="W72" s="38">
        <v>79</v>
      </c>
      <c r="X72" s="83">
        <f t="shared" si="82"/>
        <v>6</v>
      </c>
      <c r="Y72" s="164">
        <f t="shared" si="80"/>
        <v>22</v>
      </c>
      <c r="Z72" s="43">
        <v>8729</v>
      </c>
      <c r="AA72" s="16">
        <f t="shared" si="77"/>
        <v>2.2522092498226148E-2</v>
      </c>
      <c r="AB72" s="17">
        <f>IF(AND(W72&lt;&gt;"", Z72&lt;&gt;""), SUM(Z$4:Z72), "")</f>
        <v>306211</v>
      </c>
      <c r="AC72" s="16">
        <f t="shared" si="78"/>
        <v>0.79006901889956782</v>
      </c>
      <c r="AD72" s="1"/>
      <c r="AE72" s="19">
        <v>36</v>
      </c>
      <c r="AF72" s="20" t="e" cm="1">
        <f t="array" aca="1" ref="AF72" ca="1">(AE72-INDIRECT(SUBSTITUTE(ADDRESS(1,COLUMN($C$9),4),"1","")&amp;SUMPRODUCT(($B$10:$D$26=INDIRECT(SUBSTITUTE(ADDRESS(1,COLUMN()-1,4),"1","")&amp;ROW()-16))*ROW($B$10:$D$26))))/INDIRECT(SUBSTITUTE(ADDRESS(1,COLUMN($D$9),4),"1","")&amp;SUMPRODUCT(($B$10:$D$26=INDIRECT(SUBSTITUTE(ADDRESS(1,COLUMN()-1,4),"1","")&amp;ROW()-16))*ROW($B$10:$D$26)))*10+50</f>
        <v>#DIV/0!</v>
      </c>
      <c r="AG72" s="8"/>
      <c r="AH72" s="49">
        <v>54</v>
      </c>
      <c r="AI72" s="83">
        <f t="shared" si="68"/>
        <v>4</v>
      </c>
      <c r="AJ72" s="15">
        <f>IF(AND(AH72&lt;&gt;"", AK72&lt;&gt;""), ROUND(100*(1-(AM71+AM72)/2/AN$56), $B$39), "")</f>
        <v>75</v>
      </c>
      <c r="AK72" s="52">
        <v>335</v>
      </c>
      <c r="AL72" s="16">
        <f t="shared" si="54"/>
        <v>1.7511761630946157E-2</v>
      </c>
      <c r="AM72" s="17">
        <f>IF(AND(AH72&lt;&gt;"", AK72&lt;&gt;""), SUM(AK$59:AK72), "")</f>
        <v>4908</v>
      </c>
      <c r="AN72" s="16">
        <f t="shared" si="55"/>
        <v>0.25656037637219026</v>
      </c>
      <c r="AO72" s="14"/>
      <c r="AP72" s="19">
        <v>36</v>
      </c>
      <c r="AQ72" s="20" t="e" cm="1">
        <f t="array" aca="1" ref="AQ72" ca="1">(AP72-INDIRECT(SUBSTITUTE(ADDRESS(1,COLUMN($C$9),4),"1","")&amp;SUMPRODUCT(($B$10:$D$26=INDIRECT(SUBSTITUTE(ADDRESS(1,COLUMN()-1,4),"1","")&amp;ROW()-16))*ROW($B$10:$D$26))))/INDIRECT(SUBSTITUTE(ADDRESS(1,COLUMN($D$9),4),"1","")&amp;SUMPRODUCT(($B$10:$D$26=INDIRECT(SUBSTITUTE(ADDRESS(1,COLUMN()-1,4),"1","")&amp;ROW()-16))*ROW($B$10:$D$26)))*10+50</f>
        <v>#DIV/0!</v>
      </c>
      <c r="AR72" s="8"/>
      <c r="AS72" s="49">
        <v>55</v>
      </c>
      <c r="AT72" s="83">
        <f t="shared" si="69"/>
        <v>4</v>
      </c>
      <c r="AU72" s="15">
        <f>IF(AND(AS72&lt;&gt;"", AV72&lt;&gt;""), ROUND(100*(1-(AX71+AX72)/2/AY$56), $B$39), "")</f>
        <v>68</v>
      </c>
      <c r="AV72" s="52">
        <v>723</v>
      </c>
      <c r="AW72" s="16">
        <f t="shared" si="56"/>
        <v>3.7760484671227869E-2</v>
      </c>
      <c r="AX72" s="17">
        <f>IF(AND(AS72&lt;&gt;"", AV72&lt;&gt;""), SUM(AV$59:AV72), "")</f>
        <v>6414</v>
      </c>
      <c r="AY72" s="16">
        <f t="shared" si="57"/>
        <v>0.33498720426176426</v>
      </c>
      <c r="AZ72" s="14"/>
      <c r="BA72" s="19">
        <v>36</v>
      </c>
      <c r="BB72" s="20" t="e" cm="1">
        <f t="array" aca="1" ref="BB72" ca="1">(BA72-INDIRECT(SUBSTITUTE(ADDRESS(1,COLUMN($C$9),4),"1","")&amp;SUMPRODUCT(($B$10:$D$26=INDIRECT(SUBSTITUTE(ADDRESS(1,COLUMN()-1,4),"1","")&amp;ROW()-16))*ROW($B$10:$D$26))))/INDIRECT(SUBSTITUTE(ADDRESS(1,COLUMN($D$9),4),"1","")&amp;SUMPRODUCT(($B$10:$D$26=INDIRECT(SUBSTITUTE(ADDRESS(1,COLUMN()-1,4),"1","")&amp;ROW()-16))*ROW($B$10:$D$26)))*10+50</f>
        <v>#DIV/0!</v>
      </c>
      <c r="BC72" s="8"/>
      <c r="BD72" s="49">
        <v>59</v>
      </c>
      <c r="BE72" s="83">
        <f t="shared" si="70"/>
        <v>3</v>
      </c>
      <c r="BF72" s="15">
        <f>IF(AND(BD72&lt;&gt;"", BG72&lt;&gt;""), ROUND(100*(1-(BI71+BI72)/2/BJ$56), $B$39), "")</f>
        <v>79</v>
      </c>
      <c r="BG72" s="52">
        <v>198</v>
      </c>
      <c r="BH72" s="16">
        <f t="shared" si="58"/>
        <v>1.3420089467263115E-2</v>
      </c>
      <c r="BI72" s="17">
        <f>IF(AND(BD72&lt;&gt;"", BG72&lt;&gt;""), SUM(BG$59:BG72), "")</f>
        <v>3250</v>
      </c>
      <c r="BJ72" s="16">
        <f t="shared" si="59"/>
        <v>0.22027924630608647</v>
      </c>
      <c r="BK72" s="14"/>
      <c r="BL72" s="27">
        <v>36</v>
      </c>
      <c r="BM72" s="20" t="e" cm="1">
        <f t="array" aca="1" ref="BM72" ca="1">(BL72-INDIRECT(SUBSTITUTE(ADDRESS(1,COLUMN($C$9),4),"1","")&amp;SUMPRODUCT(($B$10:$D$26=INDIRECT(SUBSTITUTE(ADDRESS(1,COLUMN()-1,4),"1","")&amp;ROW()-16))*ROW($B$10:$D$26))))/INDIRECT(SUBSTITUTE(ADDRESS(1,COLUMN($D$9),4),"1","")&amp;SUMPRODUCT(($B$10:$D$26=INDIRECT(SUBSTITUTE(ADDRESS(1,COLUMN()-1,4),"1","")&amp;ROW()-16))*ROW($B$10:$D$26)))*10+50</f>
        <v>#DIV/0!</v>
      </c>
      <c r="BN72" s="8"/>
      <c r="BO72" s="49">
        <v>66</v>
      </c>
      <c r="BP72" s="83">
        <f t="shared" si="71"/>
        <v>2</v>
      </c>
      <c r="BQ72" s="15">
        <f>IF(AND(BO72&lt;&gt;"", BR72&lt;&gt;""), ROUND(100*(1-(BT71+BT72)/2/BU$56), $B$39), "")</f>
        <v>89</v>
      </c>
      <c r="BR72" s="52">
        <v>40</v>
      </c>
      <c r="BS72" s="16">
        <f t="shared" si="60"/>
        <v>9.8328416912487702E-3</v>
      </c>
      <c r="BT72" s="17">
        <f>IF(AND(BO72&lt;&gt;"", BR72&lt;&gt;""), SUM(BR$59:BR72), "")</f>
        <v>473</v>
      </c>
      <c r="BU72" s="16">
        <f t="shared" si="61"/>
        <v>0.11627335299901671</v>
      </c>
      <c r="BV72" s="14"/>
      <c r="BW72" s="27">
        <v>36</v>
      </c>
      <c r="BX72" s="20" t="e" cm="1">
        <f t="array" aca="1" ref="BX72" ca="1">(BW72-INDIRECT(SUBSTITUTE(ADDRESS(1,COLUMN($C$9),4),"1","")&amp;SUMPRODUCT(($B$10:$D$26=INDIRECT(SUBSTITUTE(ADDRESS(1,COLUMN()-1,4),"1","")&amp;ROW()-16))*ROW($B$10:$D$26))))/INDIRECT(SUBSTITUTE(ADDRESS(1,COLUMN($D$9),4),"1","")&amp;SUMPRODUCT(($B$10:$D$26=INDIRECT(SUBSTITUTE(ADDRESS(1,COLUMN()-1,4),"1","")&amp;ROW()-16))*ROW($B$10:$D$26)))*10+50</f>
        <v>#DIV/0!</v>
      </c>
      <c r="BY72" s="8"/>
      <c r="BZ72" s="49">
        <v>64</v>
      </c>
      <c r="CA72" s="83">
        <f t="shared" si="72"/>
        <v>3</v>
      </c>
      <c r="CB72" s="15">
        <f>IF(AND(BZ72&lt;&gt;"", CC72&lt;&gt;""), ROUND(100*(1-(CE71+CE72)/2/CF$56), $B$39), "")</f>
        <v>87</v>
      </c>
      <c r="CC72" s="52">
        <v>59</v>
      </c>
      <c r="CD72" s="16">
        <f t="shared" si="62"/>
        <v>1.2873663539166484E-2</v>
      </c>
      <c r="CE72" s="17">
        <f>IF(AND(BZ72&lt;&gt;"", CC72&lt;&gt;""), SUM(CC$59:CC72), "")</f>
        <v>648</v>
      </c>
      <c r="CF72" s="16">
        <f t="shared" si="63"/>
        <v>0.14139210124372681</v>
      </c>
      <c r="CG72" s="14"/>
      <c r="CH72" s="27">
        <v>36</v>
      </c>
      <c r="CI72" s="20" t="e" cm="1">
        <f t="array" aca="1" ref="CI72" ca="1">(CH72-INDIRECT(SUBSTITUTE(ADDRESS(1,COLUMN($C$9),4),"1","")&amp;SUMPRODUCT(($B$10:$D$26=INDIRECT(SUBSTITUTE(ADDRESS(1,COLUMN()-1,4),"1","")&amp;ROW()-16))*ROW($B$10:$D$26))))/INDIRECT(SUBSTITUTE(ADDRESS(1,COLUMN($D$9),4),"1","")&amp;SUMPRODUCT(($B$10:$D$26=INDIRECT(SUBSTITUTE(ADDRESS(1,COLUMN()-1,4),"1","")&amp;ROW()-16))*ROW($B$10:$D$26)))*10+50</f>
        <v>#DIV/0!</v>
      </c>
      <c r="CJ72" s="8"/>
      <c r="CK72" s="48">
        <v>62</v>
      </c>
      <c r="CL72" s="83">
        <f t="shared" si="73"/>
        <v>3</v>
      </c>
      <c r="CM72" s="15">
        <f>IF(AND(CK72&lt;&gt;"", CN72&lt;&gt;""), ROUND(100*(1-(CP71+CP72)/2/CQ$56), $B$39), "")</f>
        <v>83</v>
      </c>
      <c r="CN72" s="52">
        <v>47</v>
      </c>
      <c r="CO72" s="16">
        <f t="shared" si="64"/>
        <v>5.9171597633136093E-3</v>
      </c>
      <c r="CP72" s="17">
        <f>IF(AND(CK72&lt;&gt;"", CN72&lt;&gt;""), SUM(CN$59:CN72), "")</f>
        <v>1400</v>
      </c>
      <c r="CQ72" s="16">
        <f t="shared" si="65"/>
        <v>0.17625582273700113</v>
      </c>
      <c r="CR72" s="14"/>
      <c r="CS72" s="27">
        <v>36</v>
      </c>
      <c r="CT72" s="20" t="e" cm="1">
        <f t="array" aca="1" ref="CT72" ca="1">(CS72-INDIRECT(SUBSTITUTE(ADDRESS(1,COLUMN($C$9),4),"1","")&amp;SUMPRODUCT(($B$10:$D$26=INDIRECT(SUBSTITUTE(ADDRESS(1,COLUMN()-1,4),"1","")&amp;ROW()-16))*ROW($B$10:$D$26))))/INDIRECT(SUBSTITUTE(ADDRESS(1,COLUMN($D$9),4),"1","")&amp;SUMPRODUCT(($B$10:$D$26=INDIRECT(SUBSTITUTE(ADDRESS(1,COLUMN()-1,4),"1","")&amp;ROW()-16))*ROW($B$10:$D$26)))*10+50</f>
        <v>#DIV/0!</v>
      </c>
      <c r="CU72" s="8"/>
      <c r="CV72" s="49">
        <v>69</v>
      </c>
      <c r="CW72" s="83">
        <f t="shared" si="74"/>
        <v>2</v>
      </c>
      <c r="CX72" s="15">
        <f>IF(AND(CV72&lt;&gt;"", CY72&lt;&gt;""), ROUND(100*(1-(DA71+DA72)/2/DB$56), $B$39), "")</f>
        <v>92</v>
      </c>
      <c r="CY72" s="52">
        <v>49</v>
      </c>
      <c r="CZ72" s="16">
        <f t="shared" si="66"/>
        <v>9.3833780160857902E-3</v>
      </c>
      <c r="DA72" s="17">
        <f>IF(AND(CV72&lt;&gt;"", CY72&lt;&gt;""), SUM(CY$59:CY72), "")</f>
        <v>426</v>
      </c>
      <c r="DB72" s="16">
        <f t="shared" si="67"/>
        <v>8.1577939486786669E-2</v>
      </c>
    </row>
    <row r="73" spans="5:106" ht="16" customHeight="1" x14ac:dyDescent="0.2">
      <c r="E73" s="1"/>
      <c r="F73" s="86"/>
      <c r="G73" s="85">
        <v>9</v>
      </c>
      <c r="H73" s="36"/>
      <c r="I73" s="86"/>
      <c r="J73" s="85">
        <v>9</v>
      </c>
      <c r="K73" s="70"/>
      <c r="L73" s="70"/>
      <c r="M73" s="70"/>
      <c r="N73"/>
      <c r="O73" s="38"/>
      <c r="P73" s="83" t="str">
        <f t="shared" si="81"/>
        <v/>
      </c>
      <c r="Q73" s="164" t="str">
        <f t="shared" si="79"/>
        <v/>
      </c>
      <c r="R73" s="43"/>
      <c r="S73" s="16" t="str">
        <f t="shared" si="75"/>
        <v/>
      </c>
      <c r="T73" s="17" t="str">
        <f>IF(AND(O73&lt;&gt;"", R73&lt;&gt;""), SUM(R$4:R73), "")</f>
        <v/>
      </c>
      <c r="U73" s="16" t="str">
        <f t="shared" si="76"/>
        <v/>
      </c>
      <c r="W73" s="38">
        <v>78</v>
      </c>
      <c r="X73" s="83">
        <f t="shared" si="82"/>
        <v>7</v>
      </c>
      <c r="Y73" s="164">
        <f t="shared" si="80"/>
        <v>20</v>
      </c>
      <c r="Z73" s="43">
        <v>9496</v>
      </c>
      <c r="AA73" s="16">
        <f t="shared" si="77"/>
        <v>2.4501064310133523E-2</v>
      </c>
      <c r="AB73" s="17">
        <f>IF(AND(W73&lt;&gt;"", Z73&lt;&gt;""), SUM(Z$4:Z73), "")</f>
        <v>315707</v>
      </c>
      <c r="AC73" s="16">
        <f t="shared" si="78"/>
        <v>0.81457008320970137</v>
      </c>
      <c r="AD73" s="1"/>
      <c r="AE73" s="19">
        <v>35</v>
      </c>
      <c r="AF73" s="20" t="e" cm="1">
        <f t="array" aca="1" ref="AF73" ca="1">(AE73-INDIRECT(SUBSTITUTE(ADDRESS(1,COLUMN($C$9),4),"1","")&amp;SUMPRODUCT(($B$10:$D$26=INDIRECT(SUBSTITUTE(ADDRESS(1,COLUMN()-1,4),"1","")&amp;ROW()-17))*ROW($B$10:$D$26))))/INDIRECT(SUBSTITUTE(ADDRESS(1,COLUMN($D$9),4),"1","")&amp;SUMPRODUCT(($B$10:$D$26=INDIRECT(SUBSTITUTE(ADDRESS(1,COLUMN()-1,4),"1","")&amp;ROW()-17))*ROW($B$10:$D$26)))*10+50</f>
        <v>#DIV/0!</v>
      </c>
      <c r="AG73" s="8"/>
      <c r="AH73" s="49">
        <v>53</v>
      </c>
      <c r="AI73" s="83">
        <f t="shared" si="68"/>
        <v>4</v>
      </c>
      <c r="AJ73" s="15">
        <f>IF(AND(AH73&lt;&gt;"", AK73&lt;&gt;""), ROUND(100*(1-(AM72+AM73)/2/AN$56), $B$39), "")</f>
        <v>73</v>
      </c>
      <c r="AK73" s="52">
        <v>400</v>
      </c>
      <c r="AL73" s="16">
        <f t="shared" si="54"/>
        <v>2.0909566126502875E-2</v>
      </c>
      <c r="AM73" s="17">
        <f>IF(AND(AH73&lt;&gt;"", AK73&lt;&gt;""), SUM(AK$59:AK73), "")</f>
        <v>5308</v>
      </c>
      <c r="AN73" s="16">
        <f t="shared" si="55"/>
        <v>0.27746994249869317</v>
      </c>
      <c r="AO73" s="14"/>
      <c r="AP73" s="19">
        <v>35</v>
      </c>
      <c r="AQ73" s="20" t="e" cm="1">
        <f t="array" aca="1" ref="AQ73" ca="1">(AP73-INDIRECT(SUBSTITUTE(ADDRESS(1,COLUMN($C$9),4),"1","")&amp;SUMPRODUCT(($B$10:$D$26=INDIRECT(SUBSTITUTE(ADDRESS(1,COLUMN()-1,4),"1","")&amp;ROW()-17))*ROW($B$10:$D$26))))/INDIRECT(SUBSTITUTE(ADDRESS(1,COLUMN($D$9),4),"1","")&amp;SUMPRODUCT(($B$10:$D$26=INDIRECT(SUBSTITUTE(ADDRESS(1,COLUMN()-1,4),"1","")&amp;ROW()-17))*ROW($B$10:$D$26)))*10+50</f>
        <v>#DIV/0!</v>
      </c>
      <c r="AR73" s="8"/>
      <c r="AS73" s="49">
        <v>54</v>
      </c>
      <c r="AT73" s="83">
        <f t="shared" si="69"/>
        <v>4</v>
      </c>
      <c r="AU73" s="15">
        <f>IF(AND(AS73&lt;&gt;"", AV73&lt;&gt;""), ROUND(100*(1-(AX72+AX73)/2/AY$56), $B$39), "")</f>
        <v>66</v>
      </c>
      <c r="AV73" s="52">
        <v>312</v>
      </c>
      <c r="AW73" s="16">
        <f t="shared" si="56"/>
        <v>1.6294980936961405E-2</v>
      </c>
      <c r="AX73" s="17">
        <f>IF(AND(AS73&lt;&gt;"", AV73&lt;&gt;""), SUM(AV$59:AV73), "")</f>
        <v>6726</v>
      </c>
      <c r="AY73" s="16">
        <f t="shared" si="57"/>
        <v>0.35128218519872567</v>
      </c>
      <c r="AZ73" s="14"/>
      <c r="BA73" s="19">
        <v>35</v>
      </c>
      <c r="BB73" s="20" t="e" cm="1">
        <f t="array" aca="1" ref="BB73" ca="1">(BA73-INDIRECT(SUBSTITUTE(ADDRESS(1,COLUMN($C$9),4),"1","")&amp;SUMPRODUCT(($B$10:$D$26=INDIRECT(SUBSTITUTE(ADDRESS(1,COLUMN()-1,4),"1","")&amp;ROW()-17))*ROW($B$10:$D$26))))/INDIRECT(SUBSTITUTE(ADDRESS(1,COLUMN($D$9),4),"1","")&amp;SUMPRODUCT(($B$10:$D$26=INDIRECT(SUBSTITUTE(ADDRESS(1,COLUMN()-1,4),"1","")&amp;ROW()-17))*ROW($B$10:$D$26)))*10+50</f>
        <v>#DIV/0!</v>
      </c>
      <c r="BC73" s="8"/>
      <c r="BD73" s="49">
        <v>58</v>
      </c>
      <c r="BE73" s="83">
        <f t="shared" si="70"/>
        <v>3</v>
      </c>
      <c r="BF73" s="15">
        <f>IF(AND(BD73&lt;&gt;"", BG73&lt;&gt;""), ROUND(100*(1-(BI72+BI73)/2/BJ$56), $B$39), "")</f>
        <v>77</v>
      </c>
      <c r="BG73" s="52">
        <v>183</v>
      </c>
      <c r="BH73" s="16">
        <f t="shared" si="58"/>
        <v>1.2403416022773485E-2</v>
      </c>
      <c r="BI73" s="17">
        <f>IF(AND(BD73&lt;&gt;"", BG73&lt;&gt;""), SUM(BG$59:BG73), "")</f>
        <v>3433</v>
      </c>
      <c r="BJ73" s="16">
        <f t="shared" si="59"/>
        <v>0.23268266232885998</v>
      </c>
      <c r="BK73" s="14"/>
      <c r="BL73" s="27">
        <v>35</v>
      </c>
      <c r="BM73" s="20" t="e" cm="1">
        <f t="array" aca="1" ref="BM73" ca="1">(BL73-INDIRECT(SUBSTITUTE(ADDRESS(1,COLUMN($C$9),4),"1","")&amp;SUMPRODUCT(($B$10:$D$26=INDIRECT(SUBSTITUTE(ADDRESS(1,COLUMN()-1,4),"1","")&amp;ROW()-17))*ROW($B$10:$D$26))))/INDIRECT(SUBSTITUTE(ADDRESS(1,COLUMN($D$9),4),"1","")&amp;SUMPRODUCT(($B$10:$D$26=INDIRECT(SUBSTITUTE(ADDRESS(1,COLUMN()-1,4),"1","")&amp;ROW()-17))*ROW($B$10:$D$26)))*10+50</f>
        <v>#DIV/0!</v>
      </c>
      <c r="BN73" s="8"/>
      <c r="BO73" s="49">
        <v>65</v>
      </c>
      <c r="BP73" s="83">
        <f t="shared" si="71"/>
        <v>3</v>
      </c>
      <c r="BQ73" s="15">
        <f>IF(AND(BO73&lt;&gt;"", BR73&lt;&gt;""), ROUND(100*(1-(BT72+BT73)/2/BU$56), $B$39), "")</f>
        <v>88</v>
      </c>
      <c r="BR73" s="52">
        <v>65</v>
      </c>
      <c r="BS73" s="16">
        <f t="shared" si="60"/>
        <v>1.5978367748279251E-2</v>
      </c>
      <c r="BT73" s="17">
        <f>IF(AND(BO73&lt;&gt;"", BR73&lt;&gt;""), SUM(BR$59:BR73), "")</f>
        <v>538</v>
      </c>
      <c r="BU73" s="16">
        <f t="shared" si="61"/>
        <v>0.13225172074729596</v>
      </c>
      <c r="BV73" s="14"/>
      <c r="BW73" s="27">
        <v>35</v>
      </c>
      <c r="BX73" s="20" t="e" cm="1">
        <f t="array" aca="1" ref="BX73" ca="1">(BW73-INDIRECT(SUBSTITUTE(ADDRESS(1,COLUMN($C$9),4),"1","")&amp;SUMPRODUCT(($B$10:$D$26=INDIRECT(SUBSTITUTE(ADDRESS(1,COLUMN()-1,4),"1","")&amp;ROW()-17))*ROW($B$10:$D$26))))/INDIRECT(SUBSTITUTE(ADDRESS(1,COLUMN($D$9),4),"1","")&amp;SUMPRODUCT(($B$10:$D$26=INDIRECT(SUBSTITUTE(ADDRESS(1,COLUMN()-1,4),"1","")&amp;ROW()-17))*ROW($B$10:$D$26)))*10+50</f>
        <v>#DIV/0!</v>
      </c>
      <c r="BY73" s="8"/>
      <c r="BZ73" s="49">
        <v>63</v>
      </c>
      <c r="CA73" s="83">
        <f t="shared" si="72"/>
        <v>3</v>
      </c>
      <c r="CB73" s="15">
        <f>IF(AND(BZ73&lt;&gt;"", CC73&lt;&gt;""), ROUND(100*(1-(CE72+CE73)/2/CF$56), $B$39), "")</f>
        <v>85</v>
      </c>
      <c r="CC73" s="52">
        <v>56</v>
      </c>
      <c r="CD73" s="16">
        <f t="shared" si="62"/>
        <v>1.2219070477852935E-2</v>
      </c>
      <c r="CE73" s="17">
        <f>IF(AND(BZ73&lt;&gt;"", CC73&lt;&gt;""), SUM(CC$59:CC73), "")</f>
        <v>704</v>
      </c>
      <c r="CF73" s="16">
        <f t="shared" si="63"/>
        <v>0.15361117172157976</v>
      </c>
      <c r="CG73" s="14"/>
      <c r="CH73" s="27">
        <v>35</v>
      </c>
      <c r="CI73" s="20" t="e" cm="1">
        <f t="array" aca="1" ref="CI73" ca="1">(CH73-INDIRECT(SUBSTITUTE(ADDRESS(1,COLUMN($C$9),4),"1","")&amp;SUMPRODUCT(($B$10:$D$26=INDIRECT(SUBSTITUTE(ADDRESS(1,COLUMN()-1,4),"1","")&amp;ROW()-17))*ROW($B$10:$D$26))))/INDIRECT(SUBSTITUTE(ADDRESS(1,COLUMN($D$9),4),"1","")&amp;SUMPRODUCT(($B$10:$D$26=INDIRECT(SUBSTITUTE(ADDRESS(1,COLUMN()-1,4),"1","")&amp;ROW()-17))*ROW($B$10:$D$26)))*10+50</f>
        <v>#DIV/0!</v>
      </c>
      <c r="CJ73" s="8"/>
      <c r="CK73" s="49">
        <v>61</v>
      </c>
      <c r="CL73" s="83">
        <f t="shared" si="73"/>
        <v>3</v>
      </c>
      <c r="CM73" s="15">
        <f>IF(AND(CK73&lt;&gt;"", CN73&lt;&gt;""), ROUND(100*(1-(CP72+CP73)/2/CQ$56), $B$39), "")</f>
        <v>82</v>
      </c>
      <c r="CN73" s="52">
        <v>63</v>
      </c>
      <c r="CO73" s="16">
        <f t="shared" si="64"/>
        <v>7.9315120231650514E-3</v>
      </c>
      <c r="CP73" s="17">
        <f>IF(AND(CK73&lt;&gt;"", CN73&lt;&gt;""), SUM(CN$59:CN73), "")</f>
        <v>1463</v>
      </c>
      <c r="CQ73" s="16">
        <f t="shared" si="65"/>
        <v>0.18418733476016619</v>
      </c>
      <c r="CR73" s="14"/>
      <c r="CS73" s="27">
        <v>35</v>
      </c>
      <c r="CT73" s="20" t="e" cm="1">
        <f t="array" aca="1" ref="CT73" ca="1">(CS73-INDIRECT(SUBSTITUTE(ADDRESS(1,COLUMN($C$9),4),"1","")&amp;SUMPRODUCT(($B$10:$D$26=INDIRECT(SUBSTITUTE(ADDRESS(1,COLUMN()-1,4),"1","")&amp;ROW()-17))*ROW($B$10:$D$26))))/INDIRECT(SUBSTITUTE(ADDRESS(1,COLUMN($D$9),4),"1","")&amp;SUMPRODUCT(($B$10:$D$26=INDIRECT(SUBSTITUTE(ADDRESS(1,COLUMN()-1,4),"1","")&amp;ROW()-17))*ROW($B$10:$D$26)))*10+50</f>
        <v>#DIV/0!</v>
      </c>
      <c r="CU73" s="8"/>
      <c r="CV73" s="49">
        <v>68</v>
      </c>
      <c r="CW73" s="83">
        <f t="shared" si="74"/>
        <v>2</v>
      </c>
      <c r="CX73" s="15">
        <f>IF(AND(CV73&lt;&gt;"", CY73&lt;&gt;""), ROUND(100*(1-(DA72+DA73)/2/DB$56), $B$39), "")</f>
        <v>91</v>
      </c>
      <c r="CY73" s="52">
        <v>56</v>
      </c>
      <c r="CZ73" s="16">
        <f t="shared" si="66"/>
        <v>1.0723860589812333E-2</v>
      </c>
      <c r="DA73" s="17">
        <f>IF(AND(CV73&lt;&gt;"", CY73&lt;&gt;""), SUM(CY$59:CY73), "")</f>
        <v>482</v>
      </c>
      <c r="DB73" s="16">
        <f t="shared" si="67"/>
        <v>9.2301800076599008E-2</v>
      </c>
    </row>
    <row r="74" spans="5:106" ht="16" customHeight="1" x14ac:dyDescent="0.2">
      <c r="E74" s="1"/>
      <c r="F74" s="1"/>
      <c r="G74" s="1"/>
      <c r="H74" s="1"/>
      <c r="I74" s="1"/>
      <c r="J74" s="1"/>
      <c r="K74" s="1"/>
      <c r="L74" s="1"/>
      <c r="M74" s="1"/>
      <c r="N74"/>
      <c r="O74" s="38"/>
      <c r="P74" s="83" t="str">
        <f t="shared" si="81"/>
        <v/>
      </c>
      <c r="Q74" s="164" t="str">
        <f t="shared" si="79"/>
        <v/>
      </c>
      <c r="R74" s="43"/>
      <c r="S74" s="16" t="str">
        <f t="shared" ref="S74:S85" si="83">IF(AND(O74&lt;&gt;"", R74&lt;&gt;""), R74/U$1, "")</f>
        <v/>
      </c>
      <c r="T74" s="17" t="str">
        <f>IF(AND(O74&lt;&gt;"", R74&lt;&gt;""), SUM(R$4:R74), "")</f>
        <v/>
      </c>
      <c r="U74" s="16" t="str">
        <f t="shared" ref="U74:U85" si="84">IF(AND(O74&lt;&gt;"", R74&lt;&gt;""), T74/U$1, "")</f>
        <v/>
      </c>
      <c r="W74" s="38">
        <v>77</v>
      </c>
      <c r="X74" s="83">
        <f t="shared" si="82"/>
        <v>7</v>
      </c>
      <c r="Y74" s="164">
        <f t="shared" si="80"/>
        <v>18</v>
      </c>
      <c r="Z74" s="43">
        <v>6538</v>
      </c>
      <c r="AA74" s="16">
        <f t="shared" ref="AA74:AA85" si="85">IF(AND(W74&lt;&gt;"", Z74&lt;&gt;""), Z74/AC$1, "")</f>
        <v>1.6868993098110043E-2</v>
      </c>
      <c r="AB74" s="17">
        <f>IF(AND(W74&lt;&gt;"", Z74&lt;&gt;""), SUM(Z$4:Z74), "")</f>
        <v>322245</v>
      </c>
      <c r="AC74" s="16">
        <f t="shared" ref="AC74:AC85" si="86">IF(AND(W74&lt;&gt;"", Z74&lt;&gt;""), AB74/AC$1, "")</f>
        <v>0.83143907630781144</v>
      </c>
      <c r="AD74" s="1"/>
      <c r="AE74" s="19">
        <v>34</v>
      </c>
      <c r="AF74" s="20" t="e" cm="1">
        <f t="array" aca="1" ref="AF74" ca="1">(AE74-INDIRECT(SUBSTITUTE(ADDRESS(1,COLUMN($C$9),4),"1","")&amp;SUMPRODUCT(($B$10:$D$26=INDIRECT(SUBSTITUTE(ADDRESS(1,COLUMN()-1,4),"1","")&amp;ROW()-18))*ROW($B$10:$D$26))))/INDIRECT(SUBSTITUTE(ADDRESS(1,COLUMN($D$9),4),"1","")&amp;SUMPRODUCT(($B$10:$D$26=INDIRECT(SUBSTITUTE(ADDRESS(1,COLUMN()-1,4),"1","")&amp;ROW()-18))*ROW($B$10:$D$26)))*10+50</f>
        <v>#DIV/0!</v>
      </c>
      <c r="AG74" s="8"/>
      <c r="AH74" s="49">
        <v>52</v>
      </c>
      <c r="AI74" s="83">
        <f t="shared" si="68"/>
        <v>4</v>
      </c>
      <c r="AJ74" s="15">
        <f>IF(AND(AH74&lt;&gt;"", AK74&lt;&gt;""), ROUND(100*(1-(AM73+AM74)/2/AN$56), $B$39), "")</f>
        <v>71</v>
      </c>
      <c r="AK74" s="52">
        <v>359</v>
      </c>
      <c r="AL74" s="16">
        <f t="shared" ref="AL74:AL85" si="87">IF(AND(AH74&lt;&gt;"", AK74&lt;&gt;""), AK74/AN$56, "")</f>
        <v>1.876633559853633E-2</v>
      </c>
      <c r="AM74" s="17">
        <f>IF(AND(AH74&lt;&gt;"", AK74&lt;&gt;""), SUM(AK$59:AK74), "")</f>
        <v>5667</v>
      </c>
      <c r="AN74" s="16">
        <f t="shared" ref="AN74:AN85" si="88">IF(AND(AH74&lt;&gt;"", AK74&lt;&gt;""), AM74/AN$56, "")</f>
        <v>0.29623627809722947</v>
      </c>
      <c r="AO74" s="14"/>
      <c r="AP74" s="19">
        <v>34</v>
      </c>
      <c r="AQ74" s="20" t="e" cm="1">
        <f t="array" aca="1" ref="AQ74" ca="1">(AP74-INDIRECT(SUBSTITUTE(ADDRESS(1,COLUMN($C$9),4),"1","")&amp;SUMPRODUCT(($B$10:$D$26=INDIRECT(SUBSTITUTE(ADDRESS(1,COLUMN()-1,4),"1","")&amp;ROW()-18))*ROW($B$10:$D$26))))/INDIRECT(SUBSTITUTE(ADDRESS(1,COLUMN($D$9),4),"1","")&amp;SUMPRODUCT(($B$10:$D$26=INDIRECT(SUBSTITUTE(ADDRESS(1,COLUMN()-1,4),"1","")&amp;ROW()-18))*ROW($B$10:$D$26)))*10+50</f>
        <v>#DIV/0!</v>
      </c>
      <c r="AR74" s="8"/>
      <c r="AS74" s="49">
        <v>53</v>
      </c>
      <c r="AT74" s="83">
        <f t="shared" si="69"/>
        <v>4</v>
      </c>
      <c r="AU74" s="15">
        <f>IF(AND(AS74&lt;&gt;"", AV74&lt;&gt;""), ROUND(100*(1-(AX73+AX74)/2/AY$56), $B$39), "")</f>
        <v>64</v>
      </c>
      <c r="AV74" s="52">
        <v>388</v>
      </c>
      <c r="AW74" s="16">
        <f t="shared" ref="AW74:AW85" si="89">IF(AND(AS74&lt;&gt;"", AV74&lt;&gt;""), AV74/AY$56, "")</f>
        <v>2.0264271165195594E-2</v>
      </c>
      <c r="AX74" s="17">
        <f>IF(AND(AS74&lt;&gt;"", AV74&lt;&gt;""), SUM(AV$59:AV74), "")</f>
        <v>7114</v>
      </c>
      <c r="AY74" s="16">
        <f t="shared" ref="AY74:AY85" si="90">IF(AND(AS74&lt;&gt;"", AV74&lt;&gt;""), AX74/AY$56, "")</f>
        <v>0.37154645636392125</v>
      </c>
      <c r="AZ74" s="14"/>
      <c r="BA74" s="19">
        <v>34</v>
      </c>
      <c r="BB74" s="20" t="e" cm="1">
        <f t="array" aca="1" ref="BB74" ca="1">(BA74-INDIRECT(SUBSTITUTE(ADDRESS(1,COLUMN($C$9),4),"1","")&amp;SUMPRODUCT(($B$10:$D$26=INDIRECT(SUBSTITUTE(ADDRESS(1,COLUMN()-1,4),"1","")&amp;ROW()-18))*ROW($B$10:$D$26))))/INDIRECT(SUBSTITUTE(ADDRESS(1,COLUMN($D$9),4),"1","")&amp;SUMPRODUCT(($B$10:$D$26=INDIRECT(SUBSTITUTE(ADDRESS(1,COLUMN()-1,4),"1","")&amp;ROW()-18))*ROW($B$10:$D$26)))*10+50</f>
        <v>#DIV/0!</v>
      </c>
      <c r="BC74" s="8"/>
      <c r="BD74" s="49">
        <v>57</v>
      </c>
      <c r="BE74" s="83">
        <f t="shared" si="70"/>
        <v>4</v>
      </c>
      <c r="BF74" s="15">
        <f>IF(AND(BD74&lt;&gt;"", BG74&lt;&gt;""), ROUND(100*(1-(BI73+BI74)/2/BJ$56), $B$39), "")</f>
        <v>75</v>
      </c>
      <c r="BG74" s="52">
        <v>398</v>
      </c>
      <c r="BH74" s="16">
        <f t="shared" ref="BH74:BH85" si="91">IF(AND(BD74&lt;&gt;"", BG74&lt;&gt;""), BG74/BJ$56, "")</f>
        <v>2.6975735393791514E-2</v>
      </c>
      <c r="BI74" s="17">
        <f>IF(AND(BD74&lt;&gt;"", BG74&lt;&gt;""), SUM(BG$59:BG74), "")</f>
        <v>3831</v>
      </c>
      <c r="BJ74" s="16">
        <f t="shared" ref="BJ74:BJ85" si="92">IF(AND(BD74&lt;&gt;"", BG74&lt;&gt;""), BI74/BJ$56, "")</f>
        <v>0.25965839772265148</v>
      </c>
      <c r="BK74" s="14"/>
      <c r="BL74" s="27">
        <v>34</v>
      </c>
      <c r="BM74" s="20" t="e" cm="1">
        <f t="array" aca="1" ref="BM74" ca="1">(BL74-INDIRECT(SUBSTITUTE(ADDRESS(1,COLUMN($C$9),4),"1","")&amp;SUMPRODUCT(($B$10:$D$26=INDIRECT(SUBSTITUTE(ADDRESS(1,COLUMN()-1,4),"1","")&amp;ROW()-18))*ROW($B$10:$D$26))))/INDIRECT(SUBSTITUTE(ADDRESS(1,COLUMN($D$9),4),"1","")&amp;SUMPRODUCT(($B$10:$D$26=INDIRECT(SUBSTITUTE(ADDRESS(1,COLUMN()-1,4),"1","")&amp;ROW()-18))*ROW($B$10:$D$26)))*10+50</f>
        <v>#DIV/0!</v>
      </c>
      <c r="BN74" s="8"/>
      <c r="BO74" s="49">
        <v>64</v>
      </c>
      <c r="BP74" s="83">
        <f t="shared" si="71"/>
        <v>3</v>
      </c>
      <c r="BQ74" s="15">
        <f>IF(AND(BO74&lt;&gt;"", BR74&lt;&gt;""), ROUND(100*(1-(BT73+BT74)/2/BU$56), $B$39), "")</f>
        <v>86</v>
      </c>
      <c r="BR74" s="52">
        <v>47</v>
      </c>
      <c r="BS74" s="16">
        <f t="shared" ref="BS74:BS85" si="93">IF(AND(BO74&lt;&gt;"", BR74&lt;&gt;""), BR74/BU$56, "")</f>
        <v>1.1553588987217306E-2</v>
      </c>
      <c r="BT74" s="17">
        <f>IF(AND(BO74&lt;&gt;"", BR74&lt;&gt;""), SUM(BR$59:BR74), "")</f>
        <v>585</v>
      </c>
      <c r="BU74" s="16">
        <f t="shared" ref="BU74:BU85" si="94">IF(AND(BO74&lt;&gt;"", BR74&lt;&gt;""), BT74/BU$56, "")</f>
        <v>0.14380530973451328</v>
      </c>
      <c r="BV74" s="14"/>
      <c r="BW74" s="27">
        <v>34</v>
      </c>
      <c r="BX74" s="20" t="e" cm="1">
        <f t="array" aca="1" ref="BX74" ca="1">(BW74-INDIRECT(SUBSTITUTE(ADDRESS(1,COLUMN($C$9),4),"1","")&amp;SUMPRODUCT(($B$10:$D$26=INDIRECT(SUBSTITUTE(ADDRESS(1,COLUMN()-1,4),"1","")&amp;ROW()-18))*ROW($B$10:$D$26))))/INDIRECT(SUBSTITUTE(ADDRESS(1,COLUMN($D$9),4),"1","")&amp;SUMPRODUCT(($B$10:$D$26=INDIRECT(SUBSTITUTE(ADDRESS(1,COLUMN()-1,4),"1","")&amp;ROW()-18))*ROW($B$10:$D$26)))*10+50</f>
        <v>#DIV/0!</v>
      </c>
      <c r="BY74" s="8"/>
      <c r="BZ74" s="49">
        <v>62</v>
      </c>
      <c r="CA74" s="83">
        <f t="shared" si="72"/>
        <v>3</v>
      </c>
      <c r="CB74" s="15">
        <f>IF(AND(BZ74&lt;&gt;"", CC74&lt;&gt;""), ROUND(100*(1-(CE73+CE74)/2/CF$56), $B$39), "")</f>
        <v>84</v>
      </c>
      <c r="CC74" s="52">
        <v>80</v>
      </c>
      <c r="CD74" s="16">
        <f t="shared" ref="CD74:CD85" si="95">IF(AND(BZ74&lt;&gt;"", CC74&lt;&gt;""), CC74/CF$56, "")</f>
        <v>1.7455814968361336E-2</v>
      </c>
      <c r="CE74" s="17">
        <f>IF(AND(BZ74&lt;&gt;"", CC74&lt;&gt;""), SUM(CC$59:CC74), "")</f>
        <v>784</v>
      </c>
      <c r="CF74" s="16">
        <f t="shared" ref="CF74:CF85" si="96">IF(AND(BZ74&lt;&gt;"", CC74&lt;&gt;""), CE74/CF$56, "")</f>
        <v>0.17106698668994108</v>
      </c>
      <c r="CG74" s="14"/>
      <c r="CH74" s="27">
        <v>34</v>
      </c>
      <c r="CI74" s="20" t="e" cm="1">
        <f t="array" aca="1" ref="CI74" ca="1">(CH74-INDIRECT(SUBSTITUTE(ADDRESS(1,COLUMN($C$9),4),"1","")&amp;SUMPRODUCT(($B$10:$D$26=INDIRECT(SUBSTITUTE(ADDRESS(1,COLUMN()-1,4),"1","")&amp;ROW()-18))*ROW($B$10:$D$26))))/INDIRECT(SUBSTITUTE(ADDRESS(1,COLUMN($D$9),4),"1","")&amp;SUMPRODUCT(($B$10:$D$26=INDIRECT(SUBSTITUTE(ADDRESS(1,COLUMN()-1,4),"1","")&amp;ROW()-18))*ROW($B$10:$D$26)))*10+50</f>
        <v>#DIV/0!</v>
      </c>
      <c r="CJ74" s="8"/>
      <c r="CK74" s="49">
        <v>60</v>
      </c>
      <c r="CL74" s="83">
        <f t="shared" si="73"/>
        <v>3</v>
      </c>
      <c r="CM74" s="15">
        <f>IF(AND(CK74&lt;&gt;"", CN74&lt;&gt;""), ROUND(100*(1-(CP73+CP74)/2/CQ$56), $B$39), "")</f>
        <v>81</v>
      </c>
      <c r="CN74" s="52">
        <v>102</v>
      </c>
      <c r="CO74" s="16">
        <f t="shared" si="64"/>
        <v>1.284149565655294E-2</v>
      </c>
      <c r="CP74" s="17">
        <f>IF(AND(CK74&lt;&gt;"", CN74&lt;&gt;""), SUM(CN$59:CN74), "")</f>
        <v>1565</v>
      </c>
      <c r="CQ74" s="16">
        <f t="shared" si="65"/>
        <v>0.19702883041671912</v>
      </c>
      <c r="CR74" s="14"/>
      <c r="CS74" s="27">
        <v>34</v>
      </c>
      <c r="CT74" s="20" t="e" cm="1">
        <f t="array" aca="1" ref="CT74" ca="1">(CS74-INDIRECT(SUBSTITUTE(ADDRESS(1,COLUMN($C$9),4),"1","")&amp;SUMPRODUCT(($B$10:$D$26=INDIRECT(SUBSTITUTE(ADDRESS(1,COLUMN()-1,4),"1","")&amp;ROW()-18))*ROW($B$10:$D$26))))/INDIRECT(SUBSTITUTE(ADDRESS(1,COLUMN($D$9),4),"1","")&amp;SUMPRODUCT(($B$10:$D$26=INDIRECT(SUBSTITUTE(ADDRESS(1,COLUMN()-1,4),"1","")&amp;ROW()-18))*ROW($B$10:$D$26)))*10+50</f>
        <v>#DIV/0!</v>
      </c>
      <c r="CU74" s="8"/>
      <c r="CV74" s="49">
        <v>67</v>
      </c>
      <c r="CW74" s="83">
        <f t="shared" si="74"/>
        <v>2</v>
      </c>
      <c r="CX74" s="15">
        <f>IF(AND(CV74&lt;&gt;"", CY74&lt;&gt;""), ROUND(100*(1-(DA73+DA74)/2/DB$56), $B$39), "")</f>
        <v>91</v>
      </c>
      <c r="CY74" s="52">
        <v>27</v>
      </c>
      <c r="CZ74" s="16">
        <f t="shared" ref="CZ74:CZ85" si="97">IF(AND(CV74&lt;&gt;"", CY74&lt;&gt;""), CY74/DB$56, "")</f>
        <v>5.1704327843738029E-3</v>
      </c>
      <c r="DA74" s="17">
        <f>IF(AND(CV74&lt;&gt;"", CY74&lt;&gt;""), SUM(CY$59:CY74), "")</f>
        <v>509</v>
      </c>
      <c r="DB74" s="16">
        <f t="shared" ref="DB74:DB85" si="98">IF(AND(CV74&lt;&gt;"", CY74&lt;&gt;""), DA74/DB$56, "")</f>
        <v>9.7472232860972813E-2</v>
      </c>
    </row>
    <row r="75" spans="5:106" ht="16" customHeight="1" thickBot="1" x14ac:dyDescent="0.25">
      <c r="E75" s="1"/>
      <c r="F75" s="117" t="s">
        <v>8</v>
      </c>
      <c r="G75" s="118"/>
      <c r="H75" s="36"/>
      <c r="I75" s="117" t="s">
        <v>31</v>
      </c>
      <c r="J75" s="118"/>
      <c r="K75" s="36"/>
      <c r="L75"/>
      <c r="M75"/>
      <c r="N75"/>
      <c r="O75" s="38"/>
      <c r="P75" s="83" t="str">
        <f t="shared" si="81"/>
        <v/>
      </c>
      <c r="Q75" s="164" t="str">
        <f t="shared" si="79"/>
        <v/>
      </c>
      <c r="R75" s="43"/>
      <c r="S75" s="16" t="str">
        <f t="shared" si="83"/>
        <v/>
      </c>
      <c r="T75" s="17" t="str">
        <f>IF(AND(O75&lt;&gt;"", R75&lt;&gt;""), SUM(R$4:R75), "")</f>
        <v/>
      </c>
      <c r="U75" s="16" t="str">
        <f t="shared" si="84"/>
        <v/>
      </c>
      <c r="W75" s="38">
        <v>76</v>
      </c>
      <c r="X75" s="83">
        <f t="shared" si="82"/>
        <v>7</v>
      </c>
      <c r="Y75" s="164">
        <f t="shared" si="80"/>
        <v>14</v>
      </c>
      <c r="Z75" s="43">
        <v>21696</v>
      </c>
      <c r="AA75" s="16">
        <f t="shared" si="85"/>
        <v>5.5978842804618463E-2</v>
      </c>
      <c r="AB75" s="17">
        <f>IF(AND(W75&lt;&gt;"", Z75&lt;&gt;""), SUM(Z$4:Z75), "")</f>
        <v>343941</v>
      </c>
      <c r="AC75" s="16">
        <f t="shared" si="86"/>
        <v>0.88741791911242984</v>
      </c>
      <c r="AD75" s="1"/>
      <c r="AE75" s="19">
        <v>33</v>
      </c>
      <c r="AF75" s="20" t="e" cm="1">
        <f t="array" aca="1" ref="AF75" ca="1">(AE75-INDIRECT(SUBSTITUTE(ADDRESS(1,COLUMN($C$9),4),"1","")&amp;SUMPRODUCT(($B$10:$D$26=INDIRECT(SUBSTITUTE(ADDRESS(1,COLUMN()-1,4),"1","")&amp;ROW()-19))*ROW($B$10:$D$26))))/INDIRECT(SUBSTITUTE(ADDRESS(1,COLUMN($D$9),4),"1","")&amp;SUMPRODUCT(($B$10:$D$26=INDIRECT(SUBSTITUTE(ADDRESS(1,COLUMN()-1,4),"1","")&amp;ROW()-19))*ROW($B$10:$D$26)))*10+50</f>
        <v>#DIV/0!</v>
      </c>
      <c r="AG75" s="8"/>
      <c r="AH75" s="49">
        <v>51</v>
      </c>
      <c r="AI75" s="83">
        <f t="shared" si="68"/>
        <v>4</v>
      </c>
      <c r="AJ75" s="15">
        <f>IF(AND(AH75&lt;&gt;"", AK75&lt;&gt;""), ROUND(100*(1-(AM74+AM75)/2/AN$56), $B$39), "")</f>
        <v>68</v>
      </c>
      <c r="AK75" s="52">
        <v>751</v>
      </c>
      <c r="AL75" s="16">
        <f t="shared" si="87"/>
        <v>3.9257710402509145E-2</v>
      </c>
      <c r="AM75" s="17">
        <f>IF(AND(AH75&lt;&gt;"", AK75&lt;&gt;""), SUM(AK$59:AK75), "")</f>
        <v>6418</v>
      </c>
      <c r="AN75" s="16">
        <f t="shared" si="88"/>
        <v>0.3354939884997386</v>
      </c>
      <c r="AO75" s="14"/>
      <c r="AP75" s="19">
        <v>33</v>
      </c>
      <c r="AQ75" s="20" t="e" cm="1">
        <f t="array" aca="1" ref="AQ75" ca="1">(AP75-INDIRECT(SUBSTITUTE(ADDRESS(1,COLUMN($C$9),4),"1","")&amp;SUMPRODUCT(($B$10:$D$26=INDIRECT(SUBSTITUTE(ADDRESS(1,COLUMN()-1,4),"1","")&amp;ROW()-19))*ROW($B$10:$D$26))))/INDIRECT(SUBSTITUTE(ADDRESS(1,COLUMN($D$9),4),"1","")&amp;SUMPRODUCT(($B$10:$D$26=INDIRECT(SUBSTITUTE(ADDRESS(1,COLUMN()-1,4),"1","")&amp;ROW()-19))*ROW($B$10:$D$26)))*10+50</f>
        <v>#DIV/0!</v>
      </c>
      <c r="AR75" s="8"/>
      <c r="AS75" s="49">
        <v>52</v>
      </c>
      <c r="AT75" s="83">
        <f t="shared" si="69"/>
        <v>4</v>
      </c>
      <c r="AU75" s="15">
        <f>IF(AND(AS75&lt;&gt;"", AV75&lt;&gt;""), ROUND(100*(1-(AX74+AX75)/2/AY$56), $B$39), "")</f>
        <v>61</v>
      </c>
      <c r="AV75" s="52">
        <v>695</v>
      </c>
      <c r="AW75" s="16">
        <f t="shared" si="89"/>
        <v>3.6298114587141592E-2</v>
      </c>
      <c r="AX75" s="17">
        <f>IF(AND(AS75&lt;&gt;"", AV75&lt;&gt;""), SUM(AV$59:AV75), "")</f>
        <v>7809</v>
      </c>
      <c r="AY75" s="16">
        <f t="shared" si="90"/>
        <v>0.40784457095106286</v>
      </c>
      <c r="AZ75" s="14"/>
      <c r="BA75" s="19">
        <v>33</v>
      </c>
      <c r="BB75" s="20" t="e" cm="1">
        <f t="array" aca="1" ref="BB75" ca="1">(BA75-INDIRECT(SUBSTITUTE(ADDRESS(1,COLUMN($C$9),4),"1","")&amp;SUMPRODUCT(($B$10:$D$26=INDIRECT(SUBSTITUTE(ADDRESS(1,COLUMN()-1,4),"1","")&amp;ROW()-19))*ROW($B$10:$D$26))))/INDIRECT(SUBSTITUTE(ADDRESS(1,COLUMN($D$9),4),"1","")&amp;SUMPRODUCT(($B$10:$D$26=INDIRECT(SUBSTITUTE(ADDRESS(1,COLUMN()-1,4),"1","")&amp;ROW()-19))*ROW($B$10:$D$26)))*10+50</f>
        <v>#DIV/0!</v>
      </c>
      <c r="BC75" s="8"/>
      <c r="BD75" s="49">
        <v>56</v>
      </c>
      <c r="BE75" s="83">
        <f t="shared" si="70"/>
        <v>4</v>
      </c>
      <c r="BF75" s="15">
        <f>IF(AND(BD75&lt;&gt;"", BG75&lt;&gt;""), ROUND(100*(1-(BI74+BI75)/2/BJ$56), $B$39), "")</f>
        <v>73</v>
      </c>
      <c r="BG75" s="52">
        <v>220</v>
      </c>
      <c r="BH75" s="16">
        <f t="shared" si="91"/>
        <v>1.4911210519181239E-2</v>
      </c>
      <c r="BI75" s="17">
        <f>IF(AND(BD75&lt;&gt;"", BG75&lt;&gt;""), SUM(BG$59:BG75), "")</f>
        <v>4051</v>
      </c>
      <c r="BJ75" s="16">
        <f t="shared" si="92"/>
        <v>0.27456960824183274</v>
      </c>
      <c r="BK75" s="14"/>
      <c r="BL75" s="27">
        <v>33</v>
      </c>
      <c r="BM75" s="20" t="e" cm="1">
        <f t="array" aca="1" ref="BM75" ca="1">(BL75-INDIRECT(SUBSTITUTE(ADDRESS(1,COLUMN($C$9),4),"1","")&amp;SUMPRODUCT(($B$10:$D$26=INDIRECT(SUBSTITUTE(ADDRESS(1,COLUMN()-1,4),"1","")&amp;ROW()-19))*ROW($B$10:$D$26))))/INDIRECT(SUBSTITUTE(ADDRESS(1,COLUMN($D$9),4),"1","")&amp;SUMPRODUCT(($B$10:$D$26=INDIRECT(SUBSTITUTE(ADDRESS(1,COLUMN()-1,4),"1","")&amp;ROW()-19))*ROW($B$10:$D$26)))*10+50</f>
        <v>#DIV/0!</v>
      </c>
      <c r="BN75" s="8"/>
      <c r="BO75" s="49">
        <v>63</v>
      </c>
      <c r="BP75" s="83">
        <f t="shared" si="71"/>
        <v>3</v>
      </c>
      <c r="BQ75" s="15">
        <f>IF(AND(BO75&lt;&gt;"", BR75&lt;&gt;""), ROUND(100*(1-(BT74+BT75)/2/BU$56), $B$39), "")</f>
        <v>85</v>
      </c>
      <c r="BR75" s="52">
        <v>27</v>
      </c>
      <c r="BS75" s="16">
        <f t="shared" si="93"/>
        <v>6.6371681415929203E-3</v>
      </c>
      <c r="BT75" s="17">
        <f>IF(AND(BO75&lt;&gt;"", BR75&lt;&gt;""), SUM(BR$59:BR75), "")</f>
        <v>612</v>
      </c>
      <c r="BU75" s="16">
        <f t="shared" si="94"/>
        <v>0.15044247787610621</v>
      </c>
      <c r="BV75" s="14"/>
      <c r="BW75" s="27">
        <v>33</v>
      </c>
      <c r="BX75" s="20" t="e" cm="1">
        <f t="array" aca="1" ref="BX75" ca="1">(BW75-INDIRECT(SUBSTITUTE(ADDRESS(1,COLUMN($C$9),4),"1","")&amp;SUMPRODUCT(($B$10:$D$26=INDIRECT(SUBSTITUTE(ADDRESS(1,COLUMN()-1,4),"1","")&amp;ROW()-19))*ROW($B$10:$D$26))))/INDIRECT(SUBSTITUTE(ADDRESS(1,COLUMN($D$9),4),"1","")&amp;SUMPRODUCT(($B$10:$D$26=INDIRECT(SUBSTITUTE(ADDRESS(1,COLUMN()-1,4),"1","")&amp;ROW()-19))*ROW($B$10:$D$26)))*10+50</f>
        <v>#DIV/0!</v>
      </c>
      <c r="BY75" s="8"/>
      <c r="BZ75" s="49">
        <v>61</v>
      </c>
      <c r="CA75" s="83">
        <f t="shared" si="72"/>
        <v>3</v>
      </c>
      <c r="CB75" s="15">
        <f>IF(AND(BZ75&lt;&gt;"", CC75&lt;&gt;""), ROUND(100*(1-(CE74+CE75)/2/CF$56), $B$39), "")</f>
        <v>82</v>
      </c>
      <c r="CC75" s="52">
        <v>43</v>
      </c>
      <c r="CD75" s="16">
        <f t="shared" si="95"/>
        <v>9.3825005454942177E-3</v>
      </c>
      <c r="CE75" s="17">
        <f>IF(AND(BZ75&lt;&gt;"", CC75&lt;&gt;""), SUM(CC$59:CC75), "")</f>
        <v>827</v>
      </c>
      <c r="CF75" s="16">
        <f t="shared" si="96"/>
        <v>0.1804494872354353</v>
      </c>
      <c r="CG75" s="14"/>
      <c r="CH75" s="27">
        <v>33</v>
      </c>
      <c r="CI75" s="20" t="e" cm="1">
        <f t="array" aca="1" ref="CI75" ca="1">(CH75-INDIRECT(SUBSTITUTE(ADDRESS(1,COLUMN($C$9),4),"1","")&amp;SUMPRODUCT(($B$10:$D$26=INDIRECT(SUBSTITUTE(ADDRESS(1,COLUMN()-1,4),"1","")&amp;ROW()-19))*ROW($B$10:$D$26))))/INDIRECT(SUBSTITUTE(ADDRESS(1,COLUMN($D$9),4),"1","")&amp;SUMPRODUCT(($B$10:$D$26=INDIRECT(SUBSTITUTE(ADDRESS(1,COLUMN()-1,4),"1","")&amp;ROW()-19))*ROW($B$10:$D$26)))*10+50</f>
        <v>#DIV/0!</v>
      </c>
      <c r="CJ75" s="8"/>
      <c r="CK75" s="48">
        <v>59</v>
      </c>
      <c r="CL75" s="83">
        <f t="shared" si="73"/>
        <v>3</v>
      </c>
      <c r="CM75" s="15">
        <f>IF(AND(CK75&lt;&gt;"", CN75&lt;&gt;""), ROUND(100*(1-(CP74+CP75)/2/CQ$56), $B$39), "")</f>
        <v>80</v>
      </c>
      <c r="CN75" s="52">
        <v>48</v>
      </c>
      <c r="CO75" s="16">
        <f t="shared" si="64"/>
        <v>6.0430567795543245E-3</v>
      </c>
      <c r="CP75" s="17">
        <f>IF(AND(CK75&lt;&gt;"", CN75&lt;&gt;""), SUM(CN$59:CN75), "")</f>
        <v>1613</v>
      </c>
      <c r="CQ75" s="16">
        <f t="shared" si="65"/>
        <v>0.20307188719627345</v>
      </c>
      <c r="CR75" s="14"/>
      <c r="CS75" s="27">
        <v>33</v>
      </c>
      <c r="CT75" s="20" t="e" cm="1">
        <f t="array" aca="1" ref="CT75" ca="1">(CS75-INDIRECT(SUBSTITUTE(ADDRESS(1,COLUMN($C$9),4),"1","")&amp;SUMPRODUCT(($B$10:$D$26=INDIRECT(SUBSTITUTE(ADDRESS(1,COLUMN()-1,4),"1","")&amp;ROW()-19))*ROW($B$10:$D$26))))/INDIRECT(SUBSTITUTE(ADDRESS(1,COLUMN($D$9),4),"1","")&amp;SUMPRODUCT(($B$10:$D$26=INDIRECT(SUBSTITUTE(ADDRESS(1,COLUMN()-1,4),"1","")&amp;ROW()-19))*ROW($B$10:$D$26)))*10+50</f>
        <v>#DIV/0!</v>
      </c>
      <c r="CU75" s="8"/>
      <c r="CV75" s="49">
        <v>66</v>
      </c>
      <c r="CW75" s="83">
        <f t="shared" si="74"/>
        <v>2</v>
      </c>
      <c r="CX75" s="15">
        <f>IF(AND(CV75&lt;&gt;"", CY75&lt;&gt;""), ROUND(100*(1-(DA74+DA75)/2/DB$56), $B$39), "")</f>
        <v>90</v>
      </c>
      <c r="CY75" s="52">
        <v>55</v>
      </c>
      <c r="CZ75" s="16">
        <f t="shared" si="97"/>
        <v>1.0532363079279969E-2</v>
      </c>
      <c r="DA75" s="17">
        <f>IF(AND(CV75&lt;&gt;"", CY75&lt;&gt;""), SUM(CY$59:CY75), "")</f>
        <v>564</v>
      </c>
      <c r="DB75" s="16">
        <f t="shared" si="98"/>
        <v>0.10800459594025277</v>
      </c>
    </row>
    <row r="76" spans="5:106" ht="16" customHeight="1" x14ac:dyDescent="0.2">
      <c r="E76" s="1"/>
      <c r="F76" s="30" t="s">
        <v>30</v>
      </c>
      <c r="G76" s="30" t="s">
        <v>14</v>
      </c>
      <c r="H76" s="36"/>
      <c r="I76" s="30" t="s">
        <v>30</v>
      </c>
      <c r="J76" s="30" t="s">
        <v>14</v>
      </c>
      <c r="K76" s="36"/>
      <c r="L76"/>
      <c r="M76"/>
      <c r="N76"/>
      <c r="O76" s="38"/>
      <c r="P76" s="83" t="str">
        <f t="shared" si="81"/>
        <v/>
      </c>
      <c r="Q76" s="164" t="str">
        <f t="shared" si="79"/>
        <v/>
      </c>
      <c r="R76" s="43"/>
      <c r="S76" s="16" t="str">
        <f t="shared" si="83"/>
        <v/>
      </c>
      <c r="T76" s="17" t="str">
        <f>IF(AND(O76&lt;&gt;"", R76&lt;&gt;""), SUM(R$4:R76), "")</f>
        <v/>
      </c>
      <c r="U76" s="16" t="str">
        <f t="shared" si="84"/>
        <v/>
      </c>
      <c r="W76" s="38">
        <v>75</v>
      </c>
      <c r="X76" s="83">
        <f t="shared" si="82"/>
        <v>7</v>
      </c>
      <c r="Y76" s="164">
        <f t="shared" si="80"/>
        <v>10</v>
      </c>
      <c r="Z76" s="43">
        <v>7078</v>
      </c>
      <c r="AA76" s="16">
        <f t="shared" si="85"/>
        <v>1.8262271818357736E-2</v>
      </c>
      <c r="AB76" s="17">
        <f>IF(AND(W76&lt;&gt;"", Z76&lt;&gt;""), SUM(Z$4:Z76), "")</f>
        <v>351019</v>
      </c>
      <c r="AC76" s="16">
        <f t="shared" si="86"/>
        <v>0.90568019093078755</v>
      </c>
      <c r="AD76" s="1"/>
      <c r="AE76" s="19">
        <v>32</v>
      </c>
      <c r="AF76" s="20" t="e" cm="1">
        <f t="array" aca="1" ref="AF76" ca="1">(AE76-INDIRECT(SUBSTITUTE(ADDRESS(1,COLUMN($C$9),4),"1","")&amp;SUMPRODUCT(($B$10:$D$26=INDIRECT(SUBSTITUTE(ADDRESS(1,COLUMN()-1,4),"1","")&amp;ROW()-20))*ROW($B$10:$D$26))))/INDIRECT(SUBSTITUTE(ADDRESS(1,COLUMN($D$9),4),"1","")&amp;SUMPRODUCT(($B$10:$D$26=INDIRECT(SUBSTITUTE(ADDRESS(1,COLUMN()-1,4),"1","")&amp;ROW()-20))*ROW($B$10:$D$26)))*10+50</f>
        <v>#DIV/0!</v>
      </c>
      <c r="AG76" s="8"/>
      <c r="AH76" s="49">
        <v>50</v>
      </c>
      <c r="AI76" s="83">
        <f t="shared" si="68"/>
        <v>4</v>
      </c>
      <c r="AJ76" s="15">
        <f>IF(AND(AH76&lt;&gt;"", AK76&lt;&gt;""), ROUND(100*(1-(AM75+AM76)/2/AN$56), $B$39), "")</f>
        <v>65</v>
      </c>
      <c r="AK76" s="52">
        <v>408</v>
      </c>
      <c r="AL76" s="16">
        <f t="shared" si="87"/>
        <v>2.1327757449032932E-2</v>
      </c>
      <c r="AM76" s="17">
        <f>IF(AND(AH76&lt;&gt;"", AK76&lt;&gt;""), SUM(AK$59:AK76), "")</f>
        <v>6826</v>
      </c>
      <c r="AN76" s="16">
        <f t="shared" si="88"/>
        <v>0.35682174594877158</v>
      </c>
      <c r="AO76" s="14"/>
      <c r="AP76" s="19">
        <v>32</v>
      </c>
      <c r="AQ76" s="20" t="e" cm="1">
        <f t="array" aca="1" ref="AQ76" ca="1">(AP76-INDIRECT(SUBSTITUTE(ADDRESS(1,COLUMN($C$9),4),"1","")&amp;SUMPRODUCT(($B$10:$D$26=INDIRECT(SUBSTITUTE(ADDRESS(1,COLUMN()-1,4),"1","")&amp;ROW()-20))*ROW($B$10:$D$26))))/INDIRECT(SUBSTITUTE(ADDRESS(1,COLUMN($D$9),4),"1","")&amp;SUMPRODUCT(($B$10:$D$26=INDIRECT(SUBSTITUTE(ADDRESS(1,COLUMN()-1,4),"1","")&amp;ROW()-20))*ROW($B$10:$D$26)))*10+50</f>
        <v>#DIV/0!</v>
      </c>
      <c r="AR76" s="8"/>
      <c r="AS76" s="49">
        <v>51</v>
      </c>
      <c r="AT76" s="83">
        <f t="shared" si="69"/>
        <v>5</v>
      </c>
      <c r="AU76" s="15">
        <f>IF(AND(AS76&lt;&gt;"", AV76&lt;&gt;""), ROUND(100*(1-(AX75+AX76)/2/AY$56), $B$39), "")</f>
        <v>58</v>
      </c>
      <c r="AV76" s="52">
        <v>337</v>
      </c>
      <c r="AW76" s="16">
        <f t="shared" si="89"/>
        <v>1.7600668512038439E-2</v>
      </c>
      <c r="AX76" s="17">
        <f>IF(AND(AS76&lt;&gt;"", AV76&lt;&gt;""), SUM(AV$59:AV76), "")</f>
        <v>8146</v>
      </c>
      <c r="AY76" s="16">
        <f t="shared" si="90"/>
        <v>0.42544523946310125</v>
      </c>
      <c r="AZ76" s="14"/>
      <c r="BA76" s="19">
        <v>32</v>
      </c>
      <c r="BB76" s="20" t="e" cm="1">
        <f t="array" aca="1" ref="BB76" ca="1">(BA76-INDIRECT(SUBSTITUTE(ADDRESS(1,COLUMN($C$9),4),"1","")&amp;SUMPRODUCT(($B$10:$D$26=INDIRECT(SUBSTITUTE(ADDRESS(1,COLUMN()-1,4),"1","")&amp;ROW()-20))*ROW($B$10:$D$26))))/INDIRECT(SUBSTITUTE(ADDRESS(1,COLUMN($D$9),4),"1","")&amp;SUMPRODUCT(($B$10:$D$26=INDIRECT(SUBSTITUTE(ADDRESS(1,COLUMN()-1,4),"1","")&amp;ROW()-20))*ROW($B$10:$D$26)))*10+50</f>
        <v>#DIV/0!</v>
      </c>
      <c r="BC76" s="8"/>
      <c r="BD76" s="49">
        <v>55</v>
      </c>
      <c r="BE76" s="83">
        <f t="shared" si="70"/>
        <v>4</v>
      </c>
      <c r="BF76" s="15">
        <f>IF(AND(BD76&lt;&gt;"", BG76&lt;&gt;""), ROUND(100*(1-(BI75+BI76)/2/BJ$56), $B$39), "")</f>
        <v>72</v>
      </c>
      <c r="BG76" s="52">
        <v>244</v>
      </c>
      <c r="BH76" s="16">
        <f t="shared" si="91"/>
        <v>1.6537888030364645E-2</v>
      </c>
      <c r="BI76" s="17">
        <f>IF(AND(BD76&lt;&gt;"", BG76&lt;&gt;""), SUM(BG$59:BG76), "")</f>
        <v>4295</v>
      </c>
      <c r="BJ76" s="16">
        <f t="shared" si="92"/>
        <v>0.2911074962721974</v>
      </c>
      <c r="BK76" s="14"/>
      <c r="BL76" s="27">
        <v>32</v>
      </c>
      <c r="BM76" s="20" t="e" cm="1">
        <f t="array" aca="1" ref="BM76" ca="1">(BL76-INDIRECT(SUBSTITUTE(ADDRESS(1,COLUMN($C$9),4),"1","")&amp;SUMPRODUCT(($B$10:$D$26=INDIRECT(SUBSTITUTE(ADDRESS(1,COLUMN()-1,4),"1","")&amp;ROW()-20))*ROW($B$10:$D$26))))/INDIRECT(SUBSTITUTE(ADDRESS(1,COLUMN($D$9),4),"1","")&amp;SUMPRODUCT(($B$10:$D$26=INDIRECT(SUBSTITUTE(ADDRESS(1,COLUMN()-1,4),"1","")&amp;ROW()-20))*ROW($B$10:$D$26)))*10+50</f>
        <v>#DIV/0!</v>
      </c>
      <c r="BN76" s="8"/>
      <c r="BO76" s="49">
        <v>62</v>
      </c>
      <c r="BP76" s="83">
        <f t="shared" si="71"/>
        <v>3</v>
      </c>
      <c r="BQ76" s="15">
        <f>IF(AND(BO76&lt;&gt;"", BR76&lt;&gt;""), ROUND(100*(1-(BT75+BT76)/2/BU$56), $B$39), "")</f>
        <v>84</v>
      </c>
      <c r="BR76" s="52">
        <v>38</v>
      </c>
      <c r="BS76" s="16">
        <f t="shared" si="93"/>
        <v>9.3411996066863328E-3</v>
      </c>
      <c r="BT76" s="17">
        <f>IF(AND(BO76&lt;&gt;"", BR76&lt;&gt;""), SUM(BR$59:BR76), "")</f>
        <v>650</v>
      </c>
      <c r="BU76" s="16">
        <f t="shared" si="94"/>
        <v>0.15978367748279251</v>
      </c>
      <c r="BV76" s="14"/>
      <c r="BW76" s="27">
        <v>32</v>
      </c>
      <c r="BX76" s="20" t="e" cm="1">
        <f t="array" aca="1" ref="BX76" ca="1">(BW76-INDIRECT(SUBSTITUTE(ADDRESS(1,COLUMN($C$9),4),"1","")&amp;SUMPRODUCT(($B$10:$D$26=INDIRECT(SUBSTITUTE(ADDRESS(1,COLUMN()-1,4),"1","")&amp;ROW()-20))*ROW($B$10:$D$26))))/INDIRECT(SUBSTITUTE(ADDRESS(1,COLUMN($D$9),4),"1","")&amp;SUMPRODUCT(($B$10:$D$26=INDIRECT(SUBSTITUTE(ADDRESS(1,COLUMN()-1,4),"1","")&amp;ROW()-20))*ROW($B$10:$D$26)))*10+50</f>
        <v>#DIV/0!</v>
      </c>
      <c r="BY76" s="8"/>
      <c r="BZ76" s="49">
        <v>60</v>
      </c>
      <c r="CA76" s="83">
        <f t="shared" si="72"/>
        <v>3</v>
      </c>
      <c r="CB76" s="15">
        <f>IF(AND(BZ76&lt;&gt;"", CC76&lt;&gt;""), ROUND(100*(1-(CE75+CE76)/2/CF$56), $B$39), "")</f>
        <v>81</v>
      </c>
      <c r="CC76" s="52">
        <v>65</v>
      </c>
      <c r="CD76" s="16">
        <f t="shared" si="95"/>
        <v>1.4182849661793584E-2</v>
      </c>
      <c r="CE76" s="17">
        <f>IF(AND(BZ76&lt;&gt;"", CC76&lt;&gt;""), SUM(CC$59:CC76), "")</f>
        <v>892</v>
      </c>
      <c r="CF76" s="16">
        <f t="shared" si="96"/>
        <v>0.19463233689722889</v>
      </c>
      <c r="CG76" s="14"/>
      <c r="CH76" s="27">
        <v>32</v>
      </c>
      <c r="CI76" s="20" t="e" cm="1">
        <f t="array" aca="1" ref="CI76" ca="1">(CH76-INDIRECT(SUBSTITUTE(ADDRESS(1,COLUMN($C$9),4),"1","")&amp;SUMPRODUCT(($B$10:$D$26=INDIRECT(SUBSTITUTE(ADDRESS(1,COLUMN()-1,4),"1","")&amp;ROW()-20))*ROW($B$10:$D$26))))/INDIRECT(SUBSTITUTE(ADDRESS(1,COLUMN($D$9),4),"1","")&amp;SUMPRODUCT(($B$10:$D$26=INDIRECT(SUBSTITUTE(ADDRESS(1,COLUMN()-1,4),"1","")&amp;ROW()-20))*ROW($B$10:$D$26)))*10+50</f>
        <v>#DIV/0!</v>
      </c>
      <c r="CJ76" s="8"/>
      <c r="CK76" s="49">
        <v>58</v>
      </c>
      <c r="CL76" s="83">
        <f t="shared" si="73"/>
        <v>3</v>
      </c>
      <c r="CM76" s="15">
        <f>IF(AND(CK76&lt;&gt;"", CN76&lt;&gt;""), ROUND(100*(1-(CP75+CP76)/2/CQ$56), $B$39), "")</f>
        <v>79</v>
      </c>
      <c r="CN76" s="52">
        <v>55</v>
      </c>
      <c r="CO76" s="16">
        <f t="shared" si="64"/>
        <v>6.9243358932393299E-3</v>
      </c>
      <c r="CP76" s="17">
        <f>IF(AND(CK76&lt;&gt;"", CN76&lt;&gt;""), SUM(CN$59:CN76), "")</f>
        <v>1668</v>
      </c>
      <c r="CQ76" s="16">
        <f t="shared" si="65"/>
        <v>0.20999622308951277</v>
      </c>
      <c r="CR76" s="14"/>
      <c r="CS76" s="27">
        <v>32</v>
      </c>
      <c r="CT76" s="20" t="e" cm="1">
        <f t="array" aca="1" ref="CT76" ca="1">(CS76-INDIRECT(SUBSTITUTE(ADDRESS(1,COLUMN($C$9),4),"1","")&amp;SUMPRODUCT(($B$10:$D$26=INDIRECT(SUBSTITUTE(ADDRESS(1,COLUMN()-1,4),"1","")&amp;ROW()-20))*ROW($B$10:$D$26))))/INDIRECT(SUBSTITUTE(ADDRESS(1,COLUMN($D$9),4),"1","")&amp;SUMPRODUCT(($B$10:$D$26=INDIRECT(SUBSTITUTE(ADDRESS(1,COLUMN()-1,4),"1","")&amp;ROW()-20))*ROW($B$10:$D$26)))*10+50</f>
        <v>#DIV/0!</v>
      </c>
      <c r="CU76" s="8"/>
      <c r="CV76" s="49">
        <v>65</v>
      </c>
      <c r="CW76" s="83">
        <f t="shared" si="74"/>
        <v>2</v>
      </c>
      <c r="CX76" s="15">
        <f>IF(AND(CV76&lt;&gt;"", CY76&lt;&gt;""), ROUND(100*(1-(DA75+DA76)/2/DB$56), $B$39), "")</f>
        <v>89</v>
      </c>
      <c r="CY76" s="52">
        <v>65</v>
      </c>
      <c r="CZ76" s="16">
        <f t="shared" si="97"/>
        <v>1.24473381846036E-2</v>
      </c>
      <c r="DA76" s="17">
        <f>IF(AND(CV76&lt;&gt;"", CY76&lt;&gt;""), SUM(CY$59:CY76), "")</f>
        <v>629</v>
      </c>
      <c r="DB76" s="16">
        <f t="shared" si="98"/>
        <v>0.12045193412485637</v>
      </c>
    </row>
    <row r="77" spans="5:106" ht="16" customHeight="1" x14ac:dyDescent="0.2">
      <c r="E77" s="1"/>
      <c r="F77" s="86"/>
      <c r="G77" s="85">
        <v>1</v>
      </c>
      <c r="H77" s="36"/>
      <c r="I77" s="86"/>
      <c r="J77" s="85">
        <v>1</v>
      </c>
      <c r="K77" s="70"/>
      <c r="L77"/>
      <c r="M77"/>
      <c r="N77"/>
      <c r="O77" s="38"/>
      <c r="P77" s="83" t="str">
        <f t="shared" si="81"/>
        <v/>
      </c>
      <c r="Q77" s="164" t="str">
        <f t="shared" si="79"/>
        <v/>
      </c>
      <c r="R77" s="43"/>
      <c r="S77" s="16" t="str">
        <f t="shared" si="83"/>
        <v/>
      </c>
      <c r="T77" s="17" t="str">
        <f>IF(AND(O77&lt;&gt;"", R77&lt;&gt;""), SUM(R$4:R77), "")</f>
        <v/>
      </c>
      <c r="U77" s="16" t="str">
        <f t="shared" si="84"/>
        <v/>
      </c>
      <c r="W77" s="38">
        <v>74</v>
      </c>
      <c r="X77" s="83">
        <f t="shared" si="82"/>
        <v>8</v>
      </c>
      <c r="Y77" s="164">
        <f t="shared" si="80"/>
        <v>8</v>
      </c>
      <c r="Z77" s="43">
        <v>9245</v>
      </c>
      <c r="AA77" s="16">
        <f t="shared" si="85"/>
        <v>2.3853447719796167E-2</v>
      </c>
      <c r="AB77" s="17">
        <f>IF(AND(W77&lt;&gt;"", Z77&lt;&gt;""), SUM(Z$4:Z77), "")</f>
        <v>360264</v>
      </c>
      <c r="AC77" s="16">
        <f t="shared" si="86"/>
        <v>0.9295336386505838</v>
      </c>
      <c r="AD77" s="1"/>
      <c r="AE77" s="19">
        <v>31</v>
      </c>
      <c r="AF77" s="20" t="e" cm="1">
        <f t="array" aca="1" ref="AF77" ca="1">(AE77-INDIRECT(SUBSTITUTE(ADDRESS(1,COLUMN($C$9),4),"1","")&amp;SUMPRODUCT(($B$10:$D$26=INDIRECT(SUBSTITUTE(ADDRESS(1,COLUMN()-1,4),"1","")&amp;ROW()-21))*ROW($B$10:$D$26))))/INDIRECT(SUBSTITUTE(ADDRESS(1,COLUMN($D$9),4),"1","")&amp;SUMPRODUCT(($B$10:$D$26=INDIRECT(SUBSTITUTE(ADDRESS(1,COLUMN()-1,4),"1","")&amp;ROW()-21))*ROW($B$10:$D$26)))*10+50</f>
        <v>#DIV/0!</v>
      </c>
      <c r="AG77" s="8"/>
      <c r="AH77" s="49">
        <v>49</v>
      </c>
      <c r="AI77" s="83">
        <f t="shared" si="68"/>
        <v>4</v>
      </c>
      <c r="AJ77" s="15">
        <f>IF(AND(AH77&lt;&gt;"", AK77&lt;&gt;""), ROUND(100*(1-(AM76+AM77)/2/AN$56), $B$39), "")</f>
        <v>63</v>
      </c>
      <c r="AK77" s="52">
        <v>385</v>
      </c>
      <c r="AL77" s="16">
        <f t="shared" si="87"/>
        <v>2.0125457396759017E-2</v>
      </c>
      <c r="AM77" s="17">
        <f>IF(AND(AH77&lt;&gt;"", AK77&lt;&gt;""), SUM(AK$59:AK77), "")</f>
        <v>7211</v>
      </c>
      <c r="AN77" s="16">
        <f t="shared" si="88"/>
        <v>0.37694720334553056</v>
      </c>
      <c r="AO77" s="14"/>
      <c r="AP77" s="19">
        <v>31</v>
      </c>
      <c r="AQ77" s="20" t="e" cm="1">
        <f t="array" aca="1" ref="AQ77" ca="1">(AP77-INDIRECT(SUBSTITUTE(ADDRESS(1,COLUMN($C$9),4),"1","")&amp;SUMPRODUCT(($B$10:$D$26=INDIRECT(SUBSTITUTE(ADDRESS(1,COLUMN()-1,4),"1","")&amp;ROW()-21))*ROW($B$10:$D$26))))/INDIRECT(SUBSTITUTE(ADDRESS(1,COLUMN($D$9),4),"1","")&amp;SUMPRODUCT(($B$10:$D$26=INDIRECT(SUBSTITUTE(ADDRESS(1,COLUMN()-1,4),"1","")&amp;ROW()-21))*ROW($B$10:$D$26)))*10+50</f>
        <v>#DIV/0!</v>
      </c>
      <c r="AR77" s="8"/>
      <c r="AS77" s="49">
        <v>50</v>
      </c>
      <c r="AT77" s="83">
        <f t="shared" si="69"/>
        <v>5</v>
      </c>
      <c r="AU77" s="15">
        <f>IF(AND(AS77&lt;&gt;"", AV77&lt;&gt;""), ROUND(100*(1-(AX76+AX77)/2/AY$56), $B$39), "")</f>
        <v>56</v>
      </c>
      <c r="AV77" s="52">
        <v>415</v>
      </c>
      <c r="AW77" s="16">
        <f t="shared" si="89"/>
        <v>2.1674413746278789E-2</v>
      </c>
      <c r="AX77" s="17">
        <f>IF(AND(AS77&lt;&gt;"", AV77&lt;&gt;""), SUM(AV$59:AV77), "")</f>
        <v>8561</v>
      </c>
      <c r="AY77" s="16">
        <f t="shared" si="90"/>
        <v>0.44711965320938007</v>
      </c>
      <c r="AZ77" s="14"/>
      <c r="BA77" s="19">
        <v>31</v>
      </c>
      <c r="BB77" s="20" t="e" cm="1">
        <f t="array" aca="1" ref="BB77" ca="1">(BA77-INDIRECT(SUBSTITUTE(ADDRESS(1,COLUMN($C$9),4),"1","")&amp;SUMPRODUCT(($B$10:$D$26=INDIRECT(SUBSTITUTE(ADDRESS(1,COLUMN()-1,4),"1","")&amp;ROW()-21))*ROW($B$10:$D$26))))/INDIRECT(SUBSTITUTE(ADDRESS(1,COLUMN($D$9),4),"1","")&amp;SUMPRODUCT(($B$10:$D$26=INDIRECT(SUBSTITUTE(ADDRESS(1,COLUMN()-1,4),"1","")&amp;ROW()-21))*ROW($B$10:$D$26)))*10+50</f>
        <v>#DIV/0!</v>
      </c>
      <c r="BC77" s="8"/>
      <c r="BD77" s="49">
        <v>54</v>
      </c>
      <c r="BE77" s="83">
        <f t="shared" si="70"/>
        <v>4</v>
      </c>
      <c r="BF77" s="15">
        <f>IF(AND(BD77&lt;&gt;"", BG77&lt;&gt;""), ROUND(100*(1-(BI76+BI77)/2/BJ$56), $B$39), "")</f>
        <v>69</v>
      </c>
      <c r="BG77" s="52">
        <v>440</v>
      </c>
      <c r="BH77" s="16">
        <f t="shared" si="91"/>
        <v>2.9822421038362478E-2</v>
      </c>
      <c r="BI77" s="17">
        <f>IF(AND(BD77&lt;&gt;"", BG77&lt;&gt;""), SUM(BG$59:BG77), "")</f>
        <v>4735</v>
      </c>
      <c r="BJ77" s="16">
        <f t="shared" si="92"/>
        <v>0.32092991731055986</v>
      </c>
      <c r="BK77" s="14"/>
      <c r="BL77" s="27">
        <v>31</v>
      </c>
      <c r="BM77" s="20" t="e" cm="1">
        <f t="array" aca="1" ref="BM77" ca="1">(BL77-INDIRECT(SUBSTITUTE(ADDRESS(1,COLUMN($C$9),4),"1","")&amp;SUMPRODUCT(($B$10:$D$26=INDIRECT(SUBSTITUTE(ADDRESS(1,COLUMN()-1,4),"1","")&amp;ROW()-21))*ROW($B$10:$D$26))))/INDIRECT(SUBSTITUTE(ADDRESS(1,COLUMN($D$9),4),"1","")&amp;SUMPRODUCT(($B$10:$D$26=INDIRECT(SUBSTITUTE(ADDRESS(1,COLUMN()-1,4),"1","")&amp;ROW()-21))*ROW($B$10:$D$26)))*10+50</f>
        <v>#DIV/0!</v>
      </c>
      <c r="BN77" s="8"/>
      <c r="BO77" s="49">
        <v>61</v>
      </c>
      <c r="BP77" s="83">
        <f t="shared" si="71"/>
        <v>3</v>
      </c>
      <c r="BQ77" s="15">
        <f>IF(AND(BO77&lt;&gt;"", BR77&lt;&gt;""), ROUND(100*(1-(BT76+BT77)/2/BU$56), $B$39), "")</f>
        <v>84</v>
      </c>
      <c r="BR77" s="52">
        <v>34</v>
      </c>
      <c r="BS77" s="16">
        <f t="shared" si="93"/>
        <v>8.3579154375614546E-3</v>
      </c>
      <c r="BT77" s="17">
        <f>IF(AND(BO77&lt;&gt;"", BR77&lt;&gt;""), SUM(BR$59:BR77), "")</f>
        <v>684</v>
      </c>
      <c r="BU77" s="16">
        <f t="shared" si="94"/>
        <v>0.16814159292035399</v>
      </c>
      <c r="BV77" s="14"/>
      <c r="BW77" s="27">
        <v>31</v>
      </c>
      <c r="BX77" s="20" t="e" cm="1">
        <f t="array" aca="1" ref="BX77" ca="1">(BW77-INDIRECT(SUBSTITUTE(ADDRESS(1,COLUMN($C$9),4),"1","")&amp;SUMPRODUCT(($B$10:$D$26=INDIRECT(SUBSTITUTE(ADDRESS(1,COLUMN()-1,4),"1","")&amp;ROW()-21))*ROW($B$10:$D$26))))/INDIRECT(SUBSTITUTE(ADDRESS(1,COLUMN($D$9),4),"1","")&amp;SUMPRODUCT(($B$10:$D$26=INDIRECT(SUBSTITUTE(ADDRESS(1,COLUMN()-1,4),"1","")&amp;ROW()-21))*ROW($B$10:$D$26)))*10+50</f>
        <v>#DIV/0!</v>
      </c>
      <c r="BY77" s="8"/>
      <c r="BZ77" s="49">
        <v>59</v>
      </c>
      <c r="CA77" s="83">
        <f t="shared" si="72"/>
        <v>3</v>
      </c>
      <c r="CB77" s="15">
        <f>IF(AND(BZ77&lt;&gt;"", CC77&lt;&gt;""), ROUND(100*(1-(CE76+CE77)/2/CF$56), $B$39), "")</f>
        <v>79</v>
      </c>
      <c r="CC77" s="52">
        <v>103</v>
      </c>
      <c r="CD77" s="16">
        <f t="shared" si="95"/>
        <v>2.2474361771765219E-2</v>
      </c>
      <c r="CE77" s="17">
        <f>IF(AND(BZ77&lt;&gt;"", CC77&lt;&gt;""), SUM(CC$59:CC77), "")</f>
        <v>995</v>
      </c>
      <c r="CF77" s="16">
        <f t="shared" si="96"/>
        <v>0.2171066986689941</v>
      </c>
      <c r="CG77" s="14"/>
      <c r="CH77" s="27">
        <v>31</v>
      </c>
      <c r="CI77" s="20" t="e" cm="1">
        <f t="array" aca="1" ref="CI77" ca="1">(CH77-INDIRECT(SUBSTITUTE(ADDRESS(1,COLUMN($C$9),4),"1","")&amp;SUMPRODUCT(($B$10:$D$26=INDIRECT(SUBSTITUTE(ADDRESS(1,COLUMN()-1,4),"1","")&amp;ROW()-21))*ROW($B$10:$D$26))))/INDIRECT(SUBSTITUTE(ADDRESS(1,COLUMN($D$9),4),"1","")&amp;SUMPRODUCT(($B$10:$D$26=INDIRECT(SUBSTITUTE(ADDRESS(1,COLUMN()-1,4),"1","")&amp;ROW()-21))*ROW($B$10:$D$26)))*10+50</f>
        <v>#DIV/0!</v>
      </c>
      <c r="CJ77" s="8"/>
      <c r="CK77" s="49">
        <v>57</v>
      </c>
      <c r="CL77" s="83">
        <f t="shared" si="73"/>
        <v>3</v>
      </c>
      <c r="CM77" s="15">
        <f>IF(AND(CK77&lt;&gt;"", CN77&lt;&gt;""), ROUND(100*(1-(CP76+CP77)/2/CQ$56), $B$39), "")</f>
        <v>79</v>
      </c>
      <c r="CN77" s="52">
        <v>58</v>
      </c>
      <c r="CO77" s="16">
        <f t="shared" si="64"/>
        <v>7.3020269419614755E-3</v>
      </c>
      <c r="CP77" s="17">
        <f>IF(AND(CK77&lt;&gt;"", CN77&lt;&gt;""), SUM(CN$59:CN77), "")</f>
        <v>1726</v>
      </c>
      <c r="CQ77" s="16">
        <f t="shared" si="65"/>
        <v>0.21729825003147427</v>
      </c>
      <c r="CR77" s="14"/>
      <c r="CS77" s="27">
        <v>31</v>
      </c>
      <c r="CT77" s="20" t="e" cm="1">
        <f t="array" aca="1" ref="CT77" ca="1">(CS77-INDIRECT(SUBSTITUTE(ADDRESS(1,COLUMN($C$9),4),"1","")&amp;SUMPRODUCT(($B$10:$D$26=INDIRECT(SUBSTITUTE(ADDRESS(1,COLUMN()-1,4),"1","")&amp;ROW()-21))*ROW($B$10:$D$26))))/INDIRECT(SUBSTITUTE(ADDRESS(1,COLUMN($D$9),4),"1","")&amp;SUMPRODUCT(($B$10:$D$26=INDIRECT(SUBSTITUTE(ADDRESS(1,COLUMN()-1,4),"1","")&amp;ROW()-21))*ROW($B$10:$D$26)))*10+50</f>
        <v>#DIV/0!</v>
      </c>
      <c r="CU77" s="8"/>
      <c r="CV77" s="49">
        <v>63</v>
      </c>
      <c r="CW77" s="83">
        <f t="shared" si="74"/>
        <v>3</v>
      </c>
      <c r="CX77" s="15">
        <f>IF(AND(CV77&lt;&gt;"", CY77&lt;&gt;""), ROUND(100*(1-(DA76+DA77)/2/DB$56), $B$39), "")</f>
        <v>88</v>
      </c>
      <c r="CY77" s="52">
        <v>33</v>
      </c>
      <c r="CZ77" s="16">
        <f t="shared" si="97"/>
        <v>6.3194178475679819E-3</v>
      </c>
      <c r="DA77" s="17">
        <f>IF(AND(CV77&lt;&gt;"", CY77&lt;&gt;""), SUM(CY$59:CY77), "")</f>
        <v>662</v>
      </c>
      <c r="DB77" s="16">
        <f t="shared" si="98"/>
        <v>0.12677135197242437</v>
      </c>
    </row>
    <row r="78" spans="5:106" ht="16" customHeight="1" x14ac:dyDescent="0.2">
      <c r="E78" s="1"/>
      <c r="F78" s="86"/>
      <c r="G78" s="85">
        <v>2</v>
      </c>
      <c r="H78" s="36"/>
      <c r="I78" s="86"/>
      <c r="J78" s="85">
        <v>2</v>
      </c>
      <c r="K78" s="70"/>
      <c r="L78"/>
      <c r="M78"/>
      <c r="N78"/>
      <c r="O78" s="38"/>
      <c r="P78" s="83" t="str">
        <f t="shared" si="81"/>
        <v/>
      </c>
      <c r="Q78" s="164" t="str">
        <f t="shared" si="79"/>
        <v/>
      </c>
      <c r="R78" s="43"/>
      <c r="S78" s="16" t="str">
        <f t="shared" si="83"/>
        <v/>
      </c>
      <c r="T78" s="17" t="str">
        <f>IF(AND(O78&lt;&gt;"", R78&lt;&gt;""), SUM(R$4:R78), "")</f>
        <v/>
      </c>
      <c r="U78" s="16" t="str">
        <f t="shared" si="84"/>
        <v/>
      </c>
      <c r="W78" s="38">
        <v>73</v>
      </c>
      <c r="X78" s="83">
        <f t="shared" si="82"/>
        <v>8</v>
      </c>
      <c r="Y78" s="164">
        <f t="shared" si="80"/>
        <v>6</v>
      </c>
      <c r="Z78" s="43">
        <v>5955</v>
      </c>
      <c r="AA78" s="16">
        <f t="shared" si="85"/>
        <v>1.5364768109398181E-2</v>
      </c>
      <c r="AB78" s="17">
        <f>IF(AND(W78&lt;&gt;"", Z78&lt;&gt;""), SUM(Z$4:Z78), "")</f>
        <v>366219</v>
      </c>
      <c r="AC78" s="16">
        <f t="shared" si="86"/>
        <v>0.94489840675998193</v>
      </c>
      <c r="AD78" s="1"/>
      <c r="AE78" s="19">
        <v>30</v>
      </c>
      <c r="AF78" s="20" t="e" cm="1">
        <f t="array" aca="1" ref="AF78" ca="1">(AE78-INDIRECT(SUBSTITUTE(ADDRESS(1,COLUMN($C$9),4),"1","")&amp;SUMPRODUCT(($B$10:$D$26=INDIRECT(SUBSTITUTE(ADDRESS(1,COLUMN()-1,4),"1","")&amp;ROW()-22))*ROW($B$10:$D$26))))/INDIRECT(SUBSTITUTE(ADDRESS(1,COLUMN($D$9),4),"1","")&amp;SUMPRODUCT(($B$10:$D$26=INDIRECT(SUBSTITUTE(ADDRESS(1,COLUMN()-1,4),"1","")&amp;ROW()-22))*ROW($B$10:$D$26)))*10+50</f>
        <v>#DIV/0!</v>
      </c>
      <c r="AG78" s="8"/>
      <c r="AH78" s="49">
        <v>48</v>
      </c>
      <c r="AI78" s="83">
        <f t="shared" si="68"/>
        <v>4</v>
      </c>
      <c r="AJ78" s="15">
        <f>IF(AND(AH78&lt;&gt;"", AK78&lt;&gt;""), ROUND(100*(1-(AM77+AM78)/2/AN$56), $B$39), "")</f>
        <v>61</v>
      </c>
      <c r="AK78" s="52">
        <v>412</v>
      </c>
      <c r="AL78" s="16">
        <f t="shared" si="87"/>
        <v>2.153685311029796E-2</v>
      </c>
      <c r="AM78" s="17">
        <f>IF(AND(AH78&lt;&gt;"", AK78&lt;&gt;""), SUM(AK$59:AK78), "")</f>
        <v>7623</v>
      </c>
      <c r="AN78" s="16">
        <f t="shared" si="88"/>
        <v>0.39848405645582852</v>
      </c>
      <c r="AO78" s="14"/>
      <c r="AP78" s="19">
        <v>30</v>
      </c>
      <c r="AQ78" s="20" t="e" cm="1">
        <f t="array" aca="1" ref="AQ78" ca="1">(AP78-INDIRECT(SUBSTITUTE(ADDRESS(1,COLUMN($C$9),4),"1","")&amp;SUMPRODUCT(($B$10:$D$26=INDIRECT(SUBSTITUTE(ADDRESS(1,COLUMN()-1,4),"1","")&amp;ROW()-22))*ROW($B$10:$D$26))))/INDIRECT(SUBSTITUTE(ADDRESS(1,COLUMN($D$9),4),"1","")&amp;SUMPRODUCT(($B$10:$D$26=INDIRECT(SUBSTITUTE(ADDRESS(1,COLUMN()-1,4),"1","")&amp;ROW()-22))*ROW($B$10:$D$26)))*10+50</f>
        <v>#DIV/0!</v>
      </c>
      <c r="AR78" s="8"/>
      <c r="AS78" s="49">
        <v>49</v>
      </c>
      <c r="AT78" s="83">
        <f t="shared" si="69"/>
        <v>5</v>
      </c>
      <c r="AU78" s="15">
        <f>IF(AND(AS78&lt;&gt;"", AV78&lt;&gt;""), ROUND(100*(1-(AX77+AX78)/2/AY$56), $B$39), "")</f>
        <v>53</v>
      </c>
      <c r="AV78" s="52">
        <v>767</v>
      </c>
      <c r="AW78" s="16">
        <f t="shared" si="89"/>
        <v>4.0058494803363452E-2</v>
      </c>
      <c r="AX78" s="17">
        <f>IF(AND(AS78&lt;&gt;"", AV78&lt;&gt;""), SUM(AV$59:AV78), "")</f>
        <v>9328</v>
      </c>
      <c r="AY78" s="16">
        <f t="shared" si="90"/>
        <v>0.48717814801274351</v>
      </c>
      <c r="AZ78" s="14"/>
      <c r="BA78" s="19">
        <v>30</v>
      </c>
      <c r="BB78" s="20" t="e" cm="1">
        <f t="array" aca="1" ref="BB78" ca="1">(BA78-INDIRECT(SUBSTITUTE(ADDRESS(1,COLUMN($C$9),4),"1","")&amp;SUMPRODUCT(($B$10:$D$26=INDIRECT(SUBSTITUTE(ADDRESS(1,COLUMN()-1,4),"1","")&amp;ROW()-22))*ROW($B$10:$D$26))))/INDIRECT(SUBSTITUTE(ADDRESS(1,COLUMN($D$9),4),"1","")&amp;SUMPRODUCT(($B$10:$D$26=INDIRECT(SUBSTITUTE(ADDRESS(1,COLUMN()-1,4),"1","")&amp;ROW()-22))*ROW($B$10:$D$26)))*10+50</f>
        <v>#DIV/0!</v>
      </c>
      <c r="BC78" s="8"/>
      <c r="BD78" s="49">
        <v>53</v>
      </c>
      <c r="BE78" s="83">
        <f t="shared" si="70"/>
        <v>4</v>
      </c>
      <c r="BF78" s="15">
        <f>IF(AND(BD78&lt;&gt;"", BG78&lt;&gt;""), ROUND(100*(1-(BI77+BI78)/2/BJ$56), $B$39), "")</f>
        <v>67</v>
      </c>
      <c r="BG78" s="52">
        <v>266</v>
      </c>
      <c r="BH78" s="16">
        <f t="shared" si="91"/>
        <v>1.8029009082282769E-2</v>
      </c>
      <c r="BI78" s="17">
        <f>IF(AND(BD78&lt;&gt;"", BG78&lt;&gt;""), SUM(BG$59:BG78), "")</f>
        <v>5001</v>
      </c>
      <c r="BJ78" s="16">
        <f t="shared" si="92"/>
        <v>0.33895892639284264</v>
      </c>
      <c r="BK78" s="14"/>
      <c r="BL78" s="27">
        <v>30</v>
      </c>
      <c r="BM78" s="20" t="e" cm="1">
        <f t="array" aca="1" ref="BM78" ca="1">(BL78-INDIRECT(SUBSTITUTE(ADDRESS(1,COLUMN($C$9),4),"1","")&amp;SUMPRODUCT(($B$10:$D$26=INDIRECT(SUBSTITUTE(ADDRESS(1,COLUMN()-1,4),"1","")&amp;ROW()-22))*ROW($B$10:$D$26))))/INDIRECT(SUBSTITUTE(ADDRESS(1,COLUMN($D$9),4),"1","")&amp;SUMPRODUCT(($B$10:$D$26=INDIRECT(SUBSTITUTE(ADDRESS(1,COLUMN()-1,4),"1","")&amp;ROW()-22))*ROW($B$10:$D$26)))*10+50</f>
        <v>#DIV/0!</v>
      </c>
      <c r="BN78" s="8"/>
      <c r="BO78" s="49">
        <v>60</v>
      </c>
      <c r="BP78" s="83">
        <f t="shared" si="71"/>
        <v>3</v>
      </c>
      <c r="BQ78" s="15">
        <f>IF(AND(BO78&lt;&gt;"", BR78&lt;&gt;""), ROUND(100*(1-(BT77+BT78)/2/BU$56), $B$39), "")</f>
        <v>83</v>
      </c>
      <c r="BR78" s="52">
        <v>30</v>
      </c>
      <c r="BS78" s="16">
        <f t="shared" si="93"/>
        <v>7.3746312684365781E-3</v>
      </c>
      <c r="BT78" s="17">
        <f>IF(AND(BO78&lt;&gt;"", BR78&lt;&gt;""), SUM(BR$59:BR78), "")</f>
        <v>714</v>
      </c>
      <c r="BU78" s="16">
        <f t="shared" si="94"/>
        <v>0.17551622418879056</v>
      </c>
      <c r="BV78" s="14"/>
      <c r="BW78" s="27">
        <v>30</v>
      </c>
      <c r="BX78" s="20" t="e" cm="1">
        <f t="array" aca="1" ref="BX78" ca="1">(BW78-INDIRECT(SUBSTITUTE(ADDRESS(1,COLUMN($C$9),4),"1","")&amp;SUMPRODUCT(($B$10:$D$26=INDIRECT(SUBSTITUTE(ADDRESS(1,COLUMN()-1,4),"1","")&amp;ROW()-22))*ROW($B$10:$D$26))))/INDIRECT(SUBSTITUTE(ADDRESS(1,COLUMN($D$9),4),"1","")&amp;SUMPRODUCT(($B$10:$D$26=INDIRECT(SUBSTITUTE(ADDRESS(1,COLUMN()-1,4),"1","")&amp;ROW()-22))*ROW($B$10:$D$26)))*10+50</f>
        <v>#DIV/0!</v>
      </c>
      <c r="BY78" s="8"/>
      <c r="BZ78" s="49">
        <v>58</v>
      </c>
      <c r="CA78" s="83">
        <f t="shared" si="72"/>
        <v>3</v>
      </c>
      <c r="CB78" s="15">
        <f>IF(AND(BZ78&lt;&gt;"", CC78&lt;&gt;""), ROUND(100*(1-(CE77+CE78)/2/CF$56), $B$39), "")</f>
        <v>77</v>
      </c>
      <c r="CC78" s="52">
        <v>75</v>
      </c>
      <c r="CD78" s="16">
        <f t="shared" si="95"/>
        <v>1.6364826532838751E-2</v>
      </c>
      <c r="CE78" s="17">
        <f>IF(AND(BZ78&lt;&gt;"", CC78&lt;&gt;""), SUM(CC$59:CC78), "")</f>
        <v>1070</v>
      </c>
      <c r="CF78" s="16">
        <f t="shared" si="96"/>
        <v>0.23347152520183287</v>
      </c>
      <c r="CG78" s="14"/>
      <c r="CH78" s="27">
        <v>30</v>
      </c>
      <c r="CI78" s="20" t="e" cm="1">
        <f t="array" aca="1" ref="CI78" ca="1">(CH78-INDIRECT(SUBSTITUTE(ADDRESS(1,COLUMN($C$9),4),"1","")&amp;SUMPRODUCT(($B$10:$D$26=INDIRECT(SUBSTITUTE(ADDRESS(1,COLUMN()-1,4),"1","")&amp;ROW()-22))*ROW($B$10:$D$26))))/INDIRECT(SUBSTITUTE(ADDRESS(1,COLUMN($D$9),4),"1","")&amp;SUMPRODUCT(($B$10:$D$26=INDIRECT(SUBSTITUTE(ADDRESS(1,COLUMN()-1,4),"1","")&amp;ROW()-22))*ROW($B$10:$D$26)))*10+50</f>
        <v>#DIV/0!</v>
      </c>
      <c r="CJ78" s="8"/>
      <c r="CK78" s="48">
        <v>56</v>
      </c>
      <c r="CL78" s="83">
        <f t="shared" si="73"/>
        <v>3</v>
      </c>
      <c r="CM78" s="15">
        <f>IF(AND(CK78&lt;&gt;"", CN78&lt;&gt;""), ROUND(100*(1-(CP77+CP78)/2/CQ$56), $B$39), "")</f>
        <v>77</v>
      </c>
      <c r="CN78" s="52">
        <v>127</v>
      </c>
      <c r="CO78" s="16">
        <f t="shared" si="64"/>
        <v>1.5988921062570816E-2</v>
      </c>
      <c r="CP78" s="17">
        <f>IF(AND(CK78&lt;&gt;"", CN78&lt;&gt;""), SUM(CN$59:CN78), "")</f>
        <v>1853</v>
      </c>
      <c r="CQ78" s="16">
        <f t="shared" si="65"/>
        <v>0.23328717109404506</v>
      </c>
      <c r="CR78" s="14"/>
      <c r="CS78" s="27">
        <v>30</v>
      </c>
      <c r="CT78" s="20" t="e" cm="1">
        <f t="array" aca="1" ref="CT78" ca="1">(CS78-INDIRECT(SUBSTITUTE(ADDRESS(1,COLUMN($C$9),4),"1","")&amp;SUMPRODUCT(($B$10:$D$26=INDIRECT(SUBSTITUTE(ADDRESS(1,COLUMN()-1,4),"1","")&amp;ROW()-22))*ROW($B$10:$D$26))))/INDIRECT(SUBSTITUTE(ADDRESS(1,COLUMN($D$9),4),"1","")&amp;SUMPRODUCT(($B$10:$D$26=INDIRECT(SUBSTITUTE(ADDRESS(1,COLUMN()-1,4),"1","")&amp;ROW()-22))*ROW($B$10:$D$26)))*10+50</f>
        <v>#DIV/0!</v>
      </c>
      <c r="CU78" s="8"/>
      <c r="CV78" s="49">
        <v>62</v>
      </c>
      <c r="CW78" s="83">
        <f t="shared" si="74"/>
        <v>3</v>
      </c>
      <c r="CX78" s="15">
        <f>IF(AND(CV78&lt;&gt;"", CY78&lt;&gt;""), ROUND(100*(1-(DA77+DA78)/2/DB$56), $B$39), "")</f>
        <v>87</v>
      </c>
      <c r="CY78" s="52">
        <v>50</v>
      </c>
      <c r="CZ78" s="16">
        <f t="shared" si="97"/>
        <v>9.5748755266181537E-3</v>
      </c>
      <c r="DA78" s="17">
        <f>IF(AND(CV78&lt;&gt;"", CY78&lt;&gt;""), SUM(CY$59:CY78), "")</f>
        <v>712</v>
      </c>
      <c r="DB78" s="16">
        <f t="shared" si="98"/>
        <v>0.13634622749904252</v>
      </c>
    </row>
    <row r="79" spans="5:106" ht="16" customHeight="1" x14ac:dyDescent="0.2">
      <c r="E79" s="1"/>
      <c r="F79" s="86"/>
      <c r="G79" s="85">
        <v>3</v>
      </c>
      <c r="H79" s="36"/>
      <c r="I79" s="86"/>
      <c r="J79" s="85">
        <v>3</v>
      </c>
      <c r="K79" s="70"/>
      <c r="L79"/>
      <c r="M79"/>
      <c r="N79"/>
      <c r="O79" s="38"/>
      <c r="P79" s="83" t="str">
        <f t="shared" si="81"/>
        <v/>
      </c>
      <c r="Q79" s="164" t="str">
        <f t="shared" si="79"/>
        <v/>
      </c>
      <c r="R79" s="43"/>
      <c r="S79" s="16" t="str">
        <f t="shared" si="83"/>
        <v/>
      </c>
      <c r="T79" s="17" t="str">
        <f>IF(AND(O79&lt;&gt;"", R79&lt;&gt;""), SUM(R$4:R79), "")</f>
        <v/>
      </c>
      <c r="U79" s="16" t="str">
        <f t="shared" si="84"/>
        <v/>
      </c>
      <c r="W79" s="38">
        <v>72</v>
      </c>
      <c r="X79" s="83">
        <f t="shared" si="82"/>
        <v>8</v>
      </c>
      <c r="Y79" s="164">
        <f t="shared" si="80"/>
        <v>5</v>
      </c>
      <c r="Z79" s="43">
        <v>6179</v>
      </c>
      <c r="AA79" s="16">
        <f t="shared" si="85"/>
        <v>1.5942720763723151E-2</v>
      </c>
      <c r="AB79" s="17">
        <f>IF(AND(W79&lt;&gt;"", Z79&lt;&gt;""), SUM(Z$4:Z79), "")</f>
        <v>372398</v>
      </c>
      <c r="AC79" s="16">
        <f t="shared" si="86"/>
        <v>0.9608411275237051</v>
      </c>
      <c r="AD79" s="1"/>
      <c r="AE79" s="19">
        <v>29</v>
      </c>
      <c r="AF79" s="20" t="e" cm="1">
        <f t="array" aca="1" ref="AF79" ca="1">(AE79-INDIRECT(SUBSTITUTE(ADDRESS(1,COLUMN($C$9),4),"1","")&amp;SUMPRODUCT(($B$10:$D$26=INDIRECT(SUBSTITUTE(ADDRESS(1,COLUMN()-1,4),"1","")&amp;ROW()-23))*ROW($B$10:$D$26))))/INDIRECT(SUBSTITUTE(ADDRESS(1,COLUMN($D$9),4),"1","")&amp;SUMPRODUCT(($B$10:$D$26=INDIRECT(SUBSTITUTE(ADDRESS(1,COLUMN()-1,4),"1","")&amp;ROW()-23))*ROW($B$10:$D$26)))*10+50</f>
        <v>#DIV/0!</v>
      </c>
      <c r="AG79" s="8"/>
      <c r="AH79" s="49">
        <v>47</v>
      </c>
      <c r="AI79" s="83">
        <f t="shared" si="68"/>
        <v>4</v>
      </c>
      <c r="AJ79" s="15">
        <f>IF(AND(AH79&lt;&gt;"", AK79&lt;&gt;""), ROUND(100*(1-(AM78+AM79)/2/AN$56), $B$39), "")</f>
        <v>59</v>
      </c>
      <c r="AK79" s="52">
        <v>464</v>
      </c>
      <c r="AL79" s="16">
        <f t="shared" si="87"/>
        <v>2.4255096706743334E-2</v>
      </c>
      <c r="AM79" s="17">
        <f>IF(AND(AH79&lt;&gt;"", AK79&lt;&gt;""), SUM(AK$59:AK79), "")</f>
        <v>8087</v>
      </c>
      <c r="AN79" s="16">
        <f t="shared" si="88"/>
        <v>0.42273915316257188</v>
      </c>
      <c r="AO79" s="14"/>
      <c r="AP79" s="19">
        <v>29</v>
      </c>
      <c r="AQ79" s="20" t="e" cm="1">
        <f t="array" aca="1" ref="AQ79" ca="1">(AP79-INDIRECT(SUBSTITUTE(ADDRESS(1,COLUMN($C$9),4),"1","")&amp;SUMPRODUCT(($B$10:$D$26=INDIRECT(SUBSTITUTE(ADDRESS(1,COLUMN()-1,4),"1","")&amp;ROW()-23))*ROW($B$10:$D$26))))/INDIRECT(SUBSTITUTE(ADDRESS(1,COLUMN($D$9),4),"1","")&amp;SUMPRODUCT(($B$10:$D$26=INDIRECT(SUBSTITUTE(ADDRESS(1,COLUMN()-1,4),"1","")&amp;ROW()-23))*ROW($B$10:$D$26)))*10+50</f>
        <v>#DIV/0!</v>
      </c>
      <c r="AR79" s="8"/>
      <c r="AS79" s="49">
        <v>48</v>
      </c>
      <c r="AT79" s="83">
        <f t="shared" si="69"/>
        <v>5</v>
      </c>
      <c r="AU79" s="15">
        <f>IF(AND(AS79&lt;&gt;"", AV79&lt;&gt;""), ROUND(100*(1-(AX78+AX79)/2/AY$56), $B$39), "")</f>
        <v>50</v>
      </c>
      <c r="AV79" s="52">
        <v>451</v>
      </c>
      <c r="AW79" s="16">
        <f t="shared" si="89"/>
        <v>2.3554603854389723E-2</v>
      </c>
      <c r="AX79" s="17">
        <f>IF(AND(AS79&lt;&gt;"", AV79&lt;&gt;""), SUM(AV$59:AV79), "")</f>
        <v>9779</v>
      </c>
      <c r="AY79" s="16">
        <f t="shared" si="90"/>
        <v>0.51073275186713318</v>
      </c>
      <c r="AZ79" s="14"/>
      <c r="BA79" s="19">
        <v>29</v>
      </c>
      <c r="BB79" s="20" t="e" cm="1">
        <f t="array" aca="1" ref="BB79" ca="1">(BA79-INDIRECT(SUBSTITUTE(ADDRESS(1,COLUMN($C$9),4),"1","")&amp;SUMPRODUCT(($B$10:$D$26=INDIRECT(SUBSTITUTE(ADDRESS(1,COLUMN()-1,4),"1","")&amp;ROW()-23))*ROW($B$10:$D$26))))/INDIRECT(SUBSTITUTE(ADDRESS(1,COLUMN($D$9),4),"1","")&amp;SUMPRODUCT(($B$10:$D$26=INDIRECT(SUBSTITUTE(ADDRESS(1,COLUMN()-1,4),"1","")&amp;ROW()-23))*ROW($B$10:$D$26)))*10+50</f>
        <v>#DIV/0!</v>
      </c>
      <c r="BC79" s="8"/>
      <c r="BD79" s="49">
        <v>52</v>
      </c>
      <c r="BE79" s="83">
        <f t="shared" si="70"/>
        <v>4</v>
      </c>
      <c r="BF79" s="15">
        <f>IF(AND(BD79&lt;&gt;"", BG79&lt;&gt;""), ROUND(100*(1-(BI78+BI79)/2/BJ$56), $B$39), "")</f>
        <v>65</v>
      </c>
      <c r="BG79" s="52">
        <v>240</v>
      </c>
      <c r="BH79" s="16">
        <f t="shared" si="91"/>
        <v>1.6266775111834077E-2</v>
      </c>
      <c r="BI79" s="17">
        <f>IF(AND(BD79&lt;&gt;"", BG79&lt;&gt;""), SUM(BG$59:BG79), "")</f>
        <v>5241</v>
      </c>
      <c r="BJ79" s="16">
        <f t="shared" si="92"/>
        <v>0.35522570150467669</v>
      </c>
      <c r="BK79" s="14"/>
      <c r="BL79" s="27">
        <v>29</v>
      </c>
      <c r="BM79" s="20" t="e" cm="1">
        <f t="array" aca="1" ref="BM79" ca="1">(BL79-INDIRECT(SUBSTITUTE(ADDRESS(1,COLUMN($C$9),4),"1","")&amp;SUMPRODUCT(($B$10:$D$26=INDIRECT(SUBSTITUTE(ADDRESS(1,COLUMN()-1,4),"1","")&amp;ROW()-23))*ROW($B$10:$D$26))))/INDIRECT(SUBSTITUTE(ADDRESS(1,COLUMN($D$9),4),"1","")&amp;SUMPRODUCT(($B$10:$D$26=INDIRECT(SUBSTITUTE(ADDRESS(1,COLUMN()-1,4),"1","")&amp;ROW()-23))*ROW($B$10:$D$26)))*10+50</f>
        <v>#DIV/0!</v>
      </c>
      <c r="BN79" s="8"/>
      <c r="BO79" s="49">
        <v>59</v>
      </c>
      <c r="BP79" s="83">
        <f t="shared" si="71"/>
        <v>3</v>
      </c>
      <c r="BQ79" s="15">
        <f>IF(AND(BO79&lt;&gt;"", BR79&lt;&gt;""), ROUND(100*(1-(BT78+BT79)/2/BU$56), $B$39), "")</f>
        <v>82</v>
      </c>
      <c r="BR79" s="52">
        <v>34</v>
      </c>
      <c r="BS79" s="16">
        <f t="shared" si="93"/>
        <v>8.3579154375614546E-3</v>
      </c>
      <c r="BT79" s="17">
        <f>IF(AND(BO79&lt;&gt;"", BR79&lt;&gt;""), SUM(BR$59:BR79), "")</f>
        <v>748</v>
      </c>
      <c r="BU79" s="16">
        <f t="shared" si="94"/>
        <v>0.18387413962635202</v>
      </c>
      <c r="BV79" s="14"/>
      <c r="BW79" s="27">
        <v>29</v>
      </c>
      <c r="BX79" s="20" t="e" cm="1">
        <f t="array" aca="1" ref="BX79" ca="1">(BW79-INDIRECT(SUBSTITUTE(ADDRESS(1,COLUMN($C$9),4),"1","")&amp;SUMPRODUCT(($B$10:$D$26=INDIRECT(SUBSTITUTE(ADDRESS(1,COLUMN()-1,4),"1","")&amp;ROW()-23))*ROW($B$10:$D$26))))/INDIRECT(SUBSTITUTE(ADDRESS(1,COLUMN($D$9),4),"1","")&amp;SUMPRODUCT(($B$10:$D$26=INDIRECT(SUBSTITUTE(ADDRESS(1,COLUMN()-1,4),"1","")&amp;ROW()-23))*ROW($B$10:$D$26)))*10+50</f>
        <v>#DIV/0!</v>
      </c>
      <c r="BY79" s="8"/>
      <c r="BZ79" s="49">
        <v>57</v>
      </c>
      <c r="CA79" s="83">
        <f t="shared" si="72"/>
        <v>4</v>
      </c>
      <c r="CB79" s="15">
        <f>IF(AND(BZ79&lt;&gt;"", CC79&lt;&gt;""), ROUND(100*(1-(CE78+CE79)/2/CF$56), $B$39), "")</f>
        <v>76</v>
      </c>
      <c r="CC79" s="52">
        <v>48</v>
      </c>
      <c r="CD79" s="16">
        <f t="shared" si="95"/>
        <v>1.0473488981016802E-2</v>
      </c>
      <c r="CE79" s="17">
        <f>IF(AND(BZ79&lt;&gt;"", CC79&lt;&gt;""), SUM(CC$59:CC79), "")</f>
        <v>1118</v>
      </c>
      <c r="CF79" s="16">
        <f t="shared" si="96"/>
        <v>0.24394501418284967</v>
      </c>
      <c r="CG79" s="14"/>
      <c r="CH79" s="27">
        <v>29</v>
      </c>
      <c r="CI79" s="20" t="e" cm="1">
        <f t="array" aca="1" ref="CI79" ca="1">(CH79-INDIRECT(SUBSTITUTE(ADDRESS(1,COLUMN($C$9),4),"1","")&amp;SUMPRODUCT(($B$10:$D$26=INDIRECT(SUBSTITUTE(ADDRESS(1,COLUMN()-1,4),"1","")&amp;ROW()-23))*ROW($B$10:$D$26))))/INDIRECT(SUBSTITUTE(ADDRESS(1,COLUMN($D$9),4),"1","")&amp;SUMPRODUCT(($B$10:$D$26=INDIRECT(SUBSTITUTE(ADDRESS(1,COLUMN()-1,4),"1","")&amp;ROW()-23))*ROW($B$10:$D$26)))*10+50</f>
        <v>#DIV/0!</v>
      </c>
      <c r="CJ79" s="8"/>
      <c r="CK79" s="49">
        <v>55</v>
      </c>
      <c r="CL79" s="83">
        <f t="shared" si="73"/>
        <v>4</v>
      </c>
      <c r="CM79" s="15">
        <f>IF(AND(CK79&lt;&gt;"", CN79&lt;&gt;""), ROUND(100*(1-(CP78+CP79)/2/CQ$56), $B$39), "")</f>
        <v>76</v>
      </c>
      <c r="CN79" s="52">
        <v>71</v>
      </c>
      <c r="CO79" s="16">
        <f t="shared" si="64"/>
        <v>8.9386881530907712E-3</v>
      </c>
      <c r="CP79" s="17">
        <f>IF(AND(CK79&lt;&gt;"", CN79&lt;&gt;""), SUM(CN$59:CN79), "")</f>
        <v>1924</v>
      </c>
      <c r="CQ79" s="16">
        <f t="shared" si="65"/>
        <v>0.24222585924713586</v>
      </c>
      <c r="CR79" s="14"/>
      <c r="CS79" s="27">
        <v>29</v>
      </c>
      <c r="CT79" s="20" t="e" cm="1">
        <f t="array" aca="1" ref="CT79" ca="1">(CS79-INDIRECT(SUBSTITUTE(ADDRESS(1,COLUMN($C$9),4),"1","")&amp;SUMPRODUCT(($B$10:$D$26=INDIRECT(SUBSTITUTE(ADDRESS(1,COLUMN()-1,4),"1","")&amp;ROW()-23))*ROW($B$10:$D$26))))/INDIRECT(SUBSTITUTE(ADDRESS(1,COLUMN($D$9),4),"1","")&amp;SUMPRODUCT(($B$10:$D$26=INDIRECT(SUBSTITUTE(ADDRESS(1,COLUMN()-1,4),"1","")&amp;ROW()-23))*ROW($B$10:$D$26)))*10+50</f>
        <v>#DIV/0!</v>
      </c>
      <c r="CU79" s="8"/>
      <c r="CV79" s="49">
        <v>61</v>
      </c>
      <c r="CW79" s="83">
        <f t="shared" si="74"/>
        <v>3</v>
      </c>
      <c r="CX79" s="15">
        <f>IF(AND(CV79&lt;&gt;"", CY79&lt;&gt;""), ROUND(100*(1-(DA78+DA79)/2/DB$56), $B$39), "")</f>
        <v>86</v>
      </c>
      <c r="CY79" s="52">
        <v>57</v>
      </c>
      <c r="CZ79" s="16">
        <f t="shared" si="97"/>
        <v>1.0915358100344696E-2</v>
      </c>
      <c r="DA79" s="17">
        <f>IF(AND(CV79&lt;&gt;"", CY79&lt;&gt;""), SUM(CY$59:CY79), "")</f>
        <v>769</v>
      </c>
      <c r="DB79" s="16">
        <f t="shared" si="98"/>
        <v>0.14726158559938721</v>
      </c>
    </row>
    <row r="80" spans="5:106" ht="16" customHeight="1" x14ac:dyDescent="0.2">
      <c r="E80" s="1"/>
      <c r="F80" s="86"/>
      <c r="G80" s="85">
        <v>4</v>
      </c>
      <c r="H80" s="36"/>
      <c r="I80" s="86"/>
      <c r="J80" s="85">
        <v>4</v>
      </c>
      <c r="K80" s="70"/>
      <c r="L80"/>
      <c r="M80"/>
      <c r="N80"/>
      <c r="O80" s="38"/>
      <c r="P80" s="83" t="str">
        <f t="shared" si="81"/>
        <v/>
      </c>
      <c r="Q80" s="164" t="str">
        <f t="shared" si="79"/>
        <v/>
      </c>
      <c r="R80" s="43"/>
      <c r="S80" s="16" t="str">
        <f t="shared" si="83"/>
        <v/>
      </c>
      <c r="T80" s="17" t="str">
        <f>IF(AND(O80&lt;&gt;"", R80&lt;&gt;""), SUM(R$4:R80), "")</f>
        <v/>
      </c>
      <c r="U80" s="16" t="str">
        <f t="shared" si="84"/>
        <v/>
      </c>
      <c r="W80" s="38">
        <v>71</v>
      </c>
      <c r="X80" s="83">
        <f t="shared" si="82"/>
        <v>9</v>
      </c>
      <c r="Y80" s="164">
        <f t="shared" si="80"/>
        <v>3</v>
      </c>
      <c r="Z80" s="43">
        <v>3954</v>
      </c>
      <c r="AA80" s="16">
        <f t="shared" si="85"/>
        <v>1.0201896407147004E-2</v>
      </c>
      <c r="AB80" s="17">
        <f>IF(AND(W80&lt;&gt;"", Z80&lt;&gt;""), SUM(Z$4:Z80), "")</f>
        <v>376352</v>
      </c>
      <c r="AC80" s="16">
        <f t="shared" si="86"/>
        <v>0.97104302393085207</v>
      </c>
      <c r="AD80" s="1"/>
      <c r="AE80" s="19">
        <v>28</v>
      </c>
      <c r="AF80" s="20" t="e" cm="1">
        <f t="array" aca="1" ref="AF80" ca="1">(AE80-INDIRECT(SUBSTITUTE(ADDRESS(1,COLUMN($C$9),4),"1","")&amp;SUMPRODUCT(($B$10:$D$26=INDIRECT(SUBSTITUTE(ADDRESS(1,COLUMN()-1,4),"1","")&amp;ROW()-24))*ROW($B$10:$D$26))))/INDIRECT(SUBSTITUTE(ADDRESS(1,COLUMN($D$9),4),"1","")&amp;SUMPRODUCT(($B$10:$D$26=INDIRECT(SUBSTITUTE(ADDRESS(1,COLUMN()-1,4),"1","")&amp;ROW()-24))*ROW($B$10:$D$26)))*10+50</f>
        <v>#DIV/0!</v>
      </c>
      <c r="AG80" s="8"/>
      <c r="AH80" s="49">
        <v>46</v>
      </c>
      <c r="AI80" s="83">
        <f t="shared" si="68"/>
        <v>5</v>
      </c>
      <c r="AJ80" s="15">
        <f>IF(AND(AH80&lt;&gt;"", AK80&lt;&gt;""), ROUND(100*(1-(AM79+AM80)/2/AN$56), $B$39), "")</f>
        <v>55</v>
      </c>
      <c r="AK80" s="52">
        <v>917</v>
      </c>
      <c r="AL80" s="16">
        <f t="shared" si="87"/>
        <v>4.7935180345007843E-2</v>
      </c>
      <c r="AM80" s="17">
        <f>IF(AND(AH80&lt;&gt;"", AK80&lt;&gt;""), SUM(AK$59:AK80), "")</f>
        <v>9004</v>
      </c>
      <c r="AN80" s="16">
        <f t="shared" si="88"/>
        <v>0.4706743335075797</v>
      </c>
      <c r="AO80" s="14"/>
      <c r="AP80" s="19">
        <v>28</v>
      </c>
      <c r="AQ80" s="20" t="e" cm="1">
        <f t="array" aca="1" ref="AQ80" ca="1">(AP80-INDIRECT(SUBSTITUTE(ADDRESS(1,COLUMN($C$9),4),"1","")&amp;SUMPRODUCT(($B$10:$D$26=INDIRECT(SUBSTITUTE(ADDRESS(1,COLUMN()-1,4),"1","")&amp;ROW()-24))*ROW($B$10:$D$26))))/INDIRECT(SUBSTITUTE(ADDRESS(1,COLUMN($D$9),4),"1","")&amp;SUMPRODUCT(($B$10:$D$26=INDIRECT(SUBSTITUTE(ADDRESS(1,COLUMN()-1,4),"1","")&amp;ROW()-24))*ROW($B$10:$D$26)))*10+50</f>
        <v>#DIV/0!</v>
      </c>
      <c r="AR80" s="8"/>
      <c r="AS80" s="49">
        <v>47</v>
      </c>
      <c r="AT80" s="83">
        <f t="shared" si="69"/>
        <v>5</v>
      </c>
      <c r="AU80" s="15">
        <f>IF(AND(AS80&lt;&gt;"", AV80&lt;&gt;""), ROUND(100*(1-(AX79+AX80)/2/AY$56), $B$39), "")</f>
        <v>48</v>
      </c>
      <c r="AV80" s="52">
        <v>406</v>
      </c>
      <c r="AW80" s="16">
        <f t="shared" si="89"/>
        <v>2.1204366219251057E-2</v>
      </c>
      <c r="AX80" s="17">
        <f>IF(AND(AS80&lt;&gt;"", AV80&lt;&gt;""), SUM(AV$59:AV80), "")</f>
        <v>10185</v>
      </c>
      <c r="AY80" s="16">
        <f t="shared" si="90"/>
        <v>0.53193711808638433</v>
      </c>
      <c r="AZ80" s="14"/>
      <c r="BA80" s="19">
        <v>28</v>
      </c>
      <c r="BB80" s="20" t="e" cm="1">
        <f t="array" aca="1" ref="BB80" ca="1">(BA80-INDIRECT(SUBSTITUTE(ADDRESS(1,COLUMN($C$9),4),"1","")&amp;SUMPRODUCT(($B$10:$D$26=INDIRECT(SUBSTITUTE(ADDRESS(1,COLUMN()-1,4),"1","")&amp;ROW()-24))*ROW($B$10:$D$26))))/INDIRECT(SUBSTITUTE(ADDRESS(1,COLUMN($D$9),4),"1","")&amp;SUMPRODUCT(($B$10:$D$26=INDIRECT(SUBSTITUTE(ADDRESS(1,COLUMN()-1,4),"1","")&amp;ROW()-24))*ROW($B$10:$D$26)))*10+50</f>
        <v>#DIV/0!</v>
      </c>
      <c r="BC80" s="8"/>
      <c r="BD80" s="49">
        <v>51</v>
      </c>
      <c r="BE80" s="83">
        <f t="shared" si="70"/>
        <v>4</v>
      </c>
      <c r="BF80" s="15">
        <f>IF(AND(BD80&lt;&gt;"", BG80&lt;&gt;""), ROUND(100*(1-(BI79+BI80)/2/BJ$56), $B$39), "")</f>
        <v>64</v>
      </c>
      <c r="BG80" s="52">
        <v>283</v>
      </c>
      <c r="BH80" s="16">
        <f t="shared" si="91"/>
        <v>1.9181238986037685E-2</v>
      </c>
      <c r="BI80" s="17">
        <f>IF(AND(BD80&lt;&gt;"", BG80&lt;&gt;""), SUM(BG$59:BG80), "")</f>
        <v>5524</v>
      </c>
      <c r="BJ80" s="16">
        <f t="shared" si="92"/>
        <v>0.37440694049071438</v>
      </c>
      <c r="BK80" s="14"/>
      <c r="BL80" s="27">
        <v>28</v>
      </c>
      <c r="BM80" s="20" t="e" cm="1">
        <f t="array" aca="1" ref="BM80" ca="1">(BL80-INDIRECT(SUBSTITUTE(ADDRESS(1,COLUMN($C$9),4),"1","")&amp;SUMPRODUCT(($B$10:$D$26=INDIRECT(SUBSTITUTE(ADDRESS(1,COLUMN()-1,4),"1","")&amp;ROW()-24))*ROW($B$10:$D$26))))/INDIRECT(SUBSTITUTE(ADDRESS(1,COLUMN($D$9),4),"1","")&amp;SUMPRODUCT(($B$10:$D$26=INDIRECT(SUBSTITUTE(ADDRESS(1,COLUMN()-1,4),"1","")&amp;ROW()-24))*ROW($B$10:$D$26)))*10+50</f>
        <v>#DIV/0!</v>
      </c>
      <c r="BN80" s="8"/>
      <c r="BO80" s="49">
        <v>58</v>
      </c>
      <c r="BP80" s="83">
        <f t="shared" si="71"/>
        <v>3</v>
      </c>
      <c r="BQ80" s="15">
        <f>IF(AND(BO80&lt;&gt;"", BR80&lt;&gt;""), ROUND(100*(1-(BT79+BT80)/2/BU$56), $B$39), "")</f>
        <v>81</v>
      </c>
      <c r="BR80" s="52">
        <v>33</v>
      </c>
      <c r="BS80" s="16">
        <f t="shared" si="93"/>
        <v>8.1120943952802359E-3</v>
      </c>
      <c r="BT80" s="17">
        <f>IF(AND(BO80&lt;&gt;"", BR80&lt;&gt;""), SUM(BR$59:BR80), "")</f>
        <v>781</v>
      </c>
      <c r="BU80" s="16">
        <f t="shared" si="94"/>
        <v>0.19198623402163226</v>
      </c>
      <c r="BV80" s="14"/>
      <c r="BW80" s="27">
        <v>28</v>
      </c>
      <c r="BX80" s="20" t="e" cm="1">
        <f t="array" aca="1" ref="BX80" ca="1">(BW80-INDIRECT(SUBSTITUTE(ADDRESS(1,COLUMN($C$9),4),"1","")&amp;SUMPRODUCT(($B$10:$D$26=INDIRECT(SUBSTITUTE(ADDRESS(1,COLUMN()-1,4),"1","")&amp;ROW()-24))*ROW($B$10:$D$26))))/INDIRECT(SUBSTITUTE(ADDRESS(1,COLUMN($D$9),4),"1","")&amp;SUMPRODUCT(($B$10:$D$26=INDIRECT(SUBSTITUTE(ADDRESS(1,COLUMN()-1,4),"1","")&amp;ROW()-24))*ROW($B$10:$D$26)))*10+50</f>
        <v>#DIV/0!</v>
      </c>
      <c r="BY80" s="8"/>
      <c r="BZ80" s="49">
        <v>56</v>
      </c>
      <c r="CA80" s="83">
        <f t="shared" si="72"/>
        <v>4</v>
      </c>
      <c r="CB80" s="15">
        <f>IF(AND(BZ80&lt;&gt;"", CC80&lt;&gt;""), ROUND(100*(1-(CE79+CE80)/2/CF$56), $B$39), "")</f>
        <v>75</v>
      </c>
      <c r="CC80" s="52">
        <v>75</v>
      </c>
      <c r="CD80" s="16">
        <f t="shared" si="95"/>
        <v>1.6364826532838751E-2</v>
      </c>
      <c r="CE80" s="17">
        <f>IF(AND(BZ80&lt;&gt;"", CC80&lt;&gt;""), SUM(CC$59:CC80), "")</f>
        <v>1193</v>
      </c>
      <c r="CF80" s="16">
        <f t="shared" si="96"/>
        <v>0.26030984071568841</v>
      </c>
      <c r="CG80" s="14"/>
      <c r="CH80" s="27">
        <v>28</v>
      </c>
      <c r="CI80" s="20" t="e" cm="1">
        <f t="array" aca="1" ref="CI80" ca="1">(CH80-INDIRECT(SUBSTITUTE(ADDRESS(1,COLUMN($C$9),4),"1","")&amp;SUMPRODUCT(($B$10:$D$26=INDIRECT(SUBSTITUTE(ADDRESS(1,COLUMN()-1,4),"1","")&amp;ROW()-24))*ROW($B$10:$D$26))))/INDIRECT(SUBSTITUTE(ADDRESS(1,COLUMN($D$9),4),"1","")&amp;SUMPRODUCT(($B$10:$D$26=INDIRECT(SUBSTITUTE(ADDRESS(1,COLUMN()-1,4),"1","")&amp;ROW()-24))*ROW($B$10:$D$26)))*10+50</f>
        <v>#DIV/0!</v>
      </c>
      <c r="CJ80" s="8"/>
      <c r="CK80" s="49">
        <v>54</v>
      </c>
      <c r="CL80" s="83">
        <f t="shared" si="73"/>
        <v>4</v>
      </c>
      <c r="CM80" s="15">
        <f>IF(AND(CK80&lt;&gt;"", CN80&lt;&gt;""), ROUND(100*(1-(CP79+CP80)/2/CQ$56), $B$39), "")</f>
        <v>75</v>
      </c>
      <c r="CN80" s="52">
        <v>84</v>
      </c>
      <c r="CO80" s="16">
        <f t="shared" si="64"/>
        <v>1.0575349364220069E-2</v>
      </c>
      <c r="CP80" s="17">
        <f>IF(AND(CK80&lt;&gt;"", CN80&lt;&gt;""), SUM(CN$59:CN80), "")</f>
        <v>2008</v>
      </c>
      <c r="CQ80" s="16">
        <f t="shared" si="65"/>
        <v>0.25280120861135591</v>
      </c>
      <c r="CR80" s="14"/>
      <c r="CS80" s="27">
        <v>28</v>
      </c>
      <c r="CT80" s="20" t="e" cm="1">
        <f t="array" aca="1" ref="CT80" ca="1">(CS80-INDIRECT(SUBSTITUTE(ADDRESS(1,COLUMN($C$9),4),"1","")&amp;SUMPRODUCT(($B$10:$D$26=INDIRECT(SUBSTITUTE(ADDRESS(1,COLUMN()-1,4),"1","")&amp;ROW()-24))*ROW($B$10:$D$26))))/INDIRECT(SUBSTITUTE(ADDRESS(1,COLUMN($D$9),4),"1","")&amp;SUMPRODUCT(($B$10:$D$26=INDIRECT(SUBSTITUTE(ADDRESS(1,COLUMN()-1,4),"1","")&amp;ROW()-24))*ROW($B$10:$D$26)))*10+50</f>
        <v>#DIV/0!</v>
      </c>
      <c r="CU80" s="8"/>
      <c r="CV80" s="49">
        <v>60</v>
      </c>
      <c r="CW80" s="83">
        <f t="shared" si="74"/>
        <v>3</v>
      </c>
      <c r="CX80" s="15">
        <f>IF(AND(CV80&lt;&gt;"", CY80&lt;&gt;""), ROUND(100*(1-(DA79+DA80)/2/DB$56), $B$39), "")</f>
        <v>85</v>
      </c>
      <c r="CY80" s="52">
        <v>51</v>
      </c>
      <c r="CZ80" s="16">
        <f t="shared" si="97"/>
        <v>9.7663730371505171E-3</v>
      </c>
      <c r="DA80" s="17">
        <f>IF(AND(CV80&lt;&gt;"", CY80&lt;&gt;""), SUM(CY$59:CY80), "")</f>
        <v>820</v>
      </c>
      <c r="DB80" s="16">
        <f t="shared" si="98"/>
        <v>0.15702795863653773</v>
      </c>
    </row>
    <row r="81" spans="5:106" ht="16" customHeight="1" x14ac:dyDescent="0.2">
      <c r="E81" s="1"/>
      <c r="F81" s="86"/>
      <c r="G81" s="85">
        <v>5</v>
      </c>
      <c r="H81" s="36"/>
      <c r="I81" s="86"/>
      <c r="J81" s="85">
        <v>5</v>
      </c>
      <c r="K81" s="70"/>
      <c r="L81"/>
      <c r="M81"/>
      <c r="N81"/>
      <c r="O81" s="38"/>
      <c r="P81" s="83" t="str">
        <f t="shared" si="81"/>
        <v/>
      </c>
      <c r="Q81" s="164" t="str">
        <f t="shared" si="79"/>
        <v/>
      </c>
      <c r="R81" s="43"/>
      <c r="S81" s="16" t="str">
        <f t="shared" si="83"/>
        <v/>
      </c>
      <c r="T81" s="17" t="str">
        <f>IF(AND(O81&lt;&gt;"", R81&lt;&gt;""), SUM(R$4:R81), "")</f>
        <v/>
      </c>
      <c r="U81" s="16" t="str">
        <f t="shared" si="84"/>
        <v/>
      </c>
      <c r="W81" s="38">
        <v>70</v>
      </c>
      <c r="X81" s="83">
        <f t="shared" si="82"/>
        <v>9</v>
      </c>
      <c r="Y81" s="164">
        <f t="shared" si="80"/>
        <v>2</v>
      </c>
      <c r="Z81" s="43">
        <v>3366</v>
      </c>
      <c r="AA81" s="16">
        <f t="shared" si="85"/>
        <v>8.6847706895439598E-3</v>
      </c>
      <c r="AB81" s="17">
        <f>IF(AND(W81&lt;&gt;"", Z81&lt;&gt;""), SUM(Z$4:Z81), "")</f>
        <v>379718</v>
      </c>
      <c r="AC81" s="16">
        <f t="shared" si="86"/>
        <v>0.97972779462039605</v>
      </c>
      <c r="AD81" s="1"/>
      <c r="AE81" s="19">
        <v>27</v>
      </c>
      <c r="AF81" s="20" t="e" cm="1">
        <f t="array" aca="1" ref="AF81" ca="1">(AE81-INDIRECT(SUBSTITUTE(ADDRESS(1,COLUMN($C$9),4),"1","")&amp;SUMPRODUCT(($B$10:$D$26=INDIRECT(SUBSTITUTE(ADDRESS(1,COLUMN()-1,4),"1","")&amp;ROW()-25))*ROW($B$10:$D$26))))/INDIRECT(SUBSTITUTE(ADDRESS(1,COLUMN($D$9),4),"1","")&amp;SUMPRODUCT(($B$10:$D$26=INDIRECT(SUBSTITUTE(ADDRESS(1,COLUMN()-1,4),"1","")&amp;ROW()-25))*ROW($B$10:$D$26)))*10+50</f>
        <v>#DIV/0!</v>
      </c>
      <c r="AG81" s="8"/>
      <c r="AH81" s="49">
        <v>45</v>
      </c>
      <c r="AI81" s="83">
        <f t="shared" si="68"/>
        <v>5</v>
      </c>
      <c r="AJ81" s="15">
        <f>IF(AND(AH81&lt;&gt;"", AK81&lt;&gt;""), ROUND(100*(1-(AM80+AM81)/2/AN$56), $B$39), "")</f>
        <v>52</v>
      </c>
      <c r="AK81" s="52">
        <v>484</v>
      </c>
      <c r="AL81" s="16">
        <f t="shared" si="87"/>
        <v>2.5300575013068479E-2</v>
      </c>
      <c r="AM81" s="17">
        <f>IF(AND(AH81&lt;&gt;"", AK81&lt;&gt;""), SUM(AK$59:AK81), "")</f>
        <v>9488</v>
      </c>
      <c r="AN81" s="16">
        <f t="shared" si="88"/>
        <v>0.49597490852064818</v>
      </c>
      <c r="AO81" s="14"/>
      <c r="AP81" s="19">
        <v>27</v>
      </c>
      <c r="AQ81" s="20" t="e" cm="1">
        <f t="array" aca="1" ref="AQ81" ca="1">(AP81-INDIRECT(SUBSTITUTE(ADDRESS(1,COLUMN($C$9),4),"1","")&amp;SUMPRODUCT(($B$10:$D$26=INDIRECT(SUBSTITUTE(ADDRESS(1,COLUMN()-1,4),"1","")&amp;ROW()-25))*ROW($B$10:$D$26))))/INDIRECT(SUBSTITUTE(ADDRESS(1,COLUMN($D$9),4),"1","")&amp;SUMPRODUCT(($B$10:$D$26=INDIRECT(SUBSTITUTE(ADDRESS(1,COLUMN()-1,4),"1","")&amp;ROW()-25))*ROW($B$10:$D$26)))*10+50</f>
        <v>#DIV/0!</v>
      </c>
      <c r="AR81" s="8"/>
      <c r="AS81" s="49">
        <v>46</v>
      </c>
      <c r="AT81" s="83">
        <f t="shared" si="69"/>
        <v>5</v>
      </c>
      <c r="AU81" s="15">
        <f>IF(AND(AS81&lt;&gt;"", AV81&lt;&gt;""), ROUND(100*(1-(AX80+AX81)/2/AY$56), $B$39), "")</f>
        <v>44</v>
      </c>
      <c r="AV81" s="52">
        <v>919</v>
      </c>
      <c r="AW81" s="16">
        <f t="shared" si="89"/>
        <v>4.799707525983183E-2</v>
      </c>
      <c r="AX81" s="17">
        <f>IF(AND(AS81&lt;&gt;"", AV81&lt;&gt;""), SUM(AV$59:AV81), "")</f>
        <v>11104</v>
      </c>
      <c r="AY81" s="16">
        <f t="shared" si="90"/>
        <v>0.5799341933462161</v>
      </c>
      <c r="AZ81" s="14"/>
      <c r="BA81" s="19">
        <v>27</v>
      </c>
      <c r="BB81" s="20" t="e" cm="1">
        <f t="array" aca="1" ref="BB81" ca="1">(BA81-INDIRECT(SUBSTITUTE(ADDRESS(1,COLUMN($C$9),4),"1","")&amp;SUMPRODUCT(($B$10:$D$26=INDIRECT(SUBSTITUTE(ADDRESS(1,COLUMN()-1,4),"1","")&amp;ROW()-25))*ROW($B$10:$D$26))))/INDIRECT(SUBSTITUTE(ADDRESS(1,COLUMN($D$9),4),"1","")&amp;SUMPRODUCT(($B$10:$D$26=INDIRECT(SUBSTITUTE(ADDRESS(1,COLUMN()-1,4),"1","")&amp;ROW()-25))*ROW($B$10:$D$26)))*10+50</f>
        <v>#DIV/0!</v>
      </c>
      <c r="BC81" s="8"/>
      <c r="BD81" s="49">
        <v>50</v>
      </c>
      <c r="BE81" s="83">
        <f t="shared" si="70"/>
        <v>4</v>
      </c>
      <c r="BF81" s="15">
        <f>IF(AND(BD81&lt;&gt;"", BG81&lt;&gt;""), ROUND(100*(1-(BI80+BI81)/2/BJ$56), $B$39), "")</f>
        <v>60</v>
      </c>
      <c r="BG81" s="52">
        <v>632</v>
      </c>
      <c r="BH81" s="16">
        <f t="shared" si="91"/>
        <v>4.2835841127829739E-2</v>
      </c>
      <c r="BI81" s="17">
        <f>IF(AND(BD81&lt;&gt;"", BG81&lt;&gt;""), SUM(BG$59:BG81), "")</f>
        <v>6156</v>
      </c>
      <c r="BJ81" s="16">
        <f t="shared" si="92"/>
        <v>0.41724278161854411</v>
      </c>
      <c r="BK81" s="14"/>
      <c r="BL81" s="27">
        <v>27</v>
      </c>
      <c r="BM81" s="20" t="e" cm="1">
        <f t="array" aca="1" ref="BM81" ca="1">(BL81-INDIRECT(SUBSTITUTE(ADDRESS(1,COLUMN($C$9),4),"1","")&amp;SUMPRODUCT(($B$10:$D$26=INDIRECT(SUBSTITUTE(ADDRESS(1,COLUMN()-1,4),"1","")&amp;ROW()-25))*ROW($B$10:$D$26))))/INDIRECT(SUBSTITUTE(ADDRESS(1,COLUMN($D$9),4),"1","")&amp;SUMPRODUCT(($B$10:$D$26=INDIRECT(SUBSTITUTE(ADDRESS(1,COLUMN()-1,4),"1","")&amp;ROW()-25))*ROW($B$10:$D$26)))*10+50</f>
        <v>#DIV/0!</v>
      </c>
      <c r="BN81" s="8"/>
      <c r="BO81" s="49">
        <v>57</v>
      </c>
      <c r="BP81" s="83">
        <f t="shared" si="71"/>
        <v>3</v>
      </c>
      <c r="BQ81" s="15">
        <f>IF(AND(BO81&lt;&gt;"", BR81&lt;&gt;""), ROUND(100*(1-(BT80+BT81)/2/BU$56), $B$39), "")</f>
        <v>80</v>
      </c>
      <c r="BR81" s="52">
        <v>48</v>
      </c>
      <c r="BS81" s="16">
        <f t="shared" si="93"/>
        <v>1.1799410029498525E-2</v>
      </c>
      <c r="BT81" s="17">
        <f>IF(AND(BO81&lt;&gt;"", BR81&lt;&gt;""), SUM(BR$59:BR81), "")</f>
        <v>829</v>
      </c>
      <c r="BU81" s="16">
        <f t="shared" si="94"/>
        <v>0.20378564405113078</v>
      </c>
      <c r="BV81" s="14"/>
      <c r="BW81" s="27">
        <v>27</v>
      </c>
      <c r="BX81" s="20" t="e" cm="1">
        <f t="array" aca="1" ref="BX81" ca="1">(BW81-INDIRECT(SUBSTITUTE(ADDRESS(1,COLUMN($C$9),4),"1","")&amp;SUMPRODUCT(($B$10:$D$26=INDIRECT(SUBSTITUTE(ADDRESS(1,COLUMN()-1,4),"1","")&amp;ROW()-25))*ROW($B$10:$D$26))))/INDIRECT(SUBSTITUTE(ADDRESS(1,COLUMN($D$9),4),"1","")&amp;SUMPRODUCT(($B$10:$D$26=INDIRECT(SUBSTITUTE(ADDRESS(1,COLUMN()-1,4),"1","")&amp;ROW()-25))*ROW($B$10:$D$26)))*10+50</f>
        <v>#DIV/0!</v>
      </c>
      <c r="BY81" s="8"/>
      <c r="BZ81" s="49">
        <v>55</v>
      </c>
      <c r="CA81" s="83">
        <f t="shared" si="72"/>
        <v>4</v>
      </c>
      <c r="CB81" s="15">
        <f>IF(AND(BZ81&lt;&gt;"", CC81&lt;&gt;""), ROUND(100*(1-(CE80+CE81)/2/CF$56), $B$39), "")</f>
        <v>73</v>
      </c>
      <c r="CC81" s="52">
        <v>56</v>
      </c>
      <c r="CD81" s="16">
        <f t="shared" si="95"/>
        <v>1.2219070477852935E-2</v>
      </c>
      <c r="CE81" s="17">
        <f>IF(AND(BZ81&lt;&gt;"", CC81&lt;&gt;""), SUM(CC$59:CC81), "")</f>
        <v>1249</v>
      </c>
      <c r="CF81" s="16">
        <f t="shared" si="96"/>
        <v>0.27252891119354133</v>
      </c>
      <c r="CG81" s="14"/>
      <c r="CH81" s="27">
        <v>27</v>
      </c>
      <c r="CI81" s="20" t="e" cm="1">
        <f t="array" aca="1" ref="CI81" ca="1">(CH81-INDIRECT(SUBSTITUTE(ADDRESS(1,COLUMN($C$9),4),"1","")&amp;SUMPRODUCT(($B$10:$D$26=INDIRECT(SUBSTITUTE(ADDRESS(1,COLUMN()-1,4),"1","")&amp;ROW()-25))*ROW($B$10:$D$26))))/INDIRECT(SUBSTITUTE(ADDRESS(1,COLUMN($D$9),4),"1","")&amp;SUMPRODUCT(($B$10:$D$26=INDIRECT(SUBSTITUTE(ADDRESS(1,COLUMN()-1,4),"1","")&amp;ROW()-25))*ROW($B$10:$D$26)))*10+50</f>
        <v>#DIV/0!</v>
      </c>
      <c r="CJ81" s="8"/>
      <c r="CK81" s="48">
        <v>53</v>
      </c>
      <c r="CL81" s="83">
        <f t="shared" si="73"/>
        <v>4</v>
      </c>
      <c r="CM81" s="15">
        <f>IF(AND(CK81&lt;&gt;"", CN81&lt;&gt;""), ROUND(100*(1-(CP80+CP81)/2/CQ$56), $B$39), "")</f>
        <v>73</v>
      </c>
      <c r="CN81" s="52">
        <v>216</v>
      </c>
      <c r="CO81" s="16">
        <f t="shared" si="64"/>
        <v>2.7193755507994459E-2</v>
      </c>
      <c r="CP81" s="17">
        <f>IF(AND(CK81&lt;&gt;"", CN81&lt;&gt;""), SUM(CN$59:CN81), "")</f>
        <v>2224</v>
      </c>
      <c r="CQ81" s="16">
        <f t="shared" si="65"/>
        <v>0.27999496411935038</v>
      </c>
      <c r="CR81" s="14"/>
      <c r="CS81" s="27">
        <v>27</v>
      </c>
      <c r="CT81" s="20" t="e" cm="1">
        <f t="array" aca="1" ref="CT81" ca="1">(CS81-INDIRECT(SUBSTITUTE(ADDRESS(1,COLUMN($C$9),4),"1","")&amp;SUMPRODUCT(($B$10:$D$26=INDIRECT(SUBSTITUTE(ADDRESS(1,COLUMN()-1,4),"1","")&amp;ROW()-25))*ROW($B$10:$D$26))))/INDIRECT(SUBSTITUTE(ADDRESS(1,COLUMN($D$9),4),"1","")&amp;SUMPRODUCT(($B$10:$D$26=INDIRECT(SUBSTITUTE(ADDRESS(1,COLUMN()-1,4),"1","")&amp;ROW()-25))*ROW($B$10:$D$26)))*10+50</f>
        <v>#DIV/0!</v>
      </c>
      <c r="CU81" s="8"/>
      <c r="CV81" s="49">
        <v>59</v>
      </c>
      <c r="CW81" s="83">
        <f t="shared" si="74"/>
        <v>3</v>
      </c>
      <c r="CX81" s="15">
        <f>IF(AND(CV81&lt;&gt;"", CY81&lt;&gt;""), ROUND(100*(1-(DA80+DA81)/2/DB$56), $B$39), "")</f>
        <v>84</v>
      </c>
      <c r="CY81" s="52">
        <v>47</v>
      </c>
      <c r="CZ81" s="16">
        <f t="shared" si="97"/>
        <v>9.000382995021065E-3</v>
      </c>
      <c r="DA81" s="17">
        <f>IF(AND(CV81&lt;&gt;"", CY81&lt;&gt;""), SUM(CY$59:CY81), "")</f>
        <v>867</v>
      </c>
      <c r="DB81" s="16">
        <f t="shared" si="98"/>
        <v>0.1660283416315588</v>
      </c>
    </row>
    <row r="82" spans="5:106" ht="16" customHeight="1" x14ac:dyDescent="0.2">
      <c r="E82" s="1"/>
      <c r="F82" s="86"/>
      <c r="G82" s="85">
        <v>6</v>
      </c>
      <c r="H82" s="36"/>
      <c r="I82" s="86"/>
      <c r="J82" s="85">
        <v>6</v>
      </c>
      <c r="K82" s="70"/>
      <c r="L82"/>
      <c r="M82"/>
      <c r="N82"/>
      <c r="O82" s="38"/>
      <c r="P82" s="83" t="str">
        <f t="shared" si="81"/>
        <v/>
      </c>
      <c r="Q82" s="164" t="str">
        <f t="shared" si="79"/>
        <v/>
      </c>
      <c r="R82" s="43"/>
      <c r="S82" s="16" t="str">
        <f t="shared" si="83"/>
        <v/>
      </c>
      <c r="T82" s="17" t="str">
        <f>IF(AND(O82&lt;&gt;"", R82&lt;&gt;""), SUM(R$4:R82), "")</f>
        <v/>
      </c>
      <c r="U82" s="16" t="str">
        <f t="shared" si="84"/>
        <v/>
      </c>
      <c r="W82" s="38">
        <v>69</v>
      </c>
      <c r="X82" s="83">
        <f t="shared" si="82"/>
        <v>9</v>
      </c>
      <c r="Y82" s="164">
        <f t="shared" si="80"/>
        <v>2</v>
      </c>
      <c r="Z82" s="43">
        <v>2319</v>
      </c>
      <c r="AA82" s="16">
        <f t="shared" si="85"/>
        <v>5.9833580597303745E-3</v>
      </c>
      <c r="AB82" s="17">
        <f>IF(AND(W82&lt;&gt;"", Z82&lt;&gt;""), SUM(Z$4:Z82), "")</f>
        <v>382037</v>
      </c>
      <c r="AC82" s="16">
        <f t="shared" si="86"/>
        <v>0.98571115268012643</v>
      </c>
      <c r="AD82" s="1"/>
      <c r="AE82" s="19">
        <v>26</v>
      </c>
      <c r="AF82" s="20" t="e" cm="1">
        <f t="array" aca="1" ref="AF82" ca="1">(AE82-INDIRECT(SUBSTITUTE(ADDRESS(1,COLUMN($C$9),4),"1","")&amp;SUMPRODUCT(($B$10:$D$26=INDIRECT(SUBSTITUTE(ADDRESS(1,COLUMN()-1,4),"1","")&amp;ROW()-26))*ROW($B$10:$D$26))))/INDIRECT(SUBSTITUTE(ADDRESS(1,COLUMN($D$9),4),"1","")&amp;SUMPRODUCT(($B$10:$D$26=INDIRECT(SUBSTITUTE(ADDRESS(1,COLUMN()-1,4),"1","")&amp;ROW()-26))*ROW($B$10:$D$26)))*10+50</f>
        <v>#DIV/0!</v>
      </c>
      <c r="AG82" s="8"/>
      <c r="AH82" s="49">
        <v>44</v>
      </c>
      <c r="AI82" s="83">
        <f t="shared" si="68"/>
        <v>5</v>
      </c>
      <c r="AJ82" s="15">
        <f>IF(AND(AH82&lt;&gt;"", AK82&lt;&gt;""), ROUND(100*(1-(AM81+AM82)/2/AN$56), $B$39), "")</f>
        <v>49</v>
      </c>
      <c r="AK82" s="52">
        <v>436</v>
      </c>
      <c r="AL82" s="16">
        <f t="shared" si="87"/>
        <v>2.2791427077888133E-2</v>
      </c>
      <c r="AM82" s="17">
        <f>IF(AND(AH82&lt;&gt;"", AK82&lt;&gt;""), SUM(AK$59:AK82), "")</f>
        <v>9924</v>
      </c>
      <c r="AN82" s="16">
        <f t="shared" si="88"/>
        <v>0.51876633559853635</v>
      </c>
      <c r="AO82" s="14"/>
      <c r="AP82" s="19">
        <v>26</v>
      </c>
      <c r="AQ82" s="20" t="e" cm="1">
        <f t="array" aca="1" ref="AQ82" ca="1">(AP82-INDIRECT(SUBSTITUTE(ADDRESS(1,COLUMN($C$9),4),"1","")&amp;SUMPRODUCT(($B$10:$D$26=INDIRECT(SUBSTITUTE(ADDRESS(1,COLUMN()-1,4),"1","")&amp;ROW()-26))*ROW($B$10:$D$26))))/INDIRECT(SUBSTITUTE(ADDRESS(1,COLUMN($D$9),4),"1","")&amp;SUMPRODUCT(($B$10:$D$26=INDIRECT(SUBSTITUTE(ADDRESS(1,COLUMN()-1,4),"1","")&amp;ROW()-26))*ROW($B$10:$D$26)))*10+50</f>
        <v>#DIV/0!</v>
      </c>
      <c r="AR82" s="8"/>
      <c r="AS82" s="49">
        <v>45</v>
      </c>
      <c r="AT82" s="83">
        <f t="shared" si="69"/>
        <v>5</v>
      </c>
      <c r="AU82" s="15">
        <f>IF(AND(AS82&lt;&gt;"", AV82&lt;&gt;""), ROUND(100*(1-(AX81+AX82)/2/AY$56), $B$39), "")</f>
        <v>41</v>
      </c>
      <c r="AV82" s="52">
        <v>381</v>
      </c>
      <c r="AW82" s="16">
        <f t="shared" si="89"/>
        <v>1.9898678644174023E-2</v>
      </c>
      <c r="AX82" s="17">
        <f>IF(AND(AS82&lt;&gt;"", AV82&lt;&gt;""), SUM(AV$59:AV82), "")</f>
        <v>11485</v>
      </c>
      <c r="AY82" s="16">
        <f t="shared" si="90"/>
        <v>0.59983287199039015</v>
      </c>
      <c r="AZ82" s="14"/>
      <c r="BA82" s="19">
        <v>26</v>
      </c>
      <c r="BB82" s="20" t="e" cm="1">
        <f t="array" aca="1" ref="BB82" ca="1">(BA82-INDIRECT(SUBSTITUTE(ADDRESS(1,COLUMN($C$9),4),"1","")&amp;SUMPRODUCT(($B$10:$D$26=INDIRECT(SUBSTITUTE(ADDRESS(1,COLUMN()-1,4),"1","")&amp;ROW()-26))*ROW($B$10:$D$26))))/INDIRECT(SUBSTITUTE(ADDRESS(1,COLUMN($D$9),4),"1","")&amp;SUMPRODUCT(($B$10:$D$26=INDIRECT(SUBSTITUTE(ADDRESS(1,COLUMN()-1,4),"1","")&amp;ROW()-26))*ROW($B$10:$D$26)))*10+50</f>
        <v>#DIV/0!</v>
      </c>
      <c r="BC82" s="8"/>
      <c r="BD82" s="49">
        <v>49</v>
      </c>
      <c r="BE82" s="83">
        <f t="shared" si="70"/>
        <v>5</v>
      </c>
      <c r="BF82" s="15">
        <f>IF(AND(BD82&lt;&gt;"", BG82&lt;&gt;""), ROUND(100*(1-(BI81+BI82)/2/BJ$56), $B$39), "")</f>
        <v>57</v>
      </c>
      <c r="BG82" s="52">
        <v>363</v>
      </c>
      <c r="BH82" s="16">
        <f t="shared" si="91"/>
        <v>2.4603497356649046E-2</v>
      </c>
      <c r="BI82" s="17">
        <f>IF(AND(BD82&lt;&gt;"", BG82&lt;&gt;""), SUM(BG$59:BG82), "")</f>
        <v>6519</v>
      </c>
      <c r="BJ82" s="16">
        <f t="shared" si="92"/>
        <v>0.44184627897519319</v>
      </c>
      <c r="BK82" s="14"/>
      <c r="BL82" s="27">
        <v>26</v>
      </c>
      <c r="BM82" s="20" t="e" cm="1">
        <f t="array" aca="1" ref="BM82" ca="1">(BL82-INDIRECT(SUBSTITUTE(ADDRESS(1,COLUMN($C$9),4),"1","")&amp;SUMPRODUCT(($B$10:$D$26=INDIRECT(SUBSTITUTE(ADDRESS(1,COLUMN()-1,4),"1","")&amp;ROW()-26))*ROW($B$10:$D$26))))/INDIRECT(SUBSTITUTE(ADDRESS(1,COLUMN($D$9),4),"1","")&amp;SUMPRODUCT(($B$10:$D$26=INDIRECT(SUBSTITUTE(ADDRESS(1,COLUMN()-1,4),"1","")&amp;ROW()-26))*ROW($B$10:$D$26)))*10+50</f>
        <v>#DIV/0!</v>
      </c>
      <c r="BN82" s="8"/>
      <c r="BO82" s="49">
        <v>56</v>
      </c>
      <c r="BP82" s="83">
        <f t="shared" si="71"/>
        <v>3</v>
      </c>
      <c r="BQ82" s="15">
        <f>IF(AND(BO82&lt;&gt;"", BR82&lt;&gt;""), ROUND(100*(1-(BT81+BT82)/2/BU$56), $B$39), "")</f>
        <v>78</v>
      </c>
      <c r="BR82" s="52">
        <v>104</v>
      </c>
      <c r="BS82" s="16">
        <f t="shared" si="93"/>
        <v>2.5565388397246803E-2</v>
      </c>
      <c r="BT82" s="17">
        <f>IF(AND(BO82&lt;&gt;"", BR82&lt;&gt;""), SUM(BR$59:BR82), "")</f>
        <v>933</v>
      </c>
      <c r="BU82" s="16">
        <f t="shared" si="94"/>
        <v>0.22935103244837757</v>
      </c>
      <c r="BV82" s="14"/>
      <c r="BW82" s="27">
        <v>26</v>
      </c>
      <c r="BX82" s="20" t="e" cm="1">
        <f t="array" aca="1" ref="BX82" ca="1">(BW82-INDIRECT(SUBSTITUTE(ADDRESS(1,COLUMN($C$9),4),"1","")&amp;SUMPRODUCT(($B$10:$D$26=INDIRECT(SUBSTITUTE(ADDRESS(1,COLUMN()-1,4),"1","")&amp;ROW()-26))*ROW($B$10:$D$26))))/INDIRECT(SUBSTITUTE(ADDRESS(1,COLUMN($D$9),4),"1","")&amp;SUMPRODUCT(($B$10:$D$26=INDIRECT(SUBSTITUTE(ADDRESS(1,COLUMN()-1,4),"1","")&amp;ROW()-26))*ROW($B$10:$D$26)))*10+50</f>
        <v>#DIV/0!</v>
      </c>
      <c r="BY82" s="8"/>
      <c r="BZ82" s="49">
        <v>54</v>
      </c>
      <c r="CA82" s="83">
        <f t="shared" si="72"/>
        <v>4</v>
      </c>
      <c r="CB82" s="15">
        <f>IF(AND(BZ82&lt;&gt;"", CC82&lt;&gt;""), ROUND(100*(1-(CE81+CE82)/2/CF$56), $B$39), "")</f>
        <v>72</v>
      </c>
      <c r="CC82" s="52">
        <v>71</v>
      </c>
      <c r="CD82" s="16">
        <f t="shared" si="95"/>
        <v>1.5492035784420686E-2</v>
      </c>
      <c r="CE82" s="17">
        <f>IF(AND(BZ82&lt;&gt;"", CC82&lt;&gt;""), SUM(CC$59:CC82), "")</f>
        <v>1320</v>
      </c>
      <c r="CF82" s="16">
        <f t="shared" si="96"/>
        <v>0.28802094697796204</v>
      </c>
      <c r="CG82" s="14"/>
      <c r="CH82" s="27">
        <v>26</v>
      </c>
      <c r="CI82" s="20" t="e" cm="1">
        <f t="array" aca="1" ref="CI82" ca="1">(CH82-INDIRECT(SUBSTITUTE(ADDRESS(1,COLUMN($C$9),4),"1","")&amp;SUMPRODUCT(($B$10:$D$26=INDIRECT(SUBSTITUTE(ADDRESS(1,COLUMN()-1,4),"1","")&amp;ROW()-26))*ROW($B$10:$D$26))))/INDIRECT(SUBSTITUTE(ADDRESS(1,COLUMN($D$9),4),"1","")&amp;SUMPRODUCT(($B$10:$D$26=INDIRECT(SUBSTITUTE(ADDRESS(1,COLUMN()-1,4),"1","")&amp;ROW()-26))*ROW($B$10:$D$26)))*10+50</f>
        <v>#DIV/0!</v>
      </c>
      <c r="CJ82" s="8"/>
      <c r="CK82" s="49">
        <v>52</v>
      </c>
      <c r="CL82" s="83">
        <f t="shared" si="73"/>
        <v>4</v>
      </c>
      <c r="CM82" s="15">
        <f>IF(AND(CK82&lt;&gt;"", CN82&lt;&gt;""), ROUND(100*(1-(CP81+CP82)/2/CQ$56), $B$39), "")</f>
        <v>71</v>
      </c>
      <c r="CN82" s="52">
        <v>114</v>
      </c>
      <c r="CO82" s="16">
        <f t="shared" si="64"/>
        <v>1.4352259851441521E-2</v>
      </c>
      <c r="CP82" s="17">
        <f>IF(AND(CK82&lt;&gt;"", CN82&lt;&gt;""), SUM(CN$59:CN82), "")</f>
        <v>2338</v>
      </c>
      <c r="CQ82" s="16">
        <f t="shared" si="65"/>
        <v>0.29434722397079188</v>
      </c>
      <c r="CR82" s="14"/>
      <c r="CS82" s="27">
        <v>26</v>
      </c>
      <c r="CT82" s="20" t="e" cm="1">
        <f t="array" aca="1" ref="CT82" ca="1">(CS82-INDIRECT(SUBSTITUTE(ADDRESS(1,COLUMN($C$9),4),"1","")&amp;SUMPRODUCT(($B$10:$D$26=INDIRECT(SUBSTITUTE(ADDRESS(1,COLUMN()-1,4),"1","")&amp;ROW()-26))*ROW($B$10:$D$26))))/INDIRECT(SUBSTITUTE(ADDRESS(1,COLUMN($D$9),4),"1","")&amp;SUMPRODUCT(($B$10:$D$26=INDIRECT(SUBSTITUTE(ADDRESS(1,COLUMN()-1,4),"1","")&amp;ROW()-26))*ROW($B$10:$D$26)))*10+50</f>
        <v>#DIV/0!</v>
      </c>
      <c r="CU82" s="8"/>
      <c r="CV82" s="49">
        <v>58</v>
      </c>
      <c r="CW82" s="83">
        <f t="shared" si="74"/>
        <v>3</v>
      </c>
      <c r="CX82" s="15">
        <f>IF(AND(CV82&lt;&gt;"", CY82&lt;&gt;""), ROUND(100*(1-(DA81+DA82)/2/DB$56), $B$39), "")</f>
        <v>83</v>
      </c>
      <c r="CY82" s="52">
        <v>69</v>
      </c>
      <c r="CZ82" s="16">
        <f t="shared" si="97"/>
        <v>1.3213328226733052E-2</v>
      </c>
      <c r="DA82" s="17">
        <f>IF(AND(CV82&lt;&gt;"", CY82&lt;&gt;""), SUM(CY$59:CY82), "")</f>
        <v>936</v>
      </c>
      <c r="DB82" s="16">
        <f t="shared" si="98"/>
        <v>0.17924166985829185</v>
      </c>
    </row>
    <row r="83" spans="5:106" ht="16" customHeight="1" x14ac:dyDescent="0.2">
      <c r="E83" s="1"/>
      <c r="F83" s="86"/>
      <c r="G83" s="85">
        <v>7</v>
      </c>
      <c r="H83" s="36"/>
      <c r="I83" s="86"/>
      <c r="J83" s="85">
        <v>7</v>
      </c>
      <c r="K83" s="70"/>
      <c r="L83"/>
      <c r="M83"/>
      <c r="N83"/>
      <c r="O83" s="38"/>
      <c r="P83" s="83" t="str">
        <f t="shared" si="81"/>
        <v/>
      </c>
      <c r="Q83" s="164" t="str">
        <f t="shared" si="79"/>
        <v/>
      </c>
      <c r="R83" s="43"/>
      <c r="S83" s="16" t="str">
        <f t="shared" si="83"/>
        <v/>
      </c>
      <c r="T83" s="17" t="str">
        <f>IF(AND(O83&lt;&gt;"", R83&lt;&gt;""), SUM(R$4:R83), "")</f>
        <v/>
      </c>
      <c r="U83" s="16" t="str">
        <f t="shared" si="84"/>
        <v/>
      </c>
      <c r="W83" s="38">
        <v>68</v>
      </c>
      <c r="X83" s="83">
        <f t="shared" si="82"/>
        <v>9</v>
      </c>
      <c r="Y83" s="164">
        <f t="shared" si="80"/>
        <v>1</v>
      </c>
      <c r="Z83" s="43">
        <v>1722</v>
      </c>
      <c r="AA83" s="16">
        <f t="shared" si="85"/>
        <v>4.4430110301232019E-3</v>
      </c>
      <c r="AB83" s="17">
        <f>IF(AND(W83&lt;&gt;"", Z83&lt;&gt;""), SUM(Z$4:Z83), "")</f>
        <v>383759</v>
      </c>
      <c r="AC83" s="16">
        <f t="shared" si="86"/>
        <v>0.99015416371024967</v>
      </c>
      <c r="AD83" s="1"/>
      <c r="AE83" s="19">
        <v>25</v>
      </c>
      <c r="AF83" s="20" t="e" cm="1">
        <f t="array" aca="1" ref="AF83" ca="1">(AE83-INDIRECT(SUBSTITUTE(ADDRESS(1,COLUMN($C$9),4),"1","")&amp;SUMPRODUCT(($B$10:$D$26=INDIRECT(SUBSTITUTE(ADDRESS(1,COLUMN()-1,4),"1","")&amp;ROW()-27))*ROW($B$10:$D$26))))/INDIRECT(SUBSTITUTE(ADDRESS(1,COLUMN($D$9),4),"1","")&amp;SUMPRODUCT(($B$10:$D$26=INDIRECT(SUBSTITUTE(ADDRESS(1,COLUMN()-1,4),"1","")&amp;ROW()-27))*ROW($B$10:$D$26)))*10+50</f>
        <v>#DIV/0!</v>
      </c>
      <c r="AG83" s="8"/>
      <c r="AH83" s="49">
        <v>43</v>
      </c>
      <c r="AI83" s="83">
        <f t="shared" si="68"/>
        <v>5</v>
      </c>
      <c r="AJ83" s="15">
        <f>IF(AND(AH83&lt;&gt;"", AK83&lt;&gt;""), ROUND(100*(1-(AM82+AM83)/2/AN$56), $B$39), "")</f>
        <v>47</v>
      </c>
      <c r="AK83" s="52">
        <v>495</v>
      </c>
      <c r="AL83" s="16">
        <f t="shared" si="87"/>
        <v>2.5875588081547309E-2</v>
      </c>
      <c r="AM83" s="17">
        <f>IF(AND(AH83&lt;&gt;"", AK83&lt;&gt;""), SUM(AK$59:AK83), "")</f>
        <v>10419</v>
      </c>
      <c r="AN83" s="16">
        <f t="shared" si="88"/>
        <v>0.54464192368008368</v>
      </c>
      <c r="AO83" s="14"/>
      <c r="AP83" s="19">
        <v>25</v>
      </c>
      <c r="AQ83" s="20" t="e" cm="1">
        <f t="array" aca="1" ref="AQ83" ca="1">(AP83-INDIRECT(SUBSTITUTE(ADDRESS(1,COLUMN($C$9),4),"1","")&amp;SUMPRODUCT(($B$10:$D$26=INDIRECT(SUBSTITUTE(ADDRESS(1,COLUMN()-1,4),"1","")&amp;ROW()-27))*ROW($B$10:$D$26))))/INDIRECT(SUBSTITUTE(ADDRESS(1,COLUMN($D$9),4),"1","")&amp;SUMPRODUCT(($B$10:$D$26=INDIRECT(SUBSTITUTE(ADDRESS(1,COLUMN()-1,4),"1","")&amp;ROW()-27))*ROW($B$10:$D$26)))*10+50</f>
        <v>#DIV/0!</v>
      </c>
      <c r="AR83" s="8"/>
      <c r="AS83" s="49">
        <v>44</v>
      </c>
      <c r="AT83" s="83">
        <f t="shared" si="69"/>
        <v>5</v>
      </c>
      <c r="AU83" s="15">
        <f>IF(AND(AS83&lt;&gt;"", AV83&lt;&gt;""), ROUND(100*(1-(AX82+AX83)/2/AY$56), $B$39), "")</f>
        <v>37</v>
      </c>
      <c r="AV83" s="52">
        <v>1010</v>
      </c>
      <c r="AW83" s="16">
        <f t="shared" si="89"/>
        <v>5.2749778033112239E-2</v>
      </c>
      <c r="AX83" s="17">
        <f>IF(AND(AS83&lt;&gt;"", AV83&lt;&gt;""), SUM(AV$59:AV83), "")</f>
        <v>12495</v>
      </c>
      <c r="AY83" s="16">
        <f t="shared" si="90"/>
        <v>0.65258265002350235</v>
      </c>
      <c r="AZ83" s="14"/>
      <c r="BA83" s="19">
        <v>25</v>
      </c>
      <c r="BB83" s="20" t="e" cm="1">
        <f t="array" aca="1" ref="BB83" ca="1">(BA83-INDIRECT(SUBSTITUTE(ADDRESS(1,COLUMN($C$9),4),"1","")&amp;SUMPRODUCT(($B$10:$D$26=INDIRECT(SUBSTITUTE(ADDRESS(1,COLUMN()-1,4),"1","")&amp;ROW()-27))*ROW($B$10:$D$26))))/INDIRECT(SUBSTITUTE(ADDRESS(1,COLUMN($D$9),4),"1","")&amp;SUMPRODUCT(($B$10:$D$26=INDIRECT(SUBSTITUTE(ADDRESS(1,COLUMN()-1,4),"1","")&amp;ROW()-27))*ROW($B$10:$D$26)))*10+50</f>
        <v>#DIV/0!</v>
      </c>
      <c r="BC83" s="8"/>
      <c r="BD83" s="49">
        <v>48</v>
      </c>
      <c r="BE83" s="83">
        <f t="shared" si="70"/>
        <v>5</v>
      </c>
      <c r="BF83" s="15">
        <f>IF(AND(BD83&lt;&gt;"", BG83&lt;&gt;""), ROUND(100*(1-(BI82+BI83)/2/BJ$56), $B$39), "")</f>
        <v>55</v>
      </c>
      <c r="BG83" s="52">
        <v>367</v>
      </c>
      <c r="BH83" s="16">
        <f t="shared" si="91"/>
        <v>2.4874610275179614E-2</v>
      </c>
      <c r="BI83" s="17">
        <f>IF(AND(BD83&lt;&gt;"", BG83&lt;&gt;""), SUM(BG$59:BG83), "")</f>
        <v>6886</v>
      </c>
      <c r="BJ83" s="16">
        <f t="shared" si="92"/>
        <v>0.46672088925037281</v>
      </c>
      <c r="BK83" s="14"/>
      <c r="BL83" s="27">
        <v>25</v>
      </c>
      <c r="BM83" s="20" t="e" cm="1">
        <f t="array" aca="1" ref="BM83" ca="1">(BL83-INDIRECT(SUBSTITUTE(ADDRESS(1,COLUMN($C$9),4),"1","")&amp;SUMPRODUCT(($B$10:$D$26=INDIRECT(SUBSTITUTE(ADDRESS(1,COLUMN()-1,4),"1","")&amp;ROW()-27))*ROW($B$10:$D$26))))/INDIRECT(SUBSTITUTE(ADDRESS(1,COLUMN($D$9),4),"1","")&amp;SUMPRODUCT(($B$10:$D$26=INDIRECT(SUBSTITUTE(ADDRESS(1,COLUMN()-1,4),"1","")&amp;ROW()-27))*ROW($B$10:$D$26)))*10+50</f>
        <v>#DIV/0!</v>
      </c>
      <c r="BN83" s="8"/>
      <c r="BO83" s="49">
        <v>55</v>
      </c>
      <c r="BP83" s="83">
        <f t="shared" si="71"/>
        <v>3</v>
      </c>
      <c r="BQ83" s="15">
        <f>IF(AND(BO83&lt;&gt;"", BR83&lt;&gt;""), ROUND(100*(1-(BT82+BT83)/2/BU$56), $B$39), "")</f>
        <v>76</v>
      </c>
      <c r="BR83" s="52">
        <v>53</v>
      </c>
      <c r="BS83" s="16">
        <f t="shared" si="93"/>
        <v>1.3028515240904622E-2</v>
      </c>
      <c r="BT83" s="17">
        <f>IF(AND(BO83&lt;&gt;"", BR83&lt;&gt;""), SUM(BR$59:BR83), "")</f>
        <v>986</v>
      </c>
      <c r="BU83" s="16">
        <f t="shared" si="94"/>
        <v>0.24237954768928222</v>
      </c>
      <c r="BV83" s="14"/>
      <c r="BW83" s="27">
        <v>25</v>
      </c>
      <c r="BX83" s="20" t="e" cm="1">
        <f t="array" aca="1" ref="BX83" ca="1">(BW83-INDIRECT(SUBSTITUTE(ADDRESS(1,COLUMN($C$9),4),"1","")&amp;SUMPRODUCT(($B$10:$D$26=INDIRECT(SUBSTITUTE(ADDRESS(1,COLUMN()-1,4),"1","")&amp;ROW()-27))*ROW($B$10:$D$26))))/INDIRECT(SUBSTITUTE(ADDRESS(1,COLUMN($D$9),4),"1","")&amp;SUMPRODUCT(($B$10:$D$26=INDIRECT(SUBSTITUTE(ADDRESS(1,COLUMN()-1,4),"1","")&amp;ROW()-27))*ROW($B$10:$D$26)))*10+50</f>
        <v>#DIV/0!</v>
      </c>
      <c r="BY83" s="8"/>
      <c r="BZ83" s="49">
        <v>53</v>
      </c>
      <c r="CA83" s="83">
        <f t="shared" si="72"/>
        <v>4</v>
      </c>
      <c r="CB83" s="15">
        <f>IF(AND(BZ83&lt;&gt;"", CC83&lt;&gt;""), ROUND(100*(1-(CE82+CE83)/2/CF$56), $B$39), "")</f>
        <v>70</v>
      </c>
      <c r="CC83" s="52">
        <v>74</v>
      </c>
      <c r="CD83" s="16">
        <f t="shared" si="95"/>
        <v>1.6146628845734236E-2</v>
      </c>
      <c r="CE83" s="17">
        <f>IF(AND(BZ83&lt;&gt;"", CC83&lt;&gt;""), SUM(CC$59:CC83), "")</f>
        <v>1394</v>
      </c>
      <c r="CF83" s="16">
        <f t="shared" si="96"/>
        <v>0.30416757582369625</v>
      </c>
      <c r="CG83" s="14"/>
      <c r="CH83" s="27">
        <v>25</v>
      </c>
      <c r="CI83" s="20" t="e" cm="1">
        <f t="array" aca="1" ref="CI83" ca="1">(CH83-INDIRECT(SUBSTITUTE(ADDRESS(1,COLUMN($C$9),4),"1","")&amp;SUMPRODUCT(($B$10:$D$26=INDIRECT(SUBSTITUTE(ADDRESS(1,COLUMN()-1,4),"1","")&amp;ROW()-27))*ROW($B$10:$D$26))))/INDIRECT(SUBSTITUTE(ADDRESS(1,COLUMN($D$9),4),"1","")&amp;SUMPRODUCT(($B$10:$D$26=INDIRECT(SUBSTITUTE(ADDRESS(1,COLUMN()-1,4),"1","")&amp;ROW()-27))*ROW($B$10:$D$26)))*10+50</f>
        <v>#DIV/0!</v>
      </c>
      <c r="CJ83" s="8"/>
      <c r="CK83" s="49">
        <v>51</v>
      </c>
      <c r="CL83" s="83">
        <f t="shared" si="73"/>
        <v>4</v>
      </c>
      <c r="CM83" s="15">
        <f>IF(AND(CK83&lt;&gt;"", CN83&lt;&gt;""), ROUND(100*(1-(CP82+CP83)/2/CQ$56), $B$39), "")</f>
        <v>70</v>
      </c>
      <c r="CN83" s="52">
        <v>148</v>
      </c>
      <c r="CO83" s="16">
        <f t="shared" si="64"/>
        <v>1.8632758403625833E-2</v>
      </c>
      <c r="CP83" s="17">
        <f>IF(AND(CK83&lt;&gt;"", CN83&lt;&gt;""), SUM(CN$59:CN83), "")</f>
        <v>2486</v>
      </c>
      <c r="CQ83" s="16">
        <f t="shared" si="65"/>
        <v>0.31297998237441771</v>
      </c>
      <c r="CR83" s="14"/>
      <c r="CS83" s="27">
        <v>25</v>
      </c>
      <c r="CT83" s="20" t="e" cm="1">
        <f t="array" aca="1" ref="CT83" ca="1">(CS83-INDIRECT(SUBSTITUTE(ADDRESS(1,COLUMN($C$9),4),"1","")&amp;SUMPRODUCT(($B$10:$D$26=INDIRECT(SUBSTITUTE(ADDRESS(1,COLUMN()-1,4),"1","")&amp;ROW()-27))*ROW($B$10:$D$26))))/INDIRECT(SUBSTITUTE(ADDRESS(1,COLUMN($D$9),4),"1","")&amp;SUMPRODUCT(($B$10:$D$26=INDIRECT(SUBSTITUTE(ADDRESS(1,COLUMN()-1,4),"1","")&amp;ROW()-27))*ROW($B$10:$D$26)))*10+50</f>
        <v>#DIV/0!</v>
      </c>
      <c r="CU83" s="8"/>
      <c r="CV83" s="49">
        <v>57</v>
      </c>
      <c r="CW83" s="83">
        <f t="shared" si="74"/>
        <v>3</v>
      </c>
      <c r="CX83" s="15">
        <f>IF(AND(CV83&lt;&gt;"", CY83&lt;&gt;""), ROUND(100*(1-(DA82+DA83)/2/DB$56), $B$39), "")</f>
        <v>81</v>
      </c>
      <c r="CY83" s="52">
        <v>72</v>
      </c>
      <c r="CZ83" s="16">
        <f t="shared" si="97"/>
        <v>1.3787820758330141E-2</v>
      </c>
      <c r="DA83" s="17">
        <f>IF(AND(CV83&lt;&gt;"", CY83&lt;&gt;""), SUM(CY$59:CY83), "")</f>
        <v>1008</v>
      </c>
      <c r="DB83" s="16">
        <f t="shared" si="98"/>
        <v>0.19302949061662197</v>
      </c>
    </row>
    <row r="84" spans="5:106" ht="16" customHeight="1" x14ac:dyDescent="0.2">
      <c r="E84" s="1"/>
      <c r="F84" s="86"/>
      <c r="G84" s="85">
        <v>8</v>
      </c>
      <c r="H84" s="36"/>
      <c r="I84" s="86"/>
      <c r="J84" s="85">
        <v>8</v>
      </c>
      <c r="K84" s="70"/>
      <c r="L84"/>
      <c r="M84"/>
      <c r="N84"/>
      <c r="O84" s="38"/>
      <c r="P84" s="83" t="str">
        <f t="shared" si="81"/>
        <v/>
      </c>
      <c r="Q84" s="164" t="str">
        <f t="shared" si="79"/>
        <v/>
      </c>
      <c r="R84" s="43"/>
      <c r="S84" s="16" t="str">
        <f t="shared" si="83"/>
        <v/>
      </c>
      <c r="T84" s="17" t="str">
        <f>IF(AND(O84&lt;&gt;"", R84&lt;&gt;""), SUM(R$4:R84), "")</f>
        <v/>
      </c>
      <c r="U84" s="16" t="str">
        <f t="shared" si="84"/>
        <v/>
      </c>
      <c r="W84" s="38">
        <v>67</v>
      </c>
      <c r="X84" s="83">
        <f t="shared" si="82"/>
        <v>9</v>
      </c>
      <c r="Y84" s="164">
        <f t="shared" si="80"/>
        <v>1</v>
      </c>
      <c r="Z84" s="43">
        <v>661</v>
      </c>
      <c r="AA84" s="16">
        <f t="shared" si="85"/>
        <v>1.705476359414307E-3</v>
      </c>
      <c r="AB84" s="17">
        <f>IF(AND(W84&lt;&gt;"", Z84&lt;&gt;""), SUM(Z$4:Z84), "")</f>
        <v>384420</v>
      </c>
      <c r="AC84" s="16">
        <f t="shared" si="86"/>
        <v>0.99185964006966398</v>
      </c>
      <c r="AD84" s="1"/>
      <c r="AE84" s="19">
        <v>24</v>
      </c>
      <c r="AF84" s="20" t="e" cm="1">
        <f t="array" aca="1" ref="AF84" ca="1">(AE84-INDIRECT(SUBSTITUTE(ADDRESS(1,COLUMN($C$9),4),"1","")&amp;SUMPRODUCT(($B$10:$D$26=INDIRECT(SUBSTITUTE(ADDRESS(1,COLUMN()-1,4),"1","")&amp;ROW()-28))*ROW($B$10:$D$26))))/INDIRECT(SUBSTITUTE(ADDRESS(1,COLUMN($D$9),4),"1","")&amp;SUMPRODUCT(($B$10:$D$26=INDIRECT(SUBSTITUTE(ADDRESS(1,COLUMN()-1,4),"1","")&amp;ROW()-28))*ROW($B$10:$D$26)))*10+50</f>
        <v>#DIV/0!</v>
      </c>
      <c r="AG84" s="8"/>
      <c r="AH84" s="49">
        <v>42</v>
      </c>
      <c r="AI84" s="83">
        <f t="shared" si="68"/>
        <v>5</v>
      </c>
      <c r="AJ84" s="15">
        <f>IF(AND(AH84&lt;&gt;"", AK84&lt;&gt;""), ROUND(100*(1-(AM83+AM84)/2/AN$56), $B$39), "")</f>
        <v>43</v>
      </c>
      <c r="AK84" s="52">
        <v>1016</v>
      </c>
      <c r="AL84" s="16">
        <f t="shared" si="87"/>
        <v>5.3110297961317304E-2</v>
      </c>
      <c r="AM84" s="17">
        <f>IF(AND(AH84&lt;&gt;"", AK84&lt;&gt;""), SUM(AK$59:AK84), "")</f>
        <v>11435</v>
      </c>
      <c r="AN84" s="16">
        <f t="shared" si="88"/>
        <v>0.59775222164140096</v>
      </c>
      <c r="AO84" s="14"/>
      <c r="AP84" s="19">
        <v>24</v>
      </c>
      <c r="AQ84" s="20" t="e" cm="1">
        <f t="array" aca="1" ref="AQ84" ca="1">(AP84-INDIRECT(SUBSTITUTE(ADDRESS(1,COLUMN($C$9),4),"1","")&amp;SUMPRODUCT(($B$10:$D$26=INDIRECT(SUBSTITUTE(ADDRESS(1,COLUMN()-1,4),"1","")&amp;ROW()-28))*ROW($B$10:$D$26))))/INDIRECT(SUBSTITUTE(ADDRESS(1,COLUMN($D$9),4),"1","")&amp;SUMPRODUCT(($B$10:$D$26=INDIRECT(SUBSTITUTE(ADDRESS(1,COLUMN()-1,4),"1","")&amp;ROW()-28))*ROW($B$10:$D$26)))*10+50</f>
        <v>#DIV/0!</v>
      </c>
      <c r="AR84" s="8"/>
      <c r="AS84" s="49">
        <v>43</v>
      </c>
      <c r="AT84" s="83">
        <f t="shared" si="69"/>
        <v>6</v>
      </c>
      <c r="AU84" s="15">
        <f>IF(AND(AS84&lt;&gt;"", AV84&lt;&gt;""), ROUND(100*(1-(AX83+AX84)/2/AY$56), $B$39), "")</f>
        <v>33</v>
      </c>
      <c r="AV84" s="52">
        <v>550</v>
      </c>
      <c r="AW84" s="16">
        <f t="shared" si="89"/>
        <v>2.8725126651694782E-2</v>
      </c>
      <c r="AX84" s="17">
        <f>IF(AND(AS84&lt;&gt;"", AV84&lt;&gt;""), SUM(AV$59:AV84), "")</f>
        <v>13045</v>
      </c>
      <c r="AY84" s="16">
        <f t="shared" si="90"/>
        <v>0.68130777667519715</v>
      </c>
      <c r="AZ84" s="14"/>
      <c r="BA84" s="19">
        <v>24</v>
      </c>
      <c r="BB84" s="20" t="e" cm="1">
        <f t="array" aca="1" ref="BB84" ca="1">(BA84-INDIRECT(SUBSTITUTE(ADDRESS(1,COLUMN($C$9),4),"1","")&amp;SUMPRODUCT(($B$10:$D$26=INDIRECT(SUBSTITUTE(ADDRESS(1,COLUMN()-1,4),"1","")&amp;ROW()-28))*ROW($B$10:$D$26))))/INDIRECT(SUBSTITUTE(ADDRESS(1,COLUMN($D$9),4),"1","")&amp;SUMPRODUCT(($B$10:$D$26=INDIRECT(SUBSTITUTE(ADDRESS(1,COLUMN()-1,4),"1","")&amp;ROW()-28))*ROW($B$10:$D$26)))*10+50</f>
        <v>#DIV/0!</v>
      </c>
      <c r="BC84" s="8"/>
      <c r="BD84" s="49">
        <v>47</v>
      </c>
      <c r="BE84" s="83">
        <f t="shared" si="70"/>
        <v>5</v>
      </c>
      <c r="BF84" s="15">
        <f>IF(AND(BD84&lt;&gt;"", BG84&lt;&gt;""), ROUND(100*(1-(BI83+BI84)/2/BJ$56), $B$39), "")</f>
        <v>50</v>
      </c>
      <c r="BG84" s="52">
        <v>870</v>
      </c>
      <c r="BH84" s="16">
        <f t="shared" si="91"/>
        <v>5.8967059780398533E-2</v>
      </c>
      <c r="BI84" s="17">
        <f>IF(AND(BD84&lt;&gt;"", BG84&lt;&gt;""), SUM(BG$59:BG84), "")</f>
        <v>7756</v>
      </c>
      <c r="BJ84" s="16">
        <f t="shared" si="92"/>
        <v>0.52568794903077132</v>
      </c>
      <c r="BK84" s="14"/>
      <c r="BL84" s="27">
        <v>24</v>
      </c>
      <c r="BM84" s="20" t="e" cm="1">
        <f t="array" aca="1" ref="BM84" ca="1">(BL84-INDIRECT(SUBSTITUTE(ADDRESS(1,COLUMN($C$9),4),"1","")&amp;SUMPRODUCT(($B$10:$D$26=INDIRECT(SUBSTITUTE(ADDRESS(1,COLUMN()-1,4),"1","")&amp;ROW()-28))*ROW($B$10:$D$26))))/INDIRECT(SUBSTITUTE(ADDRESS(1,COLUMN($D$9),4),"1","")&amp;SUMPRODUCT(($B$10:$D$26=INDIRECT(SUBSTITUTE(ADDRESS(1,COLUMN()-1,4),"1","")&amp;ROW()-28))*ROW($B$10:$D$26)))*10+50</f>
        <v>#DIV/0!</v>
      </c>
      <c r="BN84" s="8"/>
      <c r="BO84" s="49">
        <v>54</v>
      </c>
      <c r="BP84" s="83">
        <f t="shared" si="71"/>
        <v>4</v>
      </c>
      <c r="BQ84" s="15">
        <f>IF(AND(BO84&lt;&gt;"", BR84&lt;&gt;""), ROUND(100*(1-(BT83+BT84)/2/BU$56), $B$39), "")</f>
        <v>75</v>
      </c>
      <c r="BR84" s="52">
        <v>51</v>
      </c>
      <c r="BS84" s="16">
        <f t="shared" si="93"/>
        <v>1.2536873156342183E-2</v>
      </c>
      <c r="BT84" s="17">
        <f>IF(AND(BO84&lt;&gt;"", BR84&lt;&gt;""), SUM(BR$59:BR84), "")</f>
        <v>1037</v>
      </c>
      <c r="BU84" s="16">
        <f t="shared" si="94"/>
        <v>0.25491642084562438</v>
      </c>
      <c r="BV84" s="14"/>
      <c r="BW84" s="27">
        <v>24</v>
      </c>
      <c r="BX84" s="20" t="e" cm="1">
        <f t="array" aca="1" ref="BX84" ca="1">(BW84-INDIRECT(SUBSTITUTE(ADDRESS(1,COLUMN($C$9),4),"1","")&amp;SUMPRODUCT(($B$10:$D$26=INDIRECT(SUBSTITUTE(ADDRESS(1,COLUMN()-1,4),"1","")&amp;ROW()-28))*ROW($B$10:$D$26))))/INDIRECT(SUBSTITUTE(ADDRESS(1,COLUMN($D$9),4),"1","")&amp;SUMPRODUCT(($B$10:$D$26=INDIRECT(SUBSTITUTE(ADDRESS(1,COLUMN()-1,4),"1","")&amp;ROW()-28))*ROW($B$10:$D$26)))*10+50</f>
        <v>#DIV/0!</v>
      </c>
      <c r="BY84" s="8"/>
      <c r="BZ84" s="49">
        <v>52</v>
      </c>
      <c r="CA84" s="83">
        <f t="shared" si="72"/>
        <v>4</v>
      </c>
      <c r="CB84" s="15">
        <f>IF(AND(BZ84&lt;&gt;"", CC84&lt;&gt;""), ROUND(100*(1-(CE83+CE84)/2/CF$56), $B$39), "")</f>
        <v>68</v>
      </c>
      <c r="CC84" s="52">
        <v>154</v>
      </c>
      <c r="CD84" s="16">
        <f t="shared" si="95"/>
        <v>3.3602443814095571E-2</v>
      </c>
      <c r="CE84" s="17">
        <f>IF(AND(BZ84&lt;&gt;"", CC84&lt;&gt;""), SUM(CC$59:CC84), "")</f>
        <v>1548</v>
      </c>
      <c r="CF84" s="16">
        <f t="shared" si="96"/>
        <v>0.33777001963779185</v>
      </c>
      <c r="CG84" s="14"/>
      <c r="CH84" s="27">
        <v>24</v>
      </c>
      <c r="CI84" s="20" t="e" cm="1">
        <f t="array" aca="1" ref="CI84" ca="1">(CH84-INDIRECT(SUBSTITUTE(ADDRESS(1,COLUMN($C$9),4),"1","")&amp;SUMPRODUCT(($B$10:$D$26=INDIRECT(SUBSTITUTE(ADDRESS(1,COLUMN()-1,4),"1","")&amp;ROW()-28))*ROW($B$10:$D$26))))/INDIRECT(SUBSTITUTE(ADDRESS(1,COLUMN($D$9),4),"1","")&amp;SUMPRODUCT(($B$10:$D$26=INDIRECT(SUBSTITUTE(ADDRESS(1,COLUMN()-1,4),"1","")&amp;ROW()-28))*ROW($B$10:$D$26)))*10+50</f>
        <v>#DIV/0!</v>
      </c>
      <c r="CJ84" s="8"/>
      <c r="CK84" s="48">
        <v>50</v>
      </c>
      <c r="CL84" s="83">
        <f t="shared" si="73"/>
        <v>4</v>
      </c>
      <c r="CM84" s="15">
        <f>IF(AND(CK84&lt;&gt;"", CN84&lt;&gt;""), ROUND(100*(1-(CP83+CP84)/2/CQ$56), $B$39), "")</f>
        <v>68</v>
      </c>
      <c r="CN84" s="52">
        <v>179</v>
      </c>
      <c r="CO84" s="16">
        <f t="shared" si="64"/>
        <v>2.2535565907088002E-2</v>
      </c>
      <c r="CP84" s="17">
        <f>IF(AND(CK84&lt;&gt;"", CN84&lt;&gt;""), SUM(CN$59:CN84), "")</f>
        <v>2665</v>
      </c>
      <c r="CQ84" s="16">
        <f t="shared" si="65"/>
        <v>0.3355155482815057</v>
      </c>
      <c r="CR84" s="14"/>
      <c r="CS84" s="27">
        <v>24</v>
      </c>
      <c r="CT84" s="20" t="e" cm="1">
        <f t="array" aca="1" ref="CT84" ca="1">(CS84-INDIRECT(SUBSTITUTE(ADDRESS(1,COLUMN($C$9),4),"1","")&amp;SUMPRODUCT(($B$10:$D$26=INDIRECT(SUBSTITUTE(ADDRESS(1,COLUMN()-1,4),"1","")&amp;ROW()-28))*ROW($B$10:$D$26))))/INDIRECT(SUBSTITUTE(ADDRESS(1,COLUMN($D$9),4),"1","")&amp;SUMPRODUCT(($B$10:$D$26=INDIRECT(SUBSTITUTE(ADDRESS(1,COLUMN()-1,4),"1","")&amp;ROW()-28))*ROW($B$10:$D$26)))*10+50</f>
        <v>#DIV/0!</v>
      </c>
      <c r="CU84" s="8"/>
      <c r="CV84" s="49">
        <v>56</v>
      </c>
      <c r="CW84" s="83">
        <f t="shared" si="74"/>
        <v>3</v>
      </c>
      <c r="CX84" s="15">
        <f>IF(AND(CV84&lt;&gt;"", CY84&lt;&gt;""), ROUND(100*(1-(DA83+DA84)/2/DB$56), $B$39), "")</f>
        <v>80</v>
      </c>
      <c r="CY84" s="52">
        <v>88</v>
      </c>
      <c r="CZ84" s="16">
        <f t="shared" si="97"/>
        <v>1.6851780926847949E-2</v>
      </c>
      <c r="DA84" s="17">
        <f>IF(AND(CV84&lt;&gt;"", CY84&lt;&gt;""), SUM(CY$59:CY84), "")</f>
        <v>1096</v>
      </c>
      <c r="DB84" s="16">
        <f t="shared" si="98"/>
        <v>0.20988127154346994</v>
      </c>
    </row>
    <row r="85" spans="5:106" ht="16" customHeight="1" x14ac:dyDescent="0.2">
      <c r="E85" s="1"/>
      <c r="F85" s="86"/>
      <c r="G85" s="85">
        <v>9</v>
      </c>
      <c r="H85" s="36"/>
      <c r="I85" s="86"/>
      <c r="J85" s="85">
        <v>9</v>
      </c>
      <c r="K85" s="70"/>
      <c r="L85"/>
      <c r="M85"/>
      <c r="N85"/>
      <c r="O85" s="38"/>
      <c r="P85" s="83" t="str">
        <f t="shared" si="81"/>
        <v/>
      </c>
      <c r="Q85" s="164" t="str">
        <f t="shared" si="79"/>
        <v/>
      </c>
      <c r="R85" s="43"/>
      <c r="S85" s="16" t="str">
        <f t="shared" si="83"/>
        <v/>
      </c>
      <c r="T85" s="17" t="str">
        <f>IF(AND(O85&lt;&gt;"", R85&lt;&gt;""), SUM(R$4:R85), "")</f>
        <v/>
      </c>
      <c r="U85" s="16" t="str">
        <f t="shared" si="84"/>
        <v/>
      </c>
      <c r="W85" s="38">
        <v>66</v>
      </c>
      <c r="X85" s="83">
        <f t="shared" si="82"/>
        <v>9</v>
      </c>
      <c r="Y85" s="164">
        <f t="shared" si="80"/>
        <v>1</v>
      </c>
      <c r="Z85" s="43">
        <v>994</v>
      </c>
      <c r="AA85" s="16">
        <f t="shared" si="85"/>
        <v>2.5646649035670514E-3</v>
      </c>
      <c r="AB85" s="17">
        <f>IF(AND(W85&lt;&gt;"", Z85&lt;&gt;""), SUM(Z$4:Z85), "")</f>
        <v>385414</v>
      </c>
      <c r="AC85" s="16">
        <f t="shared" si="86"/>
        <v>0.99442430497323098</v>
      </c>
      <c r="AD85" s="1"/>
      <c r="AE85" s="19">
        <v>23</v>
      </c>
      <c r="AF85" s="20" t="e" cm="1">
        <f t="array" aca="1" ref="AF85" ca="1">(AE85-INDIRECT(SUBSTITUTE(ADDRESS(1,COLUMN($C$9),4),"1","")&amp;SUMPRODUCT(($B$10:$D$26=INDIRECT(SUBSTITUTE(ADDRESS(1,COLUMN()-1,4),"1","")&amp;ROW()-29))*ROW($B$10:$D$26))))/INDIRECT(SUBSTITUTE(ADDRESS(1,COLUMN($D$9),4),"1","")&amp;SUMPRODUCT(($B$10:$D$26=INDIRECT(SUBSTITUTE(ADDRESS(1,COLUMN()-1,4),"1","")&amp;ROW()-29))*ROW($B$10:$D$26)))*10+50</f>
        <v>#DIV/0!</v>
      </c>
      <c r="AG85" s="8"/>
      <c r="AH85" s="49">
        <v>41</v>
      </c>
      <c r="AI85" s="83">
        <f t="shared" si="68"/>
        <v>5</v>
      </c>
      <c r="AJ85" s="15">
        <f>IF(AND(AH85&lt;&gt;"", AK85&lt;&gt;""), ROUND(100*(1-(AM84+AM85)/2/AN$56), $B$39), "")</f>
        <v>39</v>
      </c>
      <c r="AK85" s="52">
        <v>534</v>
      </c>
      <c r="AL85" s="16">
        <f t="shared" si="87"/>
        <v>2.7914270778881339E-2</v>
      </c>
      <c r="AM85" s="17">
        <f>IF(AND(AH85&lt;&gt;"", AK85&lt;&gt;""), SUM(AK$59:AK85), "")</f>
        <v>11969</v>
      </c>
      <c r="AN85" s="16">
        <f t="shared" si="88"/>
        <v>0.62566649242028227</v>
      </c>
      <c r="AO85" s="14"/>
      <c r="AP85" s="19">
        <v>23</v>
      </c>
      <c r="AQ85" s="20" t="e" cm="1">
        <f t="array" aca="1" ref="AQ85" ca="1">(AP85-INDIRECT(SUBSTITUTE(ADDRESS(1,COLUMN($C$9),4),"1","")&amp;SUMPRODUCT(($B$10:$D$26=INDIRECT(SUBSTITUTE(ADDRESS(1,COLUMN()-1,4),"1","")&amp;ROW()-29))*ROW($B$10:$D$26))))/INDIRECT(SUBSTITUTE(ADDRESS(1,COLUMN($D$9),4),"1","")&amp;SUMPRODUCT(($B$10:$D$26=INDIRECT(SUBSTITUTE(ADDRESS(1,COLUMN()-1,4),"1","")&amp;ROW()-29))*ROW($B$10:$D$26)))*10+50</f>
        <v>#DIV/0!</v>
      </c>
      <c r="AR85" s="8"/>
      <c r="AS85" s="49">
        <v>42</v>
      </c>
      <c r="AT85" s="83">
        <f t="shared" si="69"/>
        <v>6</v>
      </c>
      <c r="AU85" s="15">
        <f>IF(AND(AS85&lt;&gt;"", AV85&lt;&gt;""), ROUND(100*(1-(AX84+AX85)/2/AY$56), $B$39), "")</f>
        <v>29</v>
      </c>
      <c r="AV85" s="52">
        <v>1261</v>
      </c>
      <c r="AW85" s="16">
        <f t="shared" si="89"/>
        <v>6.5858881286885676E-2</v>
      </c>
      <c r="AX85" s="17">
        <f>IF(AND(AS85&lt;&gt;"", AV85&lt;&gt;""), SUM(AV$59:AV85), "")</f>
        <v>14306</v>
      </c>
      <c r="AY85" s="16">
        <f t="shared" si="90"/>
        <v>0.74716665796208281</v>
      </c>
      <c r="AZ85" s="14"/>
      <c r="BA85" s="19">
        <v>23</v>
      </c>
      <c r="BB85" s="20" t="e" cm="1">
        <f t="array" aca="1" ref="BB85" ca="1">(BA85-INDIRECT(SUBSTITUTE(ADDRESS(1,COLUMN($C$9),4),"1","")&amp;SUMPRODUCT(($B$10:$D$26=INDIRECT(SUBSTITUTE(ADDRESS(1,COLUMN()-1,4),"1","")&amp;ROW()-29))*ROW($B$10:$D$26))))/INDIRECT(SUBSTITUTE(ADDRESS(1,COLUMN($D$9),4),"1","")&amp;SUMPRODUCT(($B$10:$D$26=INDIRECT(SUBSTITUTE(ADDRESS(1,COLUMN()-1,4),"1","")&amp;ROW()-29))*ROW($B$10:$D$26)))*10+50</f>
        <v>#DIV/0!</v>
      </c>
      <c r="BC85" s="8"/>
      <c r="BD85" s="49">
        <v>46</v>
      </c>
      <c r="BE85" s="83">
        <f t="shared" si="70"/>
        <v>5</v>
      </c>
      <c r="BF85" s="15">
        <f>IF(AND(BD85&lt;&gt;"", BG85&lt;&gt;""), ROUND(100*(1-(BI84+BI85)/2/BJ$56), $B$39), "")</f>
        <v>46</v>
      </c>
      <c r="BG85" s="52">
        <v>476</v>
      </c>
      <c r="BH85" s="16">
        <f t="shared" si="91"/>
        <v>3.2262437305137587E-2</v>
      </c>
      <c r="BI85" s="17">
        <f>IF(AND(BD85&lt;&gt;"", BG85&lt;&gt;""), SUM(BG$59:BG85), "")</f>
        <v>8232</v>
      </c>
      <c r="BJ85" s="16">
        <f t="shared" si="92"/>
        <v>0.55795038633590888</v>
      </c>
      <c r="BK85" s="14"/>
      <c r="BL85" s="27">
        <v>23</v>
      </c>
      <c r="BM85" s="20" t="e" cm="1">
        <f t="array" aca="1" ref="BM85" ca="1">(BL85-INDIRECT(SUBSTITUTE(ADDRESS(1,COLUMN($C$9),4),"1","")&amp;SUMPRODUCT(($B$10:$D$26=INDIRECT(SUBSTITUTE(ADDRESS(1,COLUMN()-1,4),"1","")&amp;ROW()-29))*ROW($B$10:$D$26))))/INDIRECT(SUBSTITUTE(ADDRESS(1,COLUMN($D$9),4),"1","")&amp;SUMPRODUCT(($B$10:$D$26=INDIRECT(SUBSTITUTE(ADDRESS(1,COLUMN()-1,4),"1","")&amp;ROW()-29))*ROW($B$10:$D$26)))*10+50</f>
        <v>#DIV/0!</v>
      </c>
      <c r="BN85" s="8"/>
      <c r="BO85" s="49">
        <v>53</v>
      </c>
      <c r="BP85" s="83">
        <f t="shared" si="71"/>
        <v>4</v>
      </c>
      <c r="BQ85" s="15">
        <f>IF(AND(BO85&lt;&gt;"", BR85&lt;&gt;""), ROUND(100*(1-(BT84+BT85)/2/BU$56), $B$39), "")</f>
        <v>74</v>
      </c>
      <c r="BR85" s="52">
        <v>61</v>
      </c>
      <c r="BS85" s="16">
        <f t="shared" si="93"/>
        <v>1.4995083579154375E-2</v>
      </c>
      <c r="BT85" s="17">
        <f>IF(AND(BO85&lt;&gt;"", BR85&lt;&gt;""), SUM(BR$59:BR85), "")</f>
        <v>1098</v>
      </c>
      <c r="BU85" s="16">
        <f t="shared" si="94"/>
        <v>0.26991150442477874</v>
      </c>
      <c r="BV85" s="14"/>
      <c r="BW85" s="27">
        <v>23</v>
      </c>
      <c r="BX85" s="20" t="e" cm="1">
        <f t="array" aca="1" ref="BX85" ca="1">(BW85-INDIRECT(SUBSTITUTE(ADDRESS(1,COLUMN($C$9),4),"1","")&amp;SUMPRODUCT(($B$10:$D$26=INDIRECT(SUBSTITUTE(ADDRESS(1,COLUMN()-1,4),"1","")&amp;ROW()-29))*ROW($B$10:$D$26))))/INDIRECT(SUBSTITUTE(ADDRESS(1,COLUMN($D$9),4),"1","")&amp;SUMPRODUCT(($B$10:$D$26=INDIRECT(SUBSTITUTE(ADDRESS(1,COLUMN()-1,4),"1","")&amp;ROW()-29))*ROW($B$10:$D$26)))*10+50</f>
        <v>#DIV/0!</v>
      </c>
      <c r="BY85" s="8"/>
      <c r="BZ85" s="49">
        <v>51</v>
      </c>
      <c r="CA85" s="83">
        <f t="shared" si="72"/>
        <v>4</v>
      </c>
      <c r="CB85" s="15">
        <f>IF(AND(BZ85&lt;&gt;"", CC85&lt;&gt;""), ROUND(100*(1-(CE84+CE85)/2/CF$56), $B$39), "")</f>
        <v>65</v>
      </c>
      <c r="CC85" s="52">
        <v>88</v>
      </c>
      <c r="CD85" s="16">
        <f t="shared" si="95"/>
        <v>1.920139646519747E-2</v>
      </c>
      <c r="CE85" s="17">
        <f>IF(AND(BZ85&lt;&gt;"", CC85&lt;&gt;""), SUM(CC$59:CC85), "")</f>
        <v>1636</v>
      </c>
      <c r="CF85" s="16">
        <f t="shared" si="96"/>
        <v>0.35697141610298933</v>
      </c>
      <c r="CG85" s="14"/>
      <c r="CH85" s="27">
        <v>23</v>
      </c>
      <c r="CI85" s="20" t="e" cm="1">
        <f t="array" aca="1" ref="CI85" ca="1">(CH85-INDIRECT(SUBSTITUTE(ADDRESS(1,COLUMN($C$9),4),"1","")&amp;SUMPRODUCT(($B$10:$D$26=INDIRECT(SUBSTITUTE(ADDRESS(1,COLUMN()-1,4),"1","")&amp;ROW()-29))*ROW($B$10:$D$26))))/INDIRECT(SUBSTITUTE(ADDRESS(1,COLUMN($D$9),4),"1","")&amp;SUMPRODUCT(($B$10:$D$26=INDIRECT(SUBSTITUTE(ADDRESS(1,COLUMN()-1,4),"1","")&amp;ROW()-29))*ROW($B$10:$D$26)))*10+50</f>
        <v>#DIV/0!</v>
      </c>
      <c r="CJ85" s="8"/>
      <c r="CK85" s="49">
        <v>49</v>
      </c>
      <c r="CL85" s="83">
        <f t="shared" si="73"/>
        <v>4</v>
      </c>
      <c r="CM85" s="15">
        <f>IF(AND(CK85&lt;&gt;"", CN85&lt;&gt;""), ROUND(100*(1-(CP84+CP85)/2/CQ$56), $B$39), "")</f>
        <v>64</v>
      </c>
      <c r="CN85" s="52">
        <v>428</v>
      </c>
      <c r="CO85" s="16">
        <f t="shared" si="64"/>
        <v>5.3883922951026057E-2</v>
      </c>
      <c r="CP85" s="17">
        <f>IF(AND(CK85&lt;&gt;"", CN85&lt;&gt;""), SUM(CN$59:CN85), "")</f>
        <v>3093</v>
      </c>
      <c r="CQ85" s="16">
        <f t="shared" si="65"/>
        <v>0.38939947123253177</v>
      </c>
      <c r="CR85" s="14"/>
      <c r="CS85" s="27">
        <v>23</v>
      </c>
      <c r="CT85" s="20" t="e" cm="1">
        <f t="array" aca="1" ref="CT85" ca="1">(CS85-INDIRECT(SUBSTITUTE(ADDRESS(1,COLUMN($C$9),4),"1","")&amp;SUMPRODUCT(($B$10:$D$26=INDIRECT(SUBSTITUTE(ADDRESS(1,COLUMN()-1,4),"1","")&amp;ROW()-29))*ROW($B$10:$D$26))))/INDIRECT(SUBSTITUTE(ADDRESS(1,COLUMN($D$9),4),"1","")&amp;SUMPRODUCT(($B$10:$D$26=INDIRECT(SUBSTITUTE(ADDRESS(1,COLUMN()-1,4),"1","")&amp;ROW()-29))*ROW($B$10:$D$26)))*10+50</f>
        <v>#DIV/0!</v>
      </c>
      <c r="CU85" s="8"/>
      <c r="CV85" s="49">
        <v>55</v>
      </c>
      <c r="CW85" s="83">
        <f t="shared" si="74"/>
        <v>3</v>
      </c>
      <c r="CX85" s="15">
        <f>IF(AND(CV85&lt;&gt;"", CY85&lt;&gt;""), ROUND(100*(1-(DA84+DA85)/2/DB$56), $B$39), "")</f>
        <v>78</v>
      </c>
      <c r="CY85" s="52">
        <v>103</v>
      </c>
      <c r="CZ85" s="16">
        <f t="shared" si="97"/>
        <v>1.9724243584833396E-2</v>
      </c>
      <c r="DA85" s="17">
        <f>IF(AND(CV85&lt;&gt;"", CY85&lt;&gt;""), SUM(CY$59:CY85), "")</f>
        <v>1199</v>
      </c>
      <c r="DB85" s="16">
        <f t="shared" si="98"/>
        <v>0.22960551512830332</v>
      </c>
    </row>
    <row r="86" spans="5:106" ht="16" customHeight="1" x14ac:dyDescent="0.2">
      <c r="E86" s="1"/>
      <c r="F86" s="1"/>
      <c r="G86" s="1"/>
      <c r="H86" s="1"/>
      <c r="I86" s="1"/>
      <c r="J86" s="1"/>
      <c r="K86" s="1"/>
      <c r="L86"/>
      <c r="M86"/>
      <c r="N86"/>
      <c r="O86" s="38"/>
      <c r="P86" s="83" t="str">
        <f t="shared" si="81"/>
        <v/>
      </c>
      <c r="Q86" s="164" t="str">
        <f t="shared" si="79"/>
        <v/>
      </c>
      <c r="R86" s="43"/>
      <c r="S86" s="16" t="str">
        <f t="shared" si="75"/>
        <v/>
      </c>
      <c r="T86" s="17" t="str">
        <f>IF(AND(O86&lt;&gt;"", R86&lt;&gt;""), SUM(R$4:R86), "")</f>
        <v/>
      </c>
      <c r="U86" s="16" t="str">
        <f t="shared" si="76"/>
        <v/>
      </c>
      <c r="W86" s="38">
        <v>65</v>
      </c>
      <c r="X86" s="83">
        <f t="shared" si="82"/>
        <v>9</v>
      </c>
      <c r="Y86" s="164">
        <f t="shared" si="80"/>
        <v>0</v>
      </c>
      <c r="Z86" s="43">
        <v>766</v>
      </c>
      <c r="AA86" s="16">
        <f t="shared" si="77"/>
        <v>1.9763916661291363E-3</v>
      </c>
      <c r="AB86" s="17">
        <f>IF(AND(W86&lt;&gt;"", Z86&lt;&gt;""), SUM(Z$4:Z86), "")</f>
        <v>386180</v>
      </c>
      <c r="AC86" s="16">
        <f t="shared" si="78"/>
        <v>0.99640069663936015</v>
      </c>
      <c r="AD86" s="1"/>
      <c r="AE86" s="19">
        <v>22</v>
      </c>
      <c r="AF86" s="20" t="e" cm="1">
        <f t="array" aca="1" ref="AF86" ca="1">(AE86-INDIRECT(SUBSTITUTE(ADDRESS(1,COLUMN($C$9),4),"1","")&amp;SUMPRODUCT(($B$10:$D$26=INDIRECT(SUBSTITUTE(ADDRESS(1,COLUMN()-1,4),"1","")&amp;ROW()-30))*ROW($B$10:$D$26))))/INDIRECT(SUBSTITUTE(ADDRESS(1,COLUMN($D$9),4),"1","")&amp;SUMPRODUCT(($B$10:$D$26=INDIRECT(SUBSTITUTE(ADDRESS(1,COLUMN()-1,4),"1","")&amp;ROW()-30))*ROW($B$10:$D$26)))*10+50</f>
        <v>#DIV/0!</v>
      </c>
      <c r="AG86" s="8"/>
      <c r="AH86" s="49">
        <v>40</v>
      </c>
      <c r="AI86" s="83">
        <f t="shared" si="68"/>
        <v>6</v>
      </c>
      <c r="AJ86" s="15">
        <f>IF(AND(AH86&lt;&gt;"", AK86&lt;&gt;""), ROUND(100*(1-(AM85+AM86)/2/AN$56), $B$39), "")</f>
        <v>36</v>
      </c>
      <c r="AK86" s="52">
        <v>582</v>
      </c>
      <c r="AL86" s="16">
        <f t="shared" si="54"/>
        <v>3.0423418714061682E-2</v>
      </c>
      <c r="AM86" s="17">
        <f>IF(AND(AH86&lt;&gt;"", AK86&lt;&gt;""), SUM(AK$59:AK86), "")</f>
        <v>12551</v>
      </c>
      <c r="AN86" s="16">
        <f t="shared" si="55"/>
        <v>0.65608991113434401</v>
      </c>
      <c r="AO86" s="14"/>
      <c r="AP86" s="19">
        <v>22</v>
      </c>
      <c r="AQ86" s="20" t="e" cm="1">
        <f t="array" aca="1" ref="AQ86" ca="1">(AP86-INDIRECT(SUBSTITUTE(ADDRESS(1,COLUMN($C$9),4),"1","")&amp;SUMPRODUCT(($B$10:$D$26=INDIRECT(SUBSTITUTE(ADDRESS(1,COLUMN()-1,4),"1","")&amp;ROW()-30))*ROW($B$10:$D$26))))/INDIRECT(SUBSTITUTE(ADDRESS(1,COLUMN($D$9),4),"1","")&amp;SUMPRODUCT(($B$10:$D$26=INDIRECT(SUBSTITUTE(ADDRESS(1,COLUMN()-1,4),"1","")&amp;ROW()-30))*ROW($B$10:$D$26)))*10+50</f>
        <v>#DIV/0!</v>
      </c>
      <c r="AR86" s="8"/>
      <c r="AS86" s="49">
        <v>41</v>
      </c>
      <c r="AT86" s="83">
        <f t="shared" si="69"/>
        <v>6</v>
      </c>
      <c r="AU86" s="15">
        <f>IF(AND(AS86&lt;&gt;"", AV86&lt;&gt;""), ROUND(100*(1-(AX85+AX86)/2/AY$56), $B$39), "")</f>
        <v>22</v>
      </c>
      <c r="AV86" s="52">
        <v>1197</v>
      </c>
      <c r="AW86" s="16">
        <f t="shared" si="56"/>
        <v>6.2516321094688465E-2</v>
      </c>
      <c r="AX86" s="17">
        <f>IF(AND(AS86&lt;&gt;"", AV86&lt;&gt;""), SUM(AV$59:AV86), "")</f>
        <v>15503</v>
      </c>
      <c r="AY86" s="16">
        <f t="shared" si="57"/>
        <v>0.80968297905677133</v>
      </c>
      <c r="AZ86" s="14"/>
      <c r="BA86" s="19">
        <v>22</v>
      </c>
      <c r="BB86" s="20" t="e" cm="1">
        <f t="array" aca="1" ref="BB86" ca="1">(BA86-INDIRECT(SUBSTITUTE(ADDRESS(1,COLUMN($C$9),4),"1","")&amp;SUMPRODUCT(($B$10:$D$26=INDIRECT(SUBSTITUTE(ADDRESS(1,COLUMN()-1,4),"1","")&amp;ROW()-30))*ROW($B$10:$D$26))))/INDIRECT(SUBSTITUTE(ADDRESS(1,COLUMN($D$9),4),"1","")&amp;SUMPRODUCT(($B$10:$D$26=INDIRECT(SUBSTITUTE(ADDRESS(1,COLUMN()-1,4),"1","")&amp;ROW()-30))*ROW($B$10:$D$26)))*10+50</f>
        <v>#DIV/0!</v>
      </c>
      <c r="BC86" s="8"/>
      <c r="BD86" s="49">
        <v>45</v>
      </c>
      <c r="BE86" s="83">
        <f t="shared" si="70"/>
        <v>5</v>
      </c>
      <c r="BF86" s="15">
        <f>IF(AND(BD86&lt;&gt;"", BG86&lt;&gt;""), ROUND(100*(1-(BI85+BI86)/2/BJ$56), $B$39), "")</f>
        <v>43</v>
      </c>
      <c r="BG86" s="52">
        <v>479</v>
      </c>
      <c r="BH86" s="16">
        <f t="shared" si="58"/>
        <v>3.2465771994035518E-2</v>
      </c>
      <c r="BI86" s="17">
        <f>IF(AND(BD86&lt;&gt;"", BG86&lt;&gt;""), SUM(BG$59:BG86), "")</f>
        <v>8711</v>
      </c>
      <c r="BJ86" s="16">
        <f t="shared" si="59"/>
        <v>0.59041615832994443</v>
      </c>
      <c r="BK86" s="14"/>
      <c r="BL86" s="27">
        <v>22</v>
      </c>
      <c r="BM86" s="20" t="e" cm="1">
        <f t="array" aca="1" ref="BM86" ca="1">(BL86-INDIRECT(SUBSTITUTE(ADDRESS(1,COLUMN($C$9),4),"1","")&amp;SUMPRODUCT(($B$10:$D$26=INDIRECT(SUBSTITUTE(ADDRESS(1,COLUMN()-1,4),"1","")&amp;ROW()-30))*ROW($B$10:$D$26))))/INDIRECT(SUBSTITUTE(ADDRESS(1,COLUMN($D$9),4),"1","")&amp;SUMPRODUCT(($B$10:$D$26=INDIRECT(SUBSTITUTE(ADDRESS(1,COLUMN()-1,4),"1","")&amp;ROW()-30))*ROW($B$10:$D$26)))*10+50</f>
        <v>#DIV/0!</v>
      </c>
      <c r="BN86" s="8"/>
      <c r="BO86" s="49">
        <v>52</v>
      </c>
      <c r="BP86" s="83">
        <f t="shared" si="71"/>
        <v>4</v>
      </c>
      <c r="BQ86" s="15">
        <f>IF(AND(BO86&lt;&gt;"", BR86&lt;&gt;""), ROUND(100*(1-(BT85+BT86)/2/BU$56), $B$39), "")</f>
        <v>72</v>
      </c>
      <c r="BR86" s="52">
        <v>64</v>
      </c>
      <c r="BS86" s="16">
        <f t="shared" si="60"/>
        <v>1.5732546705998034E-2</v>
      </c>
      <c r="BT86" s="17">
        <f>IF(AND(BO86&lt;&gt;"", BR86&lt;&gt;""), SUM(BR$59:BR86), "")</f>
        <v>1162</v>
      </c>
      <c r="BU86" s="16">
        <f t="shared" si="61"/>
        <v>0.28564405113077679</v>
      </c>
      <c r="BV86" s="14"/>
      <c r="BW86" s="27">
        <v>22</v>
      </c>
      <c r="BX86" s="20" t="e" cm="1">
        <f t="array" aca="1" ref="BX86" ca="1">(BW86-INDIRECT(SUBSTITUTE(ADDRESS(1,COLUMN($C$9),4),"1","")&amp;SUMPRODUCT(($B$10:$D$26=INDIRECT(SUBSTITUTE(ADDRESS(1,COLUMN()-1,4),"1","")&amp;ROW()-30))*ROW($B$10:$D$26))))/INDIRECT(SUBSTITUTE(ADDRESS(1,COLUMN($D$9),4),"1","")&amp;SUMPRODUCT(($B$10:$D$26=INDIRECT(SUBSTITUTE(ADDRESS(1,COLUMN()-1,4),"1","")&amp;ROW()-30))*ROW($B$10:$D$26)))*10+50</f>
        <v>#DIV/0!</v>
      </c>
      <c r="BY86" s="8"/>
      <c r="BZ86" s="49">
        <v>50</v>
      </c>
      <c r="CA86" s="83">
        <f t="shared" si="72"/>
        <v>4</v>
      </c>
      <c r="CB86" s="15">
        <f>IF(AND(BZ86&lt;&gt;"", CC86&lt;&gt;""), ROUND(100*(1-(CE85+CE86)/2/CF$56), $B$39), "")</f>
        <v>63</v>
      </c>
      <c r="CC86" s="52">
        <v>115</v>
      </c>
      <c r="CD86" s="16">
        <f t="shared" si="62"/>
        <v>2.5092734017019419E-2</v>
      </c>
      <c r="CE86" s="17">
        <f>IF(AND(BZ86&lt;&gt;"", CC86&lt;&gt;""), SUM(CC$59:CC86), "")</f>
        <v>1751</v>
      </c>
      <c r="CF86" s="16">
        <f t="shared" si="63"/>
        <v>0.38206415012000872</v>
      </c>
      <c r="CG86" s="14"/>
      <c r="CH86" s="27">
        <v>22</v>
      </c>
      <c r="CI86" s="20" t="e" cm="1">
        <f t="array" aca="1" ref="CI86" ca="1">(CH86-INDIRECT(SUBSTITUTE(ADDRESS(1,COLUMN($C$9),4),"1","")&amp;SUMPRODUCT(($B$10:$D$26=INDIRECT(SUBSTITUTE(ADDRESS(1,COLUMN()-1,4),"1","")&amp;ROW()-30))*ROW($B$10:$D$26))))/INDIRECT(SUBSTITUTE(ADDRESS(1,COLUMN($D$9),4),"1","")&amp;SUMPRODUCT(($B$10:$D$26=INDIRECT(SUBSTITUTE(ADDRESS(1,COLUMN()-1,4),"1","")&amp;ROW()-30))*ROW($B$10:$D$26)))*10+50</f>
        <v>#DIV/0!</v>
      </c>
      <c r="CJ86" s="8"/>
      <c r="CK86" s="49">
        <v>48</v>
      </c>
      <c r="CL86" s="83">
        <f t="shared" si="73"/>
        <v>4</v>
      </c>
      <c r="CM86" s="15">
        <f>IF(AND(CK86&lt;&gt;"", CN86&lt;&gt;""), ROUND(100*(1-(CP85+CP86)/2/CQ$56), $B$39), "")</f>
        <v>59</v>
      </c>
      <c r="CN86" s="52">
        <v>254</v>
      </c>
      <c r="CO86" s="16">
        <f t="shared" si="64"/>
        <v>3.1977842125141633E-2</v>
      </c>
      <c r="CP86" s="17">
        <f>IF(AND(CK86&lt;&gt;"", CN86&lt;&gt;""), SUM(CN$59:CN86), "")</f>
        <v>3347</v>
      </c>
      <c r="CQ86" s="16">
        <f t="shared" si="65"/>
        <v>0.42137731335767342</v>
      </c>
      <c r="CR86" s="14"/>
      <c r="CS86" s="27">
        <v>22</v>
      </c>
      <c r="CT86" s="20" t="e" cm="1">
        <f t="array" aca="1" ref="CT86" ca="1">(CS86-INDIRECT(SUBSTITUTE(ADDRESS(1,COLUMN($C$9),4),"1","")&amp;SUMPRODUCT(($B$10:$D$26=INDIRECT(SUBSTITUTE(ADDRESS(1,COLUMN()-1,4),"1","")&amp;ROW()-30))*ROW($B$10:$D$26))))/INDIRECT(SUBSTITUTE(ADDRESS(1,COLUMN($D$9),4),"1","")&amp;SUMPRODUCT(($B$10:$D$26=INDIRECT(SUBSTITUTE(ADDRESS(1,COLUMN()-1,4),"1","")&amp;ROW()-30))*ROW($B$10:$D$26)))*10+50</f>
        <v>#DIV/0!</v>
      </c>
      <c r="CU86" s="8"/>
      <c r="CV86" s="49">
        <v>54</v>
      </c>
      <c r="CW86" s="83">
        <f t="shared" si="74"/>
        <v>3</v>
      </c>
      <c r="CX86" s="15">
        <f>IF(AND(CV86&lt;&gt;"", CY86&lt;&gt;""), ROUND(100*(1-(DA85+DA86)/2/DB$56), $B$39), "")</f>
        <v>76</v>
      </c>
      <c r="CY86" s="52">
        <v>126</v>
      </c>
      <c r="CZ86" s="16">
        <f t="shared" si="66"/>
        <v>2.4128686327077747E-2</v>
      </c>
      <c r="DA86" s="17">
        <f>IF(AND(CV86&lt;&gt;"", CY86&lt;&gt;""), SUM(CY$59:CY86), "")</f>
        <v>1325</v>
      </c>
      <c r="DB86" s="16">
        <f t="shared" si="67"/>
        <v>0.25373420145538106</v>
      </c>
    </row>
    <row r="87" spans="5:106" ht="16" customHeight="1" thickBot="1" x14ac:dyDescent="0.25">
      <c r="E87" s="1"/>
      <c r="F87" s="117" t="s">
        <v>9</v>
      </c>
      <c r="G87" s="118"/>
      <c r="H87" s="36"/>
      <c r="I87" s="117" t="s">
        <v>32</v>
      </c>
      <c r="J87" s="118"/>
      <c r="K87" s="36"/>
      <c r="L87" s="36"/>
      <c r="M87" s="36"/>
      <c r="N87"/>
      <c r="O87" s="38"/>
      <c r="P87" s="83" t="str">
        <f t="shared" si="81"/>
        <v/>
      </c>
      <c r="Q87" s="164" t="str">
        <f t="shared" si="79"/>
        <v/>
      </c>
      <c r="R87" s="43"/>
      <c r="S87" s="16" t="str">
        <f t="shared" si="75"/>
        <v/>
      </c>
      <c r="T87" s="17" t="str">
        <f>IF(AND(O87&lt;&gt;"", R87&lt;&gt;""), SUM(R$4:R87), "")</f>
        <v/>
      </c>
      <c r="U87" s="16" t="str">
        <f t="shared" si="76"/>
        <v/>
      </c>
      <c r="W87" s="38">
        <v>64</v>
      </c>
      <c r="X87" s="83">
        <f t="shared" si="82"/>
        <v>9</v>
      </c>
      <c r="Y87" s="164">
        <f t="shared" si="80"/>
        <v>0</v>
      </c>
      <c r="Z87" s="43">
        <v>135</v>
      </c>
      <c r="AA87" s="16">
        <f t="shared" si="77"/>
        <v>3.4831968006192348E-4</v>
      </c>
      <c r="AB87" s="17">
        <f>IF(AND(W87&lt;&gt;"", Z87&lt;&gt;""), SUM(Z$4:Z87), "")</f>
        <v>386315</v>
      </c>
      <c r="AC87" s="16">
        <f t="shared" si="78"/>
        <v>0.99674901631942203</v>
      </c>
      <c r="AD87" s="1"/>
      <c r="AE87" s="19">
        <v>21</v>
      </c>
      <c r="AF87" s="20" t="e" cm="1">
        <f t="array" aca="1" ref="AF87" ca="1">(AE87-INDIRECT(SUBSTITUTE(ADDRESS(1,COLUMN($C$9),4),"1","")&amp;SUMPRODUCT(($B$10:$D$26=INDIRECT(SUBSTITUTE(ADDRESS(1,COLUMN()-1,4),"1","")&amp;ROW()-31))*ROW($B$10:$D$26))))/INDIRECT(SUBSTITUTE(ADDRESS(1,COLUMN($D$9),4),"1","")&amp;SUMPRODUCT(($B$10:$D$26=INDIRECT(SUBSTITUTE(ADDRESS(1,COLUMN()-1,4),"1","")&amp;ROW()-31))*ROW($B$10:$D$26)))*10+50</f>
        <v>#DIV/0!</v>
      </c>
      <c r="AG87" s="8"/>
      <c r="AH87" s="49">
        <v>39</v>
      </c>
      <c r="AI87" s="83">
        <f t="shared" si="68"/>
        <v>6</v>
      </c>
      <c r="AJ87" s="15">
        <f>IF(AND(AH87&lt;&gt;"", AK87&lt;&gt;""), ROUND(100*(1-(AM86+AM87)/2/AN$56), $B$39), "")</f>
        <v>33</v>
      </c>
      <c r="AK87" s="52">
        <v>652</v>
      </c>
      <c r="AL87" s="16">
        <f t="shared" si="54"/>
        <v>3.4082592786199684E-2</v>
      </c>
      <c r="AM87" s="17">
        <f>IF(AND(AH87&lt;&gt;"", AK87&lt;&gt;""), SUM(AK$59:AK87), "")</f>
        <v>13203</v>
      </c>
      <c r="AN87" s="16">
        <f t="shared" si="55"/>
        <v>0.69017250392054363</v>
      </c>
      <c r="AO87" s="14"/>
      <c r="AP87" s="19">
        <v>21</v>
      </c>
      <c r="AQ87" s="20" t="e" cm="1">
        <f t="array" aca="1" ref="AQ87" ca="1">(AP87-INDIRECT(SUBSTITUTE(ADDRESS(1,COLUMN($C$9),4),"1","")&amp;SUMPRODUCT(($B$10:$D$26=INDIRECT(SUBSTITUTE(ADDRESS(1,COLUMN()-1,4),"1","")&amp;ROW()-31))*ROW($B$10:$D$26))))/INDIRECT(SUBSTITUTE(ADDRESS(1,COLUMN($D$9),4),"1","")&amp;SUMPRODUCT(($B$10:$D$26=INDIRECT(SUBSTITUTE(ADDRESS(1,COLUMN()-1,4),"1","")&amp;ROW()-31))*ROW($B$10:$D$26)))*10+50</f>
        <v>#DIV/0!</v>
      </c>
      <c r="AR87" s="8"/>
      <c r="AS87" s="49">
        <v>40</v>
      </c>
      <c r="AT87" s="83">
        <f t="shared" si="69"/>
        <v>7</v>
      </c>
      <c r="AU87" s="15">
        <f>IF(AND(AS87&lt;&gt;"", AV87&lt;&gt;""), ROUND(100*(1-(AX86+AX87)/2/AY$56), $B$39), "")</f>
        <v>18</v>
      </c>
      <c r="AV87" s="52">
        <v>562</v>
      </c>
      <c r="AW87" s="16">
        <f t="shared" si="56"/>
        <v>2.935185668773176E-2</v>
      </c>
      <c r="AX87" s="17">
        <f>IF(AND(AS87&lt;&gt;"", AV87&lt;&gt;""), SUM(AV$59:AV87), "")</f>
        <v>16065</v>
      </c>
      <c r="AY87" s="16">
        <f t="shared" si="57"/>
        <v>0.8390348357445031</v>
      </c>
      <c r="AZ87" s="14"/>
      <c r="BA87" s="19">
        <v>21</v>
      </c>
      <c r="BB87" s="20" t="e" cm="1">
        <f t="array" aca="1" ref="BB87" ca="1">(BA87-INDIRECT(SUBSTITUTE(ADDRESS(1,COLUMN($C$9),4),"1","")&amp;SUMPRODUCT(($B$10:$D$26=INDIRECT(SUBSTITUTE(ADDRESS(1,COLUMN()-1,4),"1","")&amp;ROW()-31))*ROW($B$10:$D$26))))/INDIRECT(SUBSTITUTE(ADDRESS(1,COLUMN($D$9),4),"1","")&amp;SUMPRODUCT(($B$10:$D$26=INDIRECT(SUBSTITUTE(ADDRESS(1,COLUMN()-1,4),"1","")&amp;ROW()-31))*ROW($B$10:$D$26)))*10+50</f>
        <v>#DIV/0!</v>
      </c>
      <c r="BC87" s="8"/>
      <c r="BD87" s="49">
        <v>44</v>
      </c>
      <c r="BE87" s="83">
        <f t="shared" si="70"/>
        <v>5</v>
      </c>
      <c r="BF87" s="15">
        <f>IF(AND(BD87&lt;&gt;"", BG87&lt;&gt;""), ROUND(100*(1-(BI86+BI87)/2/BJ$56), $B$39), "")</f>
        <v>37</v>
      </c>
      <c r="BG87" s="52">
        <v>1155</v>
      </c>
      <c r="BH87" s="16">
        <f t="shared" si="58"/>
        <v>7.8283855225701499E-2</v>
      </c>
      <c r="BI87" s="17">
        <f>IF(AND(BD87&lt;&gt;"", BG87&lt;&gt;""), SUM(BG$59:BG87), "")</f>
        <v>9866</v>
      </c>
      <c r="BJ87" s="16">
        <f t="shared" si="59"/>
        <v>0.6687000135556459</v>
      </c>
      <c r="BK87" s="14"/>
      <c r="BL87" s="27">
        <v>21</v>
      </c>
      <c r="BM87" s="20" t="e" cm="1">
        <f t="array" aca="1" ref="BM87" ca="1">(BL87-INDIRECT(SUBSTITUTE(ADDRESS(1,COLUMN($C$9),4),"1","")&amp;SUMPRODUCT(($B$10:$D$26=INDIRECT(SUBSTITUTE(ADDRESS(1,COLUMN()-1,4),"1","")&amp;ROW()-31))*ROW($B$10:$D$26))))/INDIRECT(SUBSTITUTE(ADDRESS(1,COLUMN($D$9),4),"1","")&amp;SUMPRODUCT(($B$10:$D$26=INDIRECT(SUBSTITUTE(ADDRESS(1,COLUMN()-1,4),"1","")&amp;ROW()-31))*ROW($B$10:$D$26)))*10+50</f>
        <v>#DIV/0!</v>
      </c>
      <c r="BN87" s="8"/>
      <c r="BO87" s="49">
        <v>51</v>
      </c>
      <c r="BP87" s="83">
        <f t="shared" si="71"/>
        <v>4</v>
      </c>
      <c r="BQ87" s="15">
        <f>IF(AND(BO87&lt;&gt;"", BR87&lt;&gt;""), ROUND(100*(1-(BT86+BT87)/2/BU$56), $B$39), "")</f>
        <v>70</v>
      </c>
      <c r="BR87" s="52">
        <v>98</v>
      </c>
      <c r="BS87" s="16">
        <f t="shared" si="60"/>
        <v>2.4090462143559487E-2</v>
      </c>
      <c r="BT87" s="17">
        <f>IF(AND(BO87&lt;&gt;"", BR87&lt;&gt;""), SUM(BR$59:BR87), "")</f>
        <v>1260</v>
      </c>
      <c r="BU87" s="16">
        <f t="shared" si="61"/>
        <v>0.30973451327433627</v>
      </c>
      <c r="BV87" s="14"/>
      <c r="BW87" s="27">
        <v>21</v>
      </c>
      <c r="BX87" s="20" t="e" cm="1">
        <f t="array" aca="1" ref="BX87" ca="1">(BW87-INDIRECT(SUBSTITUTE(ADDRESS(1,COLUMN($C$9),4),"1","")&amp;SUMPRODUCT(($B$10:$D$26=INDIRECT(SUBSTITUTE(ADDRESS(1,COLUMN()-1,4),"1","")&amp;ROW()-31))*ROW($B$10:$D$26))))/INDIRECT(SUBSTITUTE(ADDRESS(1,COLUMN($D$9),4),"1","")&amp;SUMPRODUCT(($B$10:$D$26=INDIRECT(SUBSTITUTE(ADDRESS(1,COLUMN()-1,4),"1","")&amp;ROW()-31))*ROW($B$10:$D$26)))*10+50</f>
        <v>#DIV/0!</v>
      </c>
      <c r="BY87" s="8"/>
      <c r="BZ87" s="49">
        <v>49</v>
      </c>
      <c r="CA87" s="83">
        <f t="shared" si="72"/>
        <v>4</v>
      </c>
      <c r="CB87" s="15">
        <f>IF(AND(BZ87&lt;&gt;"", CC87&lt;&gt;""), ROUND(100*(1-(CE86+CE87)/2/CF$56), $B$39), "")</f>
        <v>61</v>
      </c>
      <c r="CC87" s="52">
        <v>104</v>
      </c>
      <c r="CD87" s="16">
        <f t="shared" si="62"/>
        <v>2.2692559458869735E-2</v>
      </c>
      <c r="CE87" s="17">
        <f>IF(AND(BZ87&lt;&gt;"", CC87&lt;&gt;""), SUM(CC$59:CC87), "")</f>
        <v>1855</v>
      </c>
      <c r="CF87" s="16">
        <f t="shared" si="63"/>
        <v>0.40475670957887844</v>
      </c>
      <c r="CG87" s="14"/>
      <c r="CH87" s="27">
        <v>21</v>
      </c>
      <c r="CI87" s="20" t="e" cm="1">
        <f t="array" aca="1" ref="CI87" ca="1">(CH87-INDIRECT(SUBSTITUTE(ADDRESS(1,COLUMN($C$9),4),"1","")&amp;SUMPRODUCT(($B$10:$D$26=INDIRECT(SUBSTITUTE(ADDRESS(1,COLUMN()-1,4),"1","")&amp;ROW()-31))*ROW($B$10:$D$26))))/INDIRECT(SUBSTITUTE(ADDRESS(1,COLUMN($D$9),4),"1","")&amp;SUMPRODUCT(($B$10:$D$26=INDIRECT(SUBSTITUTE(ADDRESS(1,COLUMN()-1,4),"1","")&amp;ROW()-31))*ROW($B$10:$D$26)))*10+50</f>
        <v>#DIV/0!</v>
      </c>
      <c r="CJ87" s="8"/>
      <c r="CK87" s="48">
        <v>47</v>
      </c>
      <c r="CL87" s="83">
        <f t="shared" si="73"/>
        <v>5</v>
      </c>
      <c r="CM87" s="15">
        <f>IF(AND(CK87&lt;&gt;"", CN87&lt;&gt;""), ROUND(100*(1-(CP86+CP87)/2/CQ$56), $B$39), "")</f>
        <v>56</v>
      </c>
      <c r="CN87" s="52">
        <v>323</v>
      </c>
      <c r="CO87" s="16">
        <f t="shared" si="64"/>
        <v>4.0664736245750975E-2</v>
      </c>
      <c r="CP87" s="17">
        <f>IF(AND(CK87&lt;&gt;"", CN87&lt;&gt;""), SUM(CN$59:CN87), "")</f>
        <v>3670</v>
      </c>
      <c r="CQ87" s="16">
        <f t="shared" si="65"/>
        <v>0.46204204960342438</v>
      </c>
      <c r="CR87" s="14"/>
      <c r="CS87" s="27">
        <v>21</v>
      </c>
      <c r="CT87" s="20" t="e" cm="1">
        <f t="array" aca="1" ref="CT87" ca="1">(CS87-INDIRECT(SUBSTITUTE(ADDRESS(1,COLUMN($C$9),4),"1","")&amp;SUMPRODUCT(($B$10:$D$26=INDIRECT(SUBSTITUTE(ADDRESS(1,COLUMN()-1,4),"1","")&amp;ROW()-31))*ROW($B$10:$D$26))))/INDIRECT(SUBSTITUTE(ADDRESS(1,COLUMN($D$9),4),"1","")&amp;SUMPRODUCT(($B$10:$D$26=INDIRECT(SUBSTITUTE(ADDRESS(1,COLUMN()-1,4),"1","")&amp;ROW()-31))*ROW($B$10:$D$26)))*10+50</f>
        <v>#DIV/0!</v>
      </c>
      <c r="CU87" s="8"/>
      <c r="CV87" s="49">
        <v>53</v>
      </c>
      <c r="CW87" s="83">
        <f t="shared" si="74"/>
        <v>4</v>
      </c>
      <c r="CX87" s="15">
        <f>IF(AND(CV87&lt;&gt;"", CY87&lt;&gt;""), ROUND(100*(1-(DA86+DA87)/2/DB$56), $B$39), "")</f>
        <v>73</v>
      </c>
      <c r="CY87" s="52">
        <v>151</v>
      </c>
      <c r="CZ87" s="16">
        <f t="shared" si="66"/>
        <v>2.8916124090386824E-2</v>
      </c>
      <c r="DA87" s="17">
        <f>IF(AND(CV87&lt;&gt;"", CY87&lt;&gt;""), SUM(CY$59:CY87), "")</f>
        <v>1476</v>
      </c>
      <c r="DB87" s="16">
        <f t="shared" si="67"/>
        <v>0.28265032554576791</v>
      </c>
    </row>
    <row r="88" spans="5:106" ht="16" customHeight="1" x14ac:dyDescent="0.2">
      <c r="E88" s="1"/>
      <c r="F88" s="30" t="s">
        <v>30</v>
      </c>
      <c r="G88" s="30" t="s">
        <v>14</v>
      </c>
      <c r="H88" s="36"/>
      <c r="I88" s="30" t="s">
        <v>30</v>
      </c>
      <c r="J88" s="30" t="s">
        <v>14</v>
      </c>
      <c r="K88" s="36"/>
      <c r="L88" s="36"/>
      <c r="M88" s="36"/>
      <c r="N88"/>
      <c r="O88" s="38"/>
      <c r="P88" s="83" t="str">
        <f t="shared" si="81"/>
        <v/>
      </c>
      <c r="Q88" s="164" t="str">
        <f t="shared" si="79"/>
        <v/>
      </c>
      <c r="R88" s="43"/>
      <c r="S88" s="16" t="str">
        <f t="shared" si="75"/>
        <v/>
      </c>
      <c r="T88" s="17" t="str">
        <f>IF(AND(O88&lt;&gt;"", R88&lt;&gt;""), SUM(R$4:R88), "")</f>
        <v/>
      </c>
      <c r="U88" s="16" t="str">
        <f t="shared" si="76"/>
        <v/>
      </c>
      <c r="W88" s="38">
        <v>63</v>
      </c>
      <c r="X88" s="83">
        <f t="shared" si="82"/>
        <v>9</v>
      </c>
      <c r="Y88" s="164">
        <f t="shared" si="80"/>
        <v>0</v>
      </c>
      <c r="Z88" s="43">
        <v>1260</v>
      </c>
      <c r="AA88" s="16">
        <f t="shared" si="77"/>
        <v>3.2509836805779528E-3</v>
      </c>
      <c r="AB88" s="17">
        <f>IF(AND(W88&lt;&gt;"", Z88&lt;&gt;""), SUM(Z$4:Z88), "")</f>
        <v>387575</v>
      </c>
      <c r="AC88" s="16">
        <f t="shared" si="78"/>
        <v>1</v>
      </c>
      <c r="AD88" s="1"/>
      <c r="AE88" s="19">
        <v>20</v>
      </c>
      <c r="AF88" s="20" t="e" cm="1">
        <f t="array" aca="1" ref="AF88" ca="1">(AE88-INDIRECT(SUBSTITUTE(ADDRESS(1,COLUMN($C$9),4),"1","")&amp;SUMPRODUCT(($B$10:$D$26=INDIRECT(SUBSTITUTE(ADDRESS(1,COLUMN()-1,4),"1","")&amp;ROW()-32))*ROW($B$10:$D$26))))/INDIRECT(SUBSTITUTE(ADDRESS(1,COLUMN($D$9),4),"1","")&amp;SUMPRODUCT(($B$10:$D$26=INDIRECT(SUBSTITUTE(ADDRESS(1,COLUMN()-1,4),"1","")&amp;ROW()-32))*ROW($B$10:$D$26)))*10+50</f>
        <v>#DIV/0!</v>
      </c>
      <c r="AG88" s="8"/>
      <c r="AH88" s="49">
        <v>38</v>
      </c>
      <c r="AI88" s="83">
        <f t="shared" si="68"/>
        <v>6</v>
      </c>
      <c r="AJ88" s="15">
        <f>IF(AND(AH88&lt;&gt;"", AK88&lt;&gt;""), ROUND(100*(1-(AM87+AM88)/2/AN$56), $B$39), "")</f>
        <v>26</v>
      </c>
      <c r="AK88" s="52">
        <v>1951</v>
      </c>
      <c r="AL88" s="16">
        <f t="shared" si="54"/>
        <v>0.10198640878201777</v>
      </c>
      <c r="AM88" s="17">
        <f>IF(AND(AH88&lt;&gt;"", AK88&lt;&gt;""), SUM(AK$59:AK88), "")</f>
        <v>15154</v>
      </c>
      <c r="AN88" s="16">
        <f t="shared" si="55"/>
        <v>0.79215891270256145</v>
      </c>
      <c r="AO88" s="14"/>
      <c r="AP88" s="19">
        <v>20</v>
      </c>
      <c r="AQ88" s="20" t="e" cm="1">
        <f t="array" aca="1" ref="AQ88" ca="1">(AP88-INDIRECT(SUBSTITUTE(ADDRESS(1,COLUMN($C$9),4),"1","")&amp;SUMPRODUCT(($B$10:$D$26=INDIRECT(SUBSTITUTE(ADDRESS(1,COLUMN()-1,4),"1","")&amp;ROW()-32))*ROW($B$10:$D$26))))/INDIRECT(SUBSTITUTE(ADDRESS(1,COLUMN($D$9),4),"1","")&amp;SUMPRODUCT(($B$10:$D$26=INDIRECT(SUBSTITUTE(ADDRESS(1,COLUMN()-1,4),"1","")&amp;ROW()-32))*ROW($B$10:$D$26)))*10+50</f>
        <v>#DIV/0!</v>
      </c>
      <c r="AR88" s="8"/>
      <c r="AS88" s="49">
        <v>39</v>
      </c>
      <c r="AT88" s="83">
        <f t="shared" si="69"/>
        <v>7</v>
      </c>
      <c r="AU88" s="15">
        <f>IF(AND(AS88&lt;&gt;"", AV88&lt;&gt;""), ROUND(100*(1-(AX87+AX88)/2/AY$56), $B$39), "")</f>
        <v>15</v>
      </c>
      <c r="AV88" s="52">
        <v>509</v>
      </c>
      <c r="AW88" s="16">
        <f t="shared" si="56"/>
        <v>2.6583799028568444E-2</v>
      </c>
      <c r="AX88" s="17">
        <f>IF(AND(AS88&lt;&gt;"", AV88&lt;&gt;""), SUM(AV$59:AV88), "")</f>
        <v>16574</v>
      </c>
      <c r="AY88" s="16">
        <f t="shared" si="57"/>
        <v>0.86561863477307155</v>
      </c>
      <c r="AZ88" s="14"/>
      <c r="BA88" s="19">
        <v>20</v>
      </c>
      <c r="BB88" s="20" t="e" cm="1">
        <f t="array" aca="1" ref="BB88" ca="1">(BA88-INDIRECT(SUBSTITUTE(ADDRESS(1,COLUMN($C$9),4),"1","")&amp;SUMPRODUCT(($B$10:$D$26=INDIRECT(SUBSTITUTE(ADDRESS(1,COLUMN()-1,4),"1","")&amp;ROW()-32))*ROW($B$10:$D$26))))/INDIRECT(SUBSTITUTE(ADDRESS(1,COLUMN($D$9),4),"1","")&amp;SUMPRODUCT(($B$10:$D$26=INDIRECT(SUBSTITUTE(ADDRESS(1,COLUMN()-1,4),"1","")&amp;ROW()-32))*ROW($B$10:$D$26)))*10+50</f>
        <v>#DIV/0!</v>
      </c>
      <c r="BC88" s="8"/>
      <c r="BD88" s="49">
        <v>43</v>
      </c>
      <c r="BE88" s="83">
        <f t="shared" si="70"/>
        <v>6</v>
      </c>
      <c r="BF88" s="15">
        <f>IF(AND(BD88&lt;&gt;"", BG88&lt;&gt;""), ROUND(100*(1-(BI87+BI88)/2/BJ$56), $B$39), "")</f>
        <v>29</v>
      </c>
      <c r="BG88" s="52">
        <v>1180</v>
      </c>
      <c r="BH88" s="16">
        <f t="shared" si="58"/>
        <v>7.9978310966517557E-2</v>
      </c>
      <c r="BI88" s="17">
        <f>IF(AND(BD88&lt;&gt;"", BG88&lt;&gt;""), SUM(BG$59:BG88), "")</f>
        <v>11046</v>
      </c>
      <c r="BJ88" s="16">
        <f t="shared" si="59"/>
        <v>0.74867832452216343</v>
      </c>
      <c r="BK88" s="14"/>
      <c r="BL88" s="27">
        <v>20</v>
      </c>
      <c r="BM88" s="20" t="e" cm="1">
        <f t="array" aca="1" ref="BM88" ca="1">(BL88-INDIRECT(SUBSTITUTE(ADDRESS(1,COLUMN($C$9),4),"1","")&amp;SUMPRODUCT(($B$10:$D$26=INDIRECT(SUBSTITUTE(ADDRESS(1,COLUMN()-1,4),"1","")&amp;ROW()-32))*ROW($B$10:$D$26))))/INDIRECT(SUBSTITUTE(ADDRESS(1,COLUMN($D$9),4),"1","")&amp;SUMPRODUCT(($B$10:$D$26=INDIRECT(SUBSTITUTE(ADDRESS(1,COLUMN()-1,4),"1","")&amp;ROW()-32))*ROW($B$10:$D$26)))*10+50</f>
        <v>#DIV/0!</v>
      </c>
      <c r="BN88" s="8"/>
      <c r="BO88" s="49">
        <v>50</v>
      </c>
      <c r="BP88" s="83">
        <f t="shared" si="71"/>
        <v>4</v>
      </c>
      <c r="BQ88" s="15">
        <f>IF(AND(BO88&lt;&gt;"", BR88&lt;&gt;""), ROUND(100*(1-(BT87+BT88)/2/BU$56), $B$39), "")</f>
        <v>68</v>
      </c>
      <c r="BR88" s="52">
        <v>104</v>
      </c>
      <c r="BS88" s="16">
        <f t="shared" si="60"/>
        <v>2.5565388397246803E-2</v>
      </c>
      <c r="BT88" s="17">
        <f>IF(AND(BO88&lt;&gt;"", BR88&lt;&gt;""), SUM(BR$59:BR88), "")</f>
        <v>1364</v>
      </c>
      <c r="BU88" s="16">
        <f t="shared" si="61"/>
        <v>0.33529990167158308</v>
      </c>
      <c r="BV88" s="14"/>
      <c r="BW88" s="27">
        <v>20</v>
      </c>
      <c r="BX88" s="20" t="e" cm="1">
        <f t="array" aca="1" ref="BX88" ca="1">(BW88-INDIRECT(SUBSTITUTE(ADDRESS(1,COLUMN($C$9),4),"1","")&amp;SUMPRODUCT(($B$10:$D$26=INDIRECT(SUBSTITUTE(ADDRESS(1,COLUMN()-1,4),"1","")&amp;ROW()-32))*ROW($B$10:$D$26))))/INDIRECT(SUBSTITUTE(ADDRESS(1,COLUMN($D$9),4),"1","")&amp;SUMPRODUCT(($B$10:$D$26=INDIRECT(SUBSTITUTE(ADDRESS(1,COLUMN()-1,4),"1","")&amp;ROW()-32))*ROW($B$10:$D$26)))*10+50</f>
        <v>#DIV/0!</v>
      </c>
      <c r="BY88" s="8"/>
      <c r="BZ88" s="49">
        <v>48</v>
      </c>
      <c r="CA88" s="83">
        <f t="shared" si="72"/>
        <v>5</v>
      </c>
      <c r="CB88" s="15">
        <f>IF(AND(BZ88&lt;&gt;"", CC88&lt;&gt;""), ROUND(100*(1-(CE87+CE88)/2/CF$56), $B$39), "")</f>
        <v>58</v>
      </c>
      <c r="CC88" s="52">
        <v>147</v>
      </c>
      <c r="CD88" s="16">
        <f t="shared" si="62"/>
        <v>3.2075060004363956E-2</v>
      </c>
      <c r="CE88" s="17">
        <f>IF(AND(BZ88&lt;&gt;"", CC88&lt;&gt;""), SUM(CC$59:CC88), "")</f>
        <v>2002</v>
      </c>
      <c r="CF88" s="16">
        <f t="shared" si="63"/>
        <v>0.43683176958324244</v>
      </c>
      <c r="CG88" s="14"/>
      <c r="CH88" s="27">
        <v>20</v>
      </c>
      <c r="CI88" s="20" t="e" cm="1">
        <f t="array" aca="1" ref="CI88" ca="1">(CH88-INDIRECT(SUBSTITUTE(ADDRESS(1,COLUMN($C$9),4),"1","")&amp;SUMPRODUCT(($B$10:$D$26=INDIRECT(SUBSTITUTE(ADDRESS(1,COLUMN()-1,4),"1","")&amp;ROW()-32))*ROW($B$10:$D$26))))/INDIRECT(SUBSTITUTE(ADDRESS(1,COLUMN($D$9),4),"1","")&amp;SUMPRODUCT(($B$10:$D$26=INDIRECT(SUBSTITUTE(ADDRESS(1,COLUMN()-1,4),"1","")&amp;ROW()-32))*ROW($B$10:$D$26)))*10+50</f>
        <v>#DIV/0!</v>
      </c>
      <c r="CJ88" s="8"/>
      <c r="CK88" s="49">
        <v>46</v>
      </c>
      <c r="CL88" s="83">
        <f t="shared" si="73"/>
        <v>5</v>
      </c>
      <c r="CM88" s="15">
        <f>IF(AND(CK88&lt;&gt;"", CN88&lt;&gt;""), ROUND(100*(1-(CP87+CP88)/2/CQ$56), $B$39), "")</f>
        <v>49</v>
      </c>
      <c r="CN88" s="52">
        <v>723</v>
      </c>
      <c r="CO88" s="16">
        <f t="shared" si="64"/>
        <v>9.1023542742037014E-2</v>
      </c>
      <c r="CP88" s="17">
        <f>IF(AND(CK88&lt;&gt;"", CN88&lt;&gt;""), SUM(CN$59:CN88), "")</f>
        <v>4393</v>
      </c>
      <c r="CQ88" s="16">
        <f t="shared" si="65"/>
        <v>0.55306559234546138</v>
      </c>
      <c r="CR88" s="14"/>
      <c r="CS88" s="27">
        <v>20</v>
      </c>
      <c r="CT88" s="20" t="e" cm="1">
        <f t="array" aca="1" ref="CT88" ca="1">(CS88-INDIRECT(SUBSTITUTE(ADDRESS(1,COLUMN($C$9),4),"1","")&amp;SUMPRODUCT(($B$10:$D$26=INDIRECT(SUBSTITUTE(ADDRESS(1,COLUMN()-1,4),"1","")&amp;ROW()-32))*ROW($B$10:$D$26))))/INDIRECT(SUBSTITUTE(ADDRESS(1,COLUMN($D$9),4),"1","")&amp;SUMPRODUCT(($B$10:$D$26=INDIRECT(SUBSTITUTE(ADDRESS(1,COLUMN()-1,4),"1","")&amp;ROW()-32))*ROW($B$10:$D$26)))*10+50</f>
        <v>#DIV/0!</v>
      </c>
      <c r="CU88" s="8"/>
      <c r="CV88" s="49">
        <v>51</v>
      </c>
      <c r="CW88" s="83">
        <f t="shared" si="74"/>
        <v>4</v>
      </c>
      <c r="CX88" s="15">
        <f>IF(AND(CV88&lt;&gt;"", CY88&lt;&gt;""), ROUND(100*(1-(DA87+DA88)/2/DB$56), $B$39), "")</f>
        <v>70</v>
      </c>
      <c r="CY88" s="52">
        <v>176</v>
      </c>
      <c r="CZ88" s="16">
        <f t="shared" si="66"/>
        <v>3.3703561853695899E-2</v>
      </c>
      <c r="DA88" s="17">
        <f>IF(AND(CV88&lt;&gt;"", CY88&lt;&gt;""), SUM(CY$59:CY88), "")</f>
        <v>1652</v>
      </c>
      <c r="DB88" s="16">
        <f t="shared" si="67"/>
        <v>0.3163538873994638</v>
      </c>
    </row>
    <row r="89" spans="5:106" ht="16" customHeight="1" x14ac:dyDescent="0.2">
      <c r="E89" s="1"/>
      <c r="F89" s="86"/>
      <c r="G89" s="85">
        <v>1</v>
      </c>
      <c r="H89" s="36"/>
      <c r="I89" s="86"/>
      <c r="J89" s="85">
        <v>1</v>
      </c>
      <c r="K89" s="70"/>
      <c r="L89" s="70"/>
      <c r="M89" s="70"/>
      <c r="N89"/>
      <c r="O89" s="38"/>
      <c r="P89" s="83" t="str">
        <f t="shared" si="81"/>
        <v/>
      </c>
      <c r="Q89" s="164" t="str">
        <f t="shared" si="79"/>
        <v/>
      </c>
      <c r="R89" s="43"/>
      <c r="S89" s="16" t="str">
        <f t="shared" si="75"/>
        <v/>
      </c>
      <c r="T89" s="17" t="str">
        <f>IF(AND(O89&lt;&gt;"", R89&lt;&gt;""), SUM(R$4:R89), "")</f>
        <v/>
      </c>
      <c r="U89" s="16" t="str">
        <f t="shared" si="76"/>
        <v/>
      </c>
      <c r="W89" s="38"/>
      <c r="X89" s="83"/>
      <c r="Y89" s="164" t="str">
        <f t="shared" si="80"/>
        <v/>
      </c>
      <c r="Z89" s="43"/>
      <c r="AA89" s="16"/>
      <c r="AB89" s="17"/>
      <c r="AC89" s="16"/>
      <c r="AD89" s="1"/>
      <c r="AE89" s="19">
        <v>19</v>
      </c>
      <c r="AF89" s="20" t="e" cm="1">
        <f t="array" aca="1" ref="AF89" ca="1">(AE89-INDIRECT(SUBSTITUTE(ADDRESS(1,COLUMN($C$9),4),"1","")&amp;SUMPRODUCT(($B$10:$D$26=INDIRECT(SUBSTITUTE(ADDRESS(1,COLUMN()-1,4),"1","")&amp;ROW()-33))*ROW($B$10:$D$26))))/INDIRECT(SUBSTITUTE(ADDRESS(1,COLUMN($D$9),4),"1","")&amp;SUMPRODUCT(($B$10:$D$26=INDIRECT(SUBSTITUTE(ADDRESS(1,COLUMN()-1,4),"1","")&amp;ROW()-33))*ROW($B$10:$D$26)))*10+50</f>
        <v>#DIV/0!</v>
      </c>
      <c r="AG89" s="8"/>
      <c r="AH89" s="49">
        <v>37</v>
      </c>
      <c r="AI89" s="83">
        <f t="shared" si="68"/>
        <v>7</v>
      </c>
      <c r="AJ89" s="15">
        <f>IF(AND(AH89&lt;&gt;"", AK89&lt;&gt;""), ROUND(100*(1-(AM88+AM89)/2/AN$56), $B$39), "")</f>
        <v>19</v>
      </c>
      <c r="AK89" s="52">
        <v>591</v>
      </c>
      <c r="AL89" s="16">
        <f t="shared" si="54"/>
        <v>3.0893883951907997E-2</v>
      </c>
      <c r="AM89" s="17">
        <f>IF(AND(AH89&lt;&gt;"", AK89&lt;&gt;""), SUM(AK$59:AK89), "")</f>
        <v>15745</v>
      </c>
      <c r="AN89" s="16">
        <f t="shared" si="55"/>
        <v>0.8230527966544694</v>
      </c>
      <c r="AO89" s="14"/>
      <c r="AP89" s="19">
        <v>19</v>
      </c>
      <c r="AQ89" s="20" t="e" cm="1">
        <f t="array" aca="1" ref="AQ89" ca="1">(AP89-INDIRECT(SUBSTITUTE(ADDRESS(1,COLUMN($C$9),4),"1","")&amp;SUMPRODUCT(($B$10:$D$26=INDIRECT(SUBSTITUTE(ADDRESS(1,COLUMN()-1,4),"1","")&amp;ROW()-33))*ROW($B$10:$D$26))))/INDIRECT(SUBSTITUTE(ADDRESS(1,COLUMN($D$9),4),"1","")&amp;SUMPRODUCT(($B$10:$D$26=INDIRECT(SUBSTITUTE(ADDRESS(1,COLUMN()-1,4),"1","")&amp;ROW()-33))*ROW($B$10:$D$26)))*10+50</f>
        <v>#DIV/0!</v>
      </c>
      <c r="AR89" s="8"/>
      <c r="AS89" s="49">
        <v>38</v>
      </c>
      <c r="AT89" s="83">
        <f t="shared" si="69"/>
        <v>7</v>
      </c>
      <c r="AU89" s="15">
        <f>IF(AND(AS89&lt;&gt;"", AV89&lt;&gt;""), ROUND(100*(1-(AX88+AX89)/2/AY$56), $B$39), "")</f>
        <v>11</v>
      </c>
      <c r="AV89" s="52">
        <v>776</v>
      </c>
      <c r="AW89" s="16">
        <f t="shared" si="56"/>
        <v>4.0528542330391187E-2</v>
      </c>
      <c r="AX89" s="17">
        <f>IF(AND(AS89&lt;&gt;"", AV89&lt;&gt;""), SUM(AV$59:AV89), "")</f>
        <v>17350</v>
      </c>
      <c r="AY89" s="16">
        <f t="shared" si="57"/>
        <v>0.90614717710346271</v>
      </c>
      <c r="AZ89" s="14"/>
      <c r="BA89" s="19">
        <v>19</v>
      </c>
      <c r="BB89" s="20" t="e" cm="1">
        <f t="array" aca="1" ref="BB89" ca="1">(BA89-INDIRECT(SUBSTITUTE(ADDRESS(1,COLUMN($C$9),4),"1","")&amp;SUMPRODUCT(($B$10:$D$26=INDIRECT(SUBSTITUTE(ADDRESS(1,COLUMN()-1,4),"1","")&amp;ROW()-33))*ROW($B$10:$D$26))))/INDIRECT(SUBSTITUTE(ADDRESS(1,COLUMN($D$9),4),"1","")&amp;SUMPRODUCT(($B$10:$D$26=INDIRECT(SUBSTITUTE(ADDRESS(1,COLUMN()-1,4),"1","")&amp;ROW()-33))*ROW($B$10:$D$26)))*10+50</f>
        <v>#DIV/0!</v>
      </c>
      <c r="BC89" s="8"/>
      <c r="BD89" s="49">
        <v>42</v>
      </c>
      <c r="BE89" s="83">
        <f t="shared" si="70"/>
        <v>6</v>
      </c>
      <c r="BF89" s="15">
        <f>IF(AND(BD89&lt;&gt;"", BG89&lt;&gt;""), ROUND(100*(1-(BI88+BI89)/2/BJ$56), $B$39), "")</f>
        <v>23</v>
      </c>
      <c r="BG89" s="52">
        <v>519</v>
      </c>
      <c r="BH89" s="16">
        <f t="shared" si="58"/>
        <v>3.5176901179341198E-2</v>
      </c>
      <c r="BI89" s="17">
        <f>IF(AND(BD89&lt;&gt;"", BG89&lt;&gt;""), SUM(BG$59:BG89), "")</f>
        <v>11565</v>
      </c>
      <c r="BJ89" s="16">
        <f t="shared" si="59"/>
        <v>0.78385522570150468</v>
      </c>
      <c r="BK89" s="14"/>
      <c r="BL89" s="27">
        <v>19</v>
      </c>
      <c r="BM89" s="20" t="e" cm="1">
        <f t="array" aca="1" ref="BM89" ca="1">(BL89-INDIRECT(SUBSTITUTE(ADDRESS(1,COLUMN($C$9),4),"1","")&amp;SUMPRODUCT(($B$10:$D$26=INDIRECT(SUBSTITUTE(ADDRESS(1,COLUMN()-1,4),"1","")&amp;ROW()-33))*ROW($B$10:$D$26))))/INDIRECT(SUBSTITUTE(ADDRESS(1,COLUMN($D$9),4),"1","")&amp;SUMPRODUCT(($B$10:$D$26=INDIRECT(SUBSTITUTE(ADDRESS(1,COLUMN()-1,4),"1","")&amp;ROW()-33))*ROW($B$10:$D$26)))*10+50</f>
        <v>#DIV/0!</v>
      </c>
      <c r="BN89" s="8"/>
      <c r="BO89" s="49">
        <v>49</v>
      </c>
      <c r="BP89" s="83">
        <f t="shared" si="71"/>
        <v>4</v>
      </c>
      <c r="BQ89" s="15">
        <f>IF(AND(BO89&lt;&gt;"", BR89&lt;&gt;""), ROUND(100*(1-(BT88+BT89)/2/BU$56), $B$39), "")</f>
        <v>65</v>
      </c>
      <c r="BR89" s="52">
        <v>111</v>
      </c>
      <c r="BS89" s="16">
        <f t="shared" si="60"/>
        <v>2.7286135693215339E-2</v>
      </c>
      <c r="BT89" s="17">
        <f>IF(AND(BO89&lt;&gt;"", BR89&lt;&gt;""), SUM(BR$59:BR89), "")</f>
        <v>1475</v>
      </c>
      <c r="BU89" s="16">
        <f t="shared" si="61"/>
        <v>0.36258603736479844</v>
      </c>
      <c r="BV89" s="14"/>
      <c r="BW89" s="27">
        <v>19</v>
      </c>
      <c r="BX89" s="20" t="e" cm="1">
        <f t="array" aca="1" ref="BX89" ca="1">(BW89-INDIRECT(SUBSTITUTE(ADDRESS(1,COLUMN($C$9),4),"1","")&amp;SUMPRODUCT(($B$10:$D$26=INDIRECT(SUBSTITUTE(ADDRESS(1,COLUMN()-1,4),"1","")&amp;ROW()-33))*ROW($B$10:$D$26))))/INDIRECT(SUBSTITUTE(ADDRESS(1,COLUMN($D$9),4),"1","")&amp;SUMPRODUCT(($B$10:$D$26=INDIRECT(SUBSTITUTE(ADDRESS(1,COLUMN()-1,4),"1","")&amp;ROW()-33))*ROW($B$10:$D$26)))*10+50</f>
        <v>#DIV/0!</v>
      </c>
      <c r="BY89" s="8"/>
      <c r="BZ89" s="49">
        <v>47</v>
      </c>
      <c r="CA89" s="83">
        <f t="shared" si="72"/>
        <v>5</v>
      </c>
      <c r="CB89" s="15">
        <f>IF(AND(BZ89&lt;&gt;"", CC89&lt;&gt;""), ROUND(100*(1-(CE88+CE89)/2/CF$56), $B$39), "")</f>
        <v>55</v>
      </c>
      <c r="CC89" s="52">
        <v>142</v>
      </c>
      <c r="CD89" s="16">
        <f t="shared" si="62"/>
        <v>3.0984071568841372E-2</v>
      </c>
      <c r="CE89" s="17">
        <f>IF(AND(BZ89&lt;&gt;"", CC89&lt;&gt;""), SUM(CC$59:CC89), "")</f>
        <v>2144</v>
      </c>
      <c r="CF89" s="16">
        <f t="shared" si="63"/>
        <v>0.4678158411520838</v>
      </c>
      <c r="CG89" s="14"/>
      <c r="CH89" s="27">
        <v>19</v>
      </c>
      <c r="CI89" s="20" t="e" cm="1">
        <f t="array" aca="1" ref="CI89" ca="1">(CH89-INDIRECT(SUBSTITUTE(ADDRESS(1,COLUMN($C$9),4),"1","")&amp;SUMPRODUCT(($B$10:$D$26=INDIRECT(SUBSTITUTE(ADDRESS(1,COLUMN()-1,4),"1","")&amp;ROW()-33))*ROW($B$10:$D$26))))/INDIRECT(SUBSTITUTE(ADDRESS(1,COLUMN($D$9),4),"1","")&amp;SUMPRODUCT(($B$10:$D$26=INDIRECT(SUBSTITUTE(ADDRESS(1,COLUMN()-1,4),"1","")&amp;ROW()-33))*ROW($B$10:$D$26)))*10+50</f>
        <v>#DIV/0!</v>
      </c>
      <c r="CJ89" s="8"/>
      <c r="CK89" s="49">
        <v>45</v>
      </c>
      <c r="CL89" s="83">
        <f t="shared" si="73"/>
        <v>5</v>
      </c>
      <c r="CM89" s="15">
        <f>IF(AND(CK89&lt;&gt;"", CN89&lt;&gt;""), ROUND(100*(1-(CP88+CP89)/2/CQ$56), $B$39), "")</f>
        <v>41</v>
      </c>
      <c r="CN89" s="52">
        <v>539</v>
      </c>
      <c r="CO89" s="16">
        <f t="shared" si="64"/>
        <v>6.7858491753745434E-2</v>
      </c>
      <c r="CP89" s="17">
        <f>IF(AND(CK89&lt;&gt;"", CN89&lt;&gt;""), SUM(CN$59:CN89), "")</f>
        <v>4932</v>
      </c>
      <c r="CQ89" s="16">
        <f t="shared" si="65"/>
        <v>0.62092408409920685</v>
      </c>
      <c r="CR89" s="14"/>
      <c r="CS89" s="27">
        <v>19</v>
      </c>
      <c r="CT89" s="20" t="e" cm="1">
        <f t="array" aca="1" ref="CT89" ca="1">(CS89-INDIRECT(SUBSTITUTE(ADDRESS(1,COLUMN($C$9),4),"1","")&amp;SUMPRODUCT(($B$10:$D$26=INDIRECT(SUBSTITUTE(ADDRESS(1,COLUMN()-1,4),"1","")&amp;ROW()-33))*ROW($B$10:$D$26))))/INDIRECT(SUBSTITUTE(ADDRESS(1,COLUMN($D$9),4),"1","")&amp;SUMPRODUCT(($B$10:$D$26=INDIRECT(SUBSTITUTE(ADDRESS(1,COLUMN()-1,4),"1","")&amp;ROW()-33))*ROW($B$10:$D$26)))*10+50</f>
        <v>#DIV/0!</v>
      </c>
      <c r="CU89" s="8"/>
      <c r="CV89" s="49">
        <v>50</v>
      </c>
      <c r="CW89" s="83">
        <f t="shared" si="74"/>
        <v>4</v>
      </c>
      <c r="CX89" s="15">
        <f>IF(AND(CV89&lt;&gt;"", CY89&lt;&gt;""), ROUND(100*(1-(DA88+DA89)/2/DB$56), $B$39), "")</f>
        <v>66</v>
      </c>
      <c r="CY89" s="52">
        <v>199</v>
      </c>
      <c r="CZ89" s="16">
        <f t="shared" si="66"/>
        <v>3.8108004595940249E-2</v>
      </c>
      <c r="DA89" s="17">
        <f>IF(AND(CV89&lt;&gt;"", CY89&lt;&gt;""), SUM(CY$59:CY89), "")</f>
        <v>1851</v>
      </c>
      <c r="DB89" s="16">
        <f t="shared" si="67"/>
        <v>0.35446189199540407</v>
      </c>
    </row>
    <row r="90" spans="5:106" ht="16" customHeight="1" x14ac:dyDescent="0.2">
      <c r="E90" s="1"/>
      <c r="F90" s="86"/>
      <c r="G90" s="85">
        <v>2</v>
      </c>
      <c r="H90" s="36"/>
      <c r="I90" s="86"/>
      <c r="J90" s="85">
        <v>2</v>
      </c>
      <c r="K90" s="70"/>
      <c r="L90" s="70"/>
      <c r="M90" s="70"/>
      <c r="N90"/>
      <c r="O90" s="38"/>
      <c r="P90" s="83" t="str">
        <f t="shared" si="81"/>
        <v/>
      </c>
      <c r="Q90" s="164" t="str">
        <f t="shared" si="79"/>
        <v/>
      </c>
      <c r="R90" s="43"/>
      <c r="S90" s="16" t="str">
        <f t="shared" si="75"/>
        <v/>
      </c>
      <c r="T90" s="17" t="str">
        <f>IF(AND(O90&lt;&gt;"", R90&lt;&gt;""), SUM(R$4:R90), "")</f>
        <v/>
      </c>
      <c r="U90" s="16" t="str">
        <f t="shared" si="76"/>
        <v/>
      </c>
      <c r="W90" s="38"/>
      <c r="X90" s="83"/>
      <c r="Y90" s="164" t="str">
        <f t="shared" si="80"/>
        <v/>
      </c>
      <c r="Z90" s="43"/>
      <c r="AA90" s="16"/>
      <c r="AB90" s="17"/>
      <c r="AC90" s="16"/>
      <c r="AD90" s="1"/>
      <c r="AE90" s="19">
        <v>18</v>
      </c>
      <c r="AF90" s="20" t="e" cm="1">
        <f t="array" aca="1" ref="AF90" ca="1">(AE90-INDIRECT(SUBSTITUTE(ADDRESS(1,COLUMN($C$9),4),"1","")&amp;SUMPRODUCT(($B$10:$D$26=INDIRECT(SUBSTITUTE(ADDRESS(1,COLUMN()-1,4),"1","")&amp;ROW()-34))*ROW($B$10:$D$26))))/INDIRECT(SUBSTITUTE(ADDRESS(1,COLUMN($D$9),4),"1","")&amp;SUMPRODUCT(($B$10:$D$26=INDIRECT(SUBSTITUTE(ADDRESS(1,COLUMN()-1,4),"1","")&amp;ROW()-34))*ROW($B$10:$D$26)))*10+50</f>
        <v>#DIV/0!</v>
      </c>
      <c r="AG90" s="8"/>
      <c r="AH90" s="49">
        <v>36</v>
      </c>
      <c r="AI90" s="83">
        <f t="shared" si="68"/>
        <v>7</v>
      </c>
      <c r="AJ90" s="15">
        <f>IF(AND(AH90&lt;&gt;"", AK90&lt;&gt;""), ROUND(100*(1-(AM89+AM90)/2/AN$56), $B$39), "")</f>
        <v>16</v>
      </c>
      <c r="AK90" s="52">
        <v>611</v>
      </c>
      <c r="AL90" s="16">
        <f t="shared" si="54"/>
        <v>3.1939362258233142E-2</v>
      </c>
      <c r="AM90" s="17">
        <f>IF(AND(AH90&lt;&gt;"", AK90&lt;&gt;""), SUM(AK$59:AK90), "")</f>
        <v>16356</v>
      </c>
      <c r="AN90" s="16">
        <f t="shared" si="55"/>
        <v>0.85499215891270253</v>
      </c>
      <c r="AO90" s="14"/>
      <c r="AP90" s="19">
        <v>18</v>
      </c>
      <c r="AQ90" s="20" t="e" cm="1">
        <f t="array" aca="1" ref="AQ90" ca="1">(AP90-INDIRECT(SUBSTITUTE(ADDRESS(1,COLUMN($C$9),4),"1","")&amp;SUMPRODUCT(($B$10:$D$26=INDIRECT(SUBSTITUTE(ADDRESS(1,COLUMN()-1,4),"1","")&amp;ROW()-34))*ROW($B$10:$D$26))))/INDIRECT(SUBSTITUTE(ADDRESS(1,COLUMN($D$9),4),"1","")&amp;SUMPRODUCT(($B$10:$D$26=INDIRECT(SUBSTITUTE(ADDRESS(1,COLUMN()-1,4),"1","")&amp;ROW()-34))*ROW($B$10:$D$26)))*10+50</f>
        <v>#DIV/0!</v>
      </c>
      <c r="AR90" s="8"/>
      <c r="AS90" s="49">
        <v>37</v>
      </c>
      <c r="AT90" s="83">
        <f t="shared" si="69"/>
        <v>8</v>
      </c>
      <c r="AU90" s="15">
        <f>IF(AND(AS90&lt;&gt;"", AV90&lt;&gt;""), ROUND(100*(1-(AX89+AX90)/2/AY$56), $B$39), "")</f>
        <v>8</v>
      </c>
      <c r="AV90" s="52">
        <v>669</v>
      </c>
      <c r="AW90" s="16">
        <f t="shared" si="56"/>
        <v>3.4940199509061472E-2</v>
      </c>
      <c r="AX90" s="17">
        <f>IF(AND(AS90&lt;&gt;"", AV90&lt;&gt;""), SUM(AV$59:AV90), "")</f>
        <v>18019</v>
      </c>
      <c r="AY90" s="16">
        <f t="shared" si="57"/>
        <v>0.94108737661252417</v>
      </c>
      <c r="AZ90" s="14"/>
      <c r="BA90" s="19">
        <v>18</v>
      </c>
      <c r="BB90" s="20" t="e" cm="1">
        <f t="array" aca="1" ref="BB90" ca="1">(BA90-INDIRECT(SUBSTITUTE(ADDRESS(1,COLUMN($C$9),4),"1","")&amp;SUMPRODUCT(($B$10:$D$26=INDIRECT(SUBSTITUTE(ADDRESS(1,COLUMN()-1,4),"1","")&amp;ROW()-34))*ROW($B$10:$D$26))))/INDIRECT(SUBSTITUTE(ADDRESS(1,COLUMN($D$9),4),"1","")&amp;SUMPRODUCT(($B$10:$D$26=INDIRECT(SUBSTITUTE(ADDRESS(1,COLUMN()-1,4),"1","")&amp;ROW()-34))*ROW($B$10:$D$26)))*10+50</f>
        <v>#DIV/0!</v>
      </c>
      <c r="BC90" s="8"/>
      <c r="BD90" s="49">
        <v>41</v>
      </c>
      <c r="BE90" s="83">
        <f t="shared" si="70"/>
        <v>7</v>
      </c>
      <c r="BF90" s="15">
        <f>IF(AND(BD90&lt;&gt;"", BG90&lt;&gt;""), ROUND(100*(1-(BI89+BI90)/2/BJ$56), $B$39), "")</f>
        <v>20</v>
      </c>
      <c r="BG90" s="52">
        <v>546</v>
      </c>
      <c r="BH90" s="16">
        <f t="shared" si="58"/>
        <v>3.7006913379422531E-2</v>
      </c>
      <c r="BI90" s="17">
        <f>IF(AND(BD90&lt;&gt;"", BG90&lt;&gt;""), SUM(BG$59:BG90), "")</f>
        <v>12111</v>
      </c>
      <c r="BJ90" s="16">
        <f t="shared" si="59"/>
        <v>0.8208621390809272</v>
      </c>
      <c r="BK90" s="14"/>
      <c r="BL90" s="27">
        <v>18</v>
      </c>
      <c r="BM90" s="20" t="e" cm="1">
        <f t="array" aca="1" ref="BM90" ca="1">(BL90-INDIRECT(SUBSTITUTE(ADDRESS(1,COLUMN($C$9),4),"1","")&amp;SUMPRODUCT(($B$10:$D$26=INDIRECT(SUBSTITUTE(ADDRESS(1,COLUMN()-1,4),"1","")&amp;ROW()-34))*ROW($B$10:$D$26))))/INDIRECT(SUBSTITUTE(ADDRESS(1,COLUMN($D$9),4),"1","")&amp;SUMPRODUCT(($B$10:$D$26=INDIRECT(SUBSTITUTE(ADDRESS(1,COLUMN()-1,4),"1","")&amp;ROW()-34))*ROW($B$10:$D$26)))*10+50</f>
        <v>#DIV/0!</v>
      </c>
      <c r="BN90" s="8"/>
      <c r="BO90" s="49">
        <v>48</v>
      </c>
      <c r="BP90" s="83">
        <f t="shared" si="71"/>
        <v>4</v>
      </c>
      <c r="BQ90" s="15">
        <f>IF(AND(BO90&lt;&gt;"", BR90&lt;&gt;""), ROUND(100*(1-(BT89+BT90)/2/BU$56), $B$39), "")</f>
        <v>60</v>
      </c>
      <c r="BR90" s="52">
        <v>309</v>
      </c>
      <c r="BS90" s="16">
        <f t="shared" si="60"/>
        <v>7.5958702064896758E-2</v>
      </c>
      <c r="BT90" s="17">
        <f>IF(AND(BO90&lt;&gt;"", BR90&lt;&gt;""), SUM(BR$59:BR90), "")</f>
        <v>1784</v>
      </c>
      <c r="BU90" s="16">
        <f t="shared" si="61"/>
        <v>0.43854473942969519</v>
      </c>
      <c r="BV90" s="14"/>
      <c r="BW90" s="27">
        <v>18</v>
      </c>
      <c r="BX90" s="20" t="e" cm="1">
        <f t="array" aca="1" ref="BX90" ca="1">(BW90-INDIRECT(SUBSTITUTE(ADDRESS(1,COLUMN($C$9),4),"1","")&amp;SUMPRODUCT(($B$10:$D$26=INDIRECT(SUBSTITUTE(ADDRESS(1,COLUMN()-1,4),"1","")&amp;ROW()-34))*ROW($B$10:$D$26))))/INDIRECT(SUBSTITUTE(ADDRESS(1,COLUMN($D$9),4),"1","")&amp;SUMPRODUCT(($B$10:$D$26=INDIRECT(SUBSTITUTE(ADDRESS(1,COLUMN()-1,4),"1","")&amp;ROW()-34))*ROW($B$10:$D$26)))*10+50</f>
        <v>#DIV/0!</v>
      </c>
      <c r="BY90" s="8"/>
      <c r="BZ90" s="49">
        <v>46</v>
      </c>
      <c r="CA90" s="83">
        <f t="shared" si="72"/>
        <v>5</v>
      </c>
      <c r="CB90" s="15">
        <f>IF(AND(BZ90&lt;&gt;"", CC90&lt;&gt;""), ROUND(100*(1-(CE89+CE90)/2/CF$56), $B$39), "")</f>
        <v>52</v>
      </c>
      <c r="CC90" s="52">
        <v>146</v>
      </c>
      <c r="CD90" s="16">
        <f t="shared" si="62"/>
        <v>3.1856862317259434E-2</v>
      </c>
      <c r="CE90" s="17">
        <f>IF(AND(BZ90&lt;&gt;"", CC90&lt;&gt;""), SUM(CC$59:CC90), "")</f>
        <v>2290</v>
      </c>
      <c r="CF90" s="16">
        <f t="shared" si="63"/>
        <v>0.49967270346934323</v>
      </c>
      <c r="CG90" s="14"/>
      <c r="CH90" s="27">
        <v>18</v>
      </c>
      <c r="CI90" s="20" t="e" cm="1">
        <f t="array" aca="1" ref="CI90" ca="1">(CH90-INDIRECT(SUBSTITUTE(ADDRESS(1,COLUMN($C$9),4),"1","")&amp;SUMPRODUCT(($B$10:$D$26=INDIRECT(SUBSTITUTE(ADDRESS(1,COLUMN()-1,4),"1","")&amp;ROW()-34))*ROW($B$10:$D$26))))/INDIRECT(SUBSTITUTE(ADDRESS(1,COLUMN($D$9),4),"1","")&amp;SUMPRODUCT(($B$10:$D$26=INDIRECT(SUBSTITUTE(ADDRESS(1,COLUMN()-1,4),"1","")&amp;ROW()-34))*ROW($B$10:$D$26)))*10+50</f>
        <v>#DIV/0!</v>
      </c>
      <c r="CJ90" s="8"/>
      <c r="CK90" s="48">
        <v>44</v>
      </c>
      <c r="CL90" s="83">
        <f t="shared" si="73"/>
        <v>6</v>
      </c>
      <c r="CM90" s="15">
        <f>IF(AND(CK90&lt;&gt;"", CN90&lt;&gt;""), ROUND(100*(1-(CP89+CP90)/2/CQ$56), $B$39), "")</f>
        <v>36</v>
      </c>
      <c r="CN90" s="52">
        <v>381</v>
      </c>
      <c r="CO90" s="16">
        <f t="shared" si="64"/>
        <v>4.7966763187712452E-2</v>
      </c>
      <c r="CP90" s="17">
        <f>IF(AND(CK90&lt;&gt;"", CN90&lt;&gt;""), SUM(CN$59:CN90), "")</f>
        <v>5313</v>
      </c>
      <c r="CQ90" s="16">
        <f t="shared" si="65"/>
        <v>0.66889084728691928</v>
      </c>
      <c r="CR90" s="14"/>
      <c r="CS90" s="27">
        <v>18</v>
      </c>
      <c r="CT90" s="20" t="e" cm="1">
        <f t="array" aca="1" ref="CT90" ca="1">(CS90-INDIRECT(SUBSTITUTE(ADDRESS(1,COLUMN($C$9),4),"1","")&amp;SUMPRODUCT(($B$10:$D$26=INDIRECT(SUBSTITUTE(ADDRESS(1,COLUMN()-1,4),"1","")&amp;ROW()-34))*ROW($B$10:$D$26))))/INDIRECT(SUBSTITUTE(ADDRESS(1,COLUMN($D$9),4),"1","")&amp;SUMPRODUCT(($B$10:$D$26=INDIRECT(SUBSTITUTE(ADDRESS(1,COLUMN()-1,4),"1","")&amp;ROW()-34))*ROW($B$10:$D$26)))*10+50</f>
        <v>#DIV/0!</v>
      </c>
      <c r="CU90" s="8"/>
      <c r="CV90" s="49">
        <v>49</v>
      </c>
      <c r="CW90" s="83">
        <f t="shared" si="74"/>
        <v>4</v>
      </c>
      <c r="CX90" s="15">
        <f>IF(AND(CV90&lt;&gt;"", CY90&lt;&gt;""), ROUND(100*(1-(DA89+DA90)/2/DB$56), $B$39), "")</f>
        <v>63</v>
      </c>
      <c r="CY90" s="52">
        <v>204</v>
      </c>
      <c r="CZ90" s="16">
        <f t="shared" si="66"/>
        <v>3.9065492148602068E-2</v>
      </c>
      <c r="DA90" s="17">
        <f>IF(AND(CV90&lt;&gt;"", CY90&lt;&gt;""), SUM(CY$59:CY90), "")</f>
        <v>2055</v>
      </c>
      <c r="DB90" s="16">
        <f t="shared" si="67"/>
        <v>0.39352738414400612</v>
      </c>
    </row>
    <row r="91" spans="5:106" ht="16" customHeight="1" x14ac:dyDescent="0.2">
      <c r="E91" s="1"/>
      <c r="F91" s="86"/>
      <c r="G91" s="85">
        <v>3</v>
      </c>
      <c r="H91" s="36"/>
      <c r="I91" s="86"/>
      <c r="J91" s="85">
        <v>3</v>
      </c>
      <c r="K91" s="70"/>
      <c r="L91" s="70"/>
      <c r="M91" s="70"/>
      <c r="N91"/>
      <c r="O91" s="39"/>
      <c r="P91" s="83" t="str">
        <f t="shared" si="81"/>
        <v/>
      </c>
      <c r="Q91" s="164" t="str">
        <f t="shared" si="79"/>
        <v/>
      </c>
      <c r="R91" s="39"/>
      <c r="S91" s="16" t="str">
        <f t="shared" si="75"/>
        <v/>
      </c>
      <c r="T91" s="17" t="str">
        <f>IF(AND(O91&lt;&gt;"", R91&lt;&gt;""), SUM(R$4:R91), "")</f>
        <v/>
      </c>
      <c r="U91" s="16" t="str">
        <f t="shared" si="76"/>
        <v/>
      </c>
      <c r="W91" s="38"/>
      <c r="X91" s="83"/>
      <c r="Y91" s="164" t="str">
        <f t="shared" si="80"/>
        <v/>
      </c>
      <c r="Z91" s="43"/>
      <c r="AA91" s="16"/>
      <c r="AB91" s="17"/>
      <c r="AC91" s="16"/>
      <c r="AD91" s="1"/>
      <c r="AE91" s="19">
        <v>17</v>
      </c>
      <c r="AF91" s="20" t="e" cm="1">
        <f t="array" aca="1" ref="AF91" ca="1">(AE91-INDIRECT(SUBSTITUTE(ADDRESS(1,COLUMN($C$9),4),"1","")&amp;SUMPRODUCT(($B$10:$D$26=INDIRECT(SUBSTITUTE(ADDRESS(1,COLUMN()-1,4),"1","")&amp;ROW()-35))*ROW($B$10:$D$26))))/INDIRECT(SUBSTITUTE(ADDRESS(1,COLUMN($D$9),4),"1","")&amp;SUMPRODUCT(($B$10:$D$26=INDIRECT(SUBSTITUTE(ADDRESS(1,COLUMN()-1,4),"1","")&amp;ROW()-35))*ROW($B$10:$D$26)))*10+50</f>
        <v>#DIV/0!</v>
      </c>
      <c r="AG91" s="8"/>
      <c r="AH91" s="49">
        <v>35</v>
      </c>
      <c r="AI91" s="83">
        <f t="shared" si="68"/>
        <v>7</v>
      </c>
      <c r="AJ91" s="15">
        <f>IF(AND(AH91&lt;&gt;"", AK91&lt;&gt;""), ROUND(100*(1-(AM90+AM91)/2/AN$56), $B$39), "")</f>
        <v>13</v>
      </c>
      <c r="AK91" s="52">
        <v>521</v>
      </c>
      <c r="AL91" s="16">
        <f t="shared" ref="AL91:AL107" si="99">IF(AND(AH91&lt;&gt;"", AK91&lt;&gt;""), AK91/AN$56, "")</f>
        <v>2.7234709879769996E-2</v>
      </c>
      <c r="AM91" s="17">
        <f>IF(AND(AH91&lt;&gt;"", AK91&lt;&gt;""), SUM(AK$59:AK91), "")</f>
        <v>16877</v>
      </c>
      <c r="AN91" s="16">
        <f t="shared" ref="AN91:AN107" si="100">IF(AND(AH91&lt;&gt;"", AK91&lt;&gt;""), AM91/AN$56, "")</f>
        <v>0.88222686879247258</v>
      </c>
      <c r="AO91" s="14"/>
      <c r="AP91" s="19">
        <v>17</v>
      </c>
      <c r="AQ91" s="20" t="e" cm="1">
        <f t="array" aca="1" ref="AQ91" ca="1">(AP91-INDIRECT(SUBSTITUTE(ADDRESS(1,COLUMN($C$9),4),"1","")&amp;SUMPRODUCT(($B$10:$D$26=INDIRECT(SUBSTITUTE(ADDRESS(1,COLUMN()-1,4),"1","")&amp;ROW()-35))*ROW($B$10:$D$26))))/INDIRECT(SUBSTITUTE(ADDRESS(1,COLUMN($D$9),4),"1","")&amp;SUMPRODUCT(($B$10:$D$26=INDIRECT(SUBSTITUTE(ADDRESS(1,COLUMN()-1,4),"1","")&amp;ROW()-35))*ROW($B$10:$D$26)))*10+50</f>
        <v>#DIV/0!</v>
      </c>
      <c r="AR91" s="8"/>
      <c r="AS91" s="49">
        <v>36</v>
      </c>
      <c r="AT91" s="83">
        <f t="shared" si="69"/>
        <v>8</v>
      </c>
      <c r="AU91" s="15">
        <f>IF(AND(AS91&lt;&gt;"", AV91&lt;&gt;""), ROUND(100*(1-(AX90+AX91)/2/AY$56), $B$39), "")</f>
        <v>5</v>
      </c>
      <c r="AV91" s="52">
        <v>237</v>
      </c>
      <c r="AW91" s="16">
        <f t="shared" ref="AW91:AW107" si="101">IF(AND(AS91&lt;&gt;"", AV91&lt;&gt;""), AV91/AY$56, "")</f>
        <v>1.2377918211730296E-2</v>
      </c>
      <c r="AX91" s="17">
        <f>IF(AND(AS91&lt;&gt;"", AV91&lt;&gt;""), SUM(AV$59:AV91), "")</f>
        <v>18256</v>
      </c>
      <c r="AY91" s="16">
        <f t="shared" ref="AY91:AY107" si="102">IF(AND(AS91&lt;&gt;"", AV91&lt;&gt;""), AX91/AY$56, "")</f>
        <v>0.95346529482425446</v>
      </c>
      <c r="AZ91" s="14"/>
      <c r="BA91" s="19">
        <v>17</v>
      </c>
      <c r="BB91" s="20" t="e" cm="1">
        <f t="array" aca="1" ref="BB91" ca="1">(BA91-INDIRECT(SUBSTITUTE(ADDRESS(1,COLUMN($C$9),4),"1","")&amp;SUMPRODUCT(($B$10:$D$26=INDIRECT(SUBSTITUTE(ADDRESS(1,COLUMN()-1,4),"1","")&amp;ROW()-35))*ROW($B$10:$D$26))))/INDIRECT(SUBSTITUTE(ADDRESS(1,COLUMN($D$9),4),"1","")&amp;SUMPRODUCT(($B$10:$D$26=INDIRECT(SUBSTITUTE(ADDRESS(1,COLUMN()-1,4),"1","")&amp;ROW()-35))*ROW($B$10:$D$26)))*10+50</f>
        <v>#DIV/0!</v>
      </c>
      <c r="BC91" s="8"/>
      <c r="BD91" s="49">
        <v>40</v>
      </c>
      <c r="BE91" s="83">
        <f t="shared" si="70"/>
        <v>7</v>
      </c>
      <c r="BF91" s="15">
        <f>IF(AND(BD91&lt;&gt;"", BG91&lt;&gt;""), ROUND(100*(1-(BI90+BI91)/2/BJ$56), $B$39), "")</f>
        <v>13</v>
      </c>
      <c r="BG91" s="52">
        <v>1311</v>
      </c>
      <c r="BH91" s="16">
        <f t="shared" ref="BH91:BH107" si="103">IF(AND(BD91&lt;&gt;"", BG91&lt;&gt;""), BG91/BJ$56, "")</f>
        <v>8.8857259048393658E-2</v>
      </c>
      <c r="BI91" s="17">
        <f>IF(AND(BD91&lt;&gt;"", BG91&lt;&gt;""), SUM(BG$59:BG91), "")</f>
        <v>13422</v>
      </c>
      <c r="BJ91" s="16">
        <f t="shared" ref="BJ91:BJ107" si="104">IF(AND(BD91&lt;&gt;"", BG91&lt;&gt;""), BI91/BJ$56, "")</f>
        <v>0.9097193981293209</v>
      </c>
      <c r="BK91" s="14"/>
      <c r="BL91" s="27">
        <v>17</v>
      </c>
      <c r="BM91" s="20" t="e" cm="1">
        <f t="array" aca="1" ref="BM91" ca="1">(BL91-INDIRECT(SUBSTITUTE(ADDRESS(1,COLUMN($C$9),4),"1","")&amp;SUMPRODUCT(($B$10:$D$26=INDIRECT(SUBSTITUTE(ADDRESS(1,COLUMN()-1,4),"1","")&amp;ROW()-35))*ROW($B$10:$D$26))))/INDIRECT(SUBSTITUTE(ADDRESS(1,COLUMN($D$9),4),"1","")&amp;SUMPRODUCT(($B$10:$D$26=INDIRECT(SUBSTITUTE(ADDRESS(1,COLUMN()-1,4),"1","")&amp;ROW()-35))*ROW($B$10:$D$26)))*10+50</f>
        <v>#DIV/0!</v>
      </c>
      <c r="BN91" s="8"/>
      <c r="BO91" s="49">
        <v>47</v>
      </c>
      <c r="BP91" s="83">
        <f t="shared" si="71"/>
        <v>5</v>
      </c>
      <c r="BQ91" s="15">
        <f>IF(AND(BO91&lt;&gt;"", BR91&lt;&gt;""), ROUND(100*(1-(BT90+BT91)/2/BU$56), $B$39), "")</f>
        <v>54</v>
      </c>
      <c r="BR91" s="52">
        <v>207</v>
      </c>
      <c r="BS91" s="16">
        <f t="shared" ref="BS91:BS107" si="105">IF(AND(BO91&lt;&gt;"", BR91&lt;&gt;""), BR91/BU$56, "")</f>
        <v>5.0884955752212392E-2</v>
      </c>
      <c r="BT91" s="17">
        <f>IF(AND(BO91&lt;&gt;"", BR91&lt;&gt;""), SUM(BR$59:BR91), "")</f>
        <v>1991</v>
      </c>
      <c r="BU91" s="16">
        <f t="shared" ref="BU91:BU107" si="106">IF(AND(BO91&lt;&gt;"", BR91&lt;&gt;""), BT91/BU$56, "")</f>
        <v>0.4894296951819076</v>
      </c>
      <c r="BV91" s="14"/>
      <c r="BW91" s="27">
        <v>17</v>
      </c>
      <c r="BX91" s="20" t="e" cm="1">
        <f t="array" aca="1" ref="BX91" ca="1">(BW91-INDIRECT(SUBSTITUTE(ADDRESS(1,COLUMN($C$9),4),"1","")&amp;SUMPRODUCT(($B$10:$D$26=INDIRECT(SUBSTITUTE(ADDRESS(1,COLUMN()-1,4),"1","")&amp;ROW()-35))*ROW($B$10:$D$26))))/INDIRECT(SUBSTITUTE(ADDRESS(1,COLUMN($D$9),4),"1","")&amp;SUMPRODUCT(($B$10:$D$26=INDIRECT(SUBSTITUTE(ADDRESS(1,COLUMN()-1,4),"1","")&amp;ROW()-35))*ROW($B$10:$D$26)))*10+50</f>
        <v>#DIV/0!</v>
      </c>
      <c r="BY91" s="8"/>
      <c r="BZ91" s="49">
        <v>45</v>
      </c>
      <c r="CA91" s="83">
        <f t="shared" si="72"/>
        <v>5</v>
      </c>
      <c r="CB91" s="15">
        <f>IF(AND(BZ91&lt;&gt;"", CC91&lt;&gt;""), ROUND(100*(1-(CE90+CE91)/2/CF$56), $B$39), "")</f>
        <v>44</v>
      </c>
      <c r="CC91" s="52">
        <v>510</v>
      </c>
      <c r="CD91" s="16">
        <f t="shared" ref="CD91:CD107" si="107">IF(AND(BZ91&lt;&gt;"", CC91&lt;&gt;""), CC91/CF$56, "")</f>
        <v>0.11128082042330352</v>
      </c>
      <c r="CE91" s="17">
        <f>IF(AND(BZ91&lt;&gt;"", CC91&lt;&gt;""), SUM(CC$59:CC91), "")</f>
        <v>2800</v>
      </c>
      <c r="CF91" s="16">
        <f t="shared" ref="CF91:CF107" si="108">IF(AND(BZ91&lt;&gt;"", CC91&lt;&gt;""), CE91/CF$56, "")</f>
        <v>0.61095352389264679</v>
      </c>
      <c r="CG91" s="14"/>
      <c r="CH91" s="27">
        <v>17</v>
      </c>
      <c r="CI91" s="20" t="e" cm="1">
        <f t="array" aca="1" ref="CI91" ca="1">(CH91-INDIRECT(SUBSTITUTE(ADDRESS(1,COLUMN($C$9),4),"1","")&amp;SUMPRODUCT(($B$10:$D$26=INDIRECT(SUBSTITUTE(ADDRESS(1,COLUMN()-1,4),"1","")&amp;ROW()-35))*ROW($B$10:$D$26))))/INDIRECT(SUBSTITUTE(ADDRESS(1,COLUMN($D$9),4),"1","")&amp;SUMPRODUCT(($B$10:$D$26=INDIRECT(SUBSTITUTE(ADDRESS(1,COLUMN()-1,4),"1","")&amp;ROW()-35))*ROW($B$10:$D$26)))*10+50</f>
        <v>#DIV/0!</v>
      </c>
      <c r="CJ91" s="8"/>
      <c r="CK91" s="49">
        <v>43</v>
      </c>
      <c r="CL91" s="83">
        <f t="shared" si="73"/>
        <v>6</v>
      </c>
      <c r="CM91" s="15">
        <f>IF(AND(CK91&lt;&gt;"", CN91&lt;&gt;""), ROUND(100*(1-(CP90+CP91)/2/CQ$56), $B$39), "")</f>
        <v>27</v>
      </c>
      <c r="CN91" s="52">
        <v>939</v>
      </c>
      <c r="CO91" s="16">
        <f t="shared" si="64"/>
        <v>0.11821729825003148</v>
      </c>
      <c r="CP91" s="17">
        <f>IF(AND(CK91&lt;&gt;"", CN91&lt;&gt;""), SUM(CN$59:CN91), "")</f>
        <v>6252</v>
      </c>
      <c r="CQ91" s="16">
        <f t="shared" si="65"/>
        <v>0.78710814553695074</v>
      </c>
      <c r="CR91" s="14"/>
      <c r="CS91" s="27">
        <v>17</v>
      </c>
      <c r="CT91" s="20" t="e" cm="1">
        <f t="array" aca="1" ref="CT91" ca="1">(CS91-INDIRECT(SUBSTITUTE(ADDRESS(1,COLUMN($C$9),4),"1","")&amp;SUMPRODUCT(($B$10:$D$26=INDIRECT(SUBSTITUTE(ADDRESS(1,COLUMN()-1,4),"1","")&amp;ROW()-35))*ROW($B$10:$D$26))))/INDIRECT(SUBSTITUTE(ADDRESS(1,COLUMN($D$9),4),"1","")&amp;SUMPRODUCT(($B$10:$D$26=INDIRECT(SUBSTITUTE(ADDRESS(1,COLUMN()-1,4),"1","")&amp;ROW()-35))*ROW($B$10:$D$26)))*10+50</f>
        <v>#DIV/0!</v>
      </c>
      <c r="CU91" s="8"/>
      <c r="CV91" s="49">
        <v>48</v>
      </c>
      <c r="CW91" s="83">
        <f t="shared" si="74"/>
        <v>4</v>
      </c>
      <c r="CX91" s="15">
        <f>IF(AND(CV91&lt;&gt;"", CY91&lt;&gt;""), ROUND(100*(1-(DA90+DA91)/2/DB$56), $B$39), "")</f>
        <v>58</v>
      </c>
      <c r="CY91" s="52">
        <v>242</v>
      </c>
      <c r="CZ91" s="16">
        <f t="shared" ref="CZ91:CZ107" si="109">IF(AND(CV91&lt;&gt;"", CY91&lt;&gt;""), CY91/DB$56, "")</f>
        <v>4.6342397548831862E-2</v>
      </c>
      <c r="DA91" s="17">
        <f>IF(AND(CV91&lt;&gt;"", CY91&lt;&gt;""), SUM(CY$59:CY91), "")</f>
        <v>2297</v>
      </c>
      <c r="DB91" s="16">
        <f t="shared" ref="DB91:DB107" si="110">IF(AND(CV91&lt;&gt;"", CY91&lt;&gt;""), DA91/DB$56, "")</f>
        <v>0.43986978169283797</v>
      </c>
    </row>
    <row r="92" spans="5:106" ht="16" customHeight="1" x14ac:dyDescent="0.2">
      <c r="E92" s="1"/>
      <c r="F92" s="86"/>
      <c r="G92" s="85">
        <v>4</v>
      </c>
      <c r="H92" s="36"/>
      <c r="I92" s="86"/>
      <c r="J92" s="85">
        <v>4</v>
      </c>
      <c r="K92" s="70"/>
      <c r="L92" s="70"/>
      <c r="M92" s="70"/>
      <c r="N92"/>
      <c r="O92" s="39"/>
      <c r="P92" s="83" t="str">
        <f t="shared" si="81"/>
        <v/>
      </c>
      <c r="Q92" s="164" t="str">
        <f t="shared" si="79"/>
        <v/>
      </c>
      <c r="R92" s="39"/>
      <c r="S92" s="16" t="str">
        <f t="shared" si="75"/>
        <v/>
      </c>
      <c r="T92" s="17" t="str">
        <f>IF(AND(O92&lt;&gt;"", R92&lt;&gt;""), SUM(R$4:R92), "")</f>
        <v/>
      </c>
      <c r="U92" s="16" t="str">
        <f t="shared" si="76"/>
        <v/>
      </c>
      <c r="W92" s="38"/>
      <c r="X92" s="83"/>
      <c r="Y92" s="164" t="str">
        <f t="shared" si="80"/>
        <v/>
      </c>
      <c r="Z92" s="43"/>
      <c r="AA92" s="16"/>
      <c r="AB92" s="17"/>
      <c r="AC92" s="16"/>
      <c r="AD92" s="1"/>
      <c r="AE92" s="19">
        <v>16</v>
      </c>
      <c r="AF92" s="20" t="e" cm="1">
        <f t="array" aca="1" ref="AF92" ca="1">(AE92-INDIRECT(SUBSTITUTE(ADDRESS(1,COLUMN($C$9),4),"1","")&amp;SUMPRODUCT(($B$10:$D$26=INDIRECT(SUBSTITUTE(ADDRESS(1,COLUMN()-1,4),"1","")&amp;ROW()-36))*ROW($B$10:$D$26))))/INDIRECT(SUBSTITUTE(ADDRESS(1,COLUMN($D$9),4),"1","")&amp;SUMPRODUCT(($B$10:$D$26=INDIRECT(SUBSTITUTE(ADDRESS(1,COLUMN()-1,4),"1","")&amp;ROW()-36))*ROW($B$10:$D$26)))*10+50</f>
        <v>#DIV/0!</v>
      </c>
      <c r="AG92" s="8"/>
      <c r="AH92" s="49">
        <v>34</v>
      </c>
      <c r="AI92" s="83">
        <f t="shared" si="68"/>
        <v>7</v>
      </c>
      <c r="AJ92" s="15">
        <f>IF(AND(AH92&lt;&gt;"", AK92&lt;&gt;""), ROUND(100*(1-(AM91+AM92)/2/AN$56), $B$39), "")</f>
        <v>10</v>
      </c>
      <c r="AK92" s="52">
        <v>514</v>
      </c>
      <c r="AL92" s="16">
        <f t="shared" si="99"/>
        <v>2.6868792472556195E-2</v>
      </c>
      <c r="AM92" s="17">
        <f>IF(AND(AH92&lt;&gt;"", AK92&lt;&gt;""), SUM(AK$59:AK92), "")</f>
        <v>17391</v>
      </c>
      <c r="AN92" s="16">
        <f t="shared" si="100"/>
        <v>0.90909566126502872</v>
      </c>
      <c r="AO92" s="14"/>
      <c r="AP92" s="19">
        <v>16</v>
      </c>
      <c r="AQ92" s="20" t="e" cm="1">
        <f t="array" aca="1" ref="AQ92" ca="1">(AP92-INDIRECT(SUBSTITUTE(ADDRESS(1,COLUMN($C$9),4),"1","")&amp;SUMPRODUCT(($B$10:$D$26=INDIRECT(SUBSTITUTE(ADDRESS(1,COLUMN()-1,4),"1","")&amp;ROW()-36))*ROW($B$10:$D$26))))/INDIRECT(SUBSTITUTE(ADDRESS(1,COLUMN($D$9),4),"1","")&amp;SUMPRODUCT(($B$10:$D$26=INDIRECT(SUBSTITUTE(ADDRESS(1,COLUMN()-1,4),"1","")&amp;ROW()-36))*ROW($B$10:$D$26)))*10+50</f>
        <v>#DIV/0!</v>
      </c>
      <c r="AR92" s="8"/>
      <c r="AS92" s="49">
        <v>35</v>
      </c>
      <c r="AT92" s="83">
        <f t="shared" si="69"/>
        <v>8</v>
      </c>
      <c r="AU92" s="15">
        <f>IF(AND(AS92&lt;&gt;"", AV92&lt;&gt;""), ROUND(100*(1-(AX91+AX92)/2/AY$56), $B$39), "")</f>
        <v>4</v>
      </c>
      <c r="AV92" s="52">
        <v>392</v>
      </c>
      <c r="AW92" s="16">
        <f t="shared" si="101"/>
        <v>2.0473181177207918E-2</v>
      </c>
      <c r="AX92" s="17">
        <f>IF(AND(AS92&lt;&gt;"", AV92&lt;&gt;""), SUM(AV$59:AV92), "")</f>
        <v>18648</v>
      </c>
      <c r="AY92" s="16">
        <f t="shared" si="102"/>
        <v>0.97393847600146233</v>
      </c>
      <c r="AZ92" s="14"/>
      <c r="BA92" s="19">
        <v>16</v>
      </c>
      <c r="BB92" s="20" t="e" cm="1">
        <f t="array" aca="1" ref="BB92" ca="1">(BA92-INDIRECT(SUBSTITUTE(ADDRESS(1,COLUMN($C$9),4),"1","")&amp;SUMPRODUCT(($B$10:$D$26=INDIRECT(SUBSTITUTE(ADDRESS(1,COLUMN()-1,4),"1","")&amp;ROW()-36))*ROW($B$10:$D$26))))/INDIRECT(SUBSTITUTE(ADDRESS(1,COLUMN($D$9),4),"1","")&amp;SUMPRODUCT(($B$10:$D$26=INDIRECT(SUBSTITUTE(ADDRESS(1,COLUMN()-1,4),"1","")&amp;ROW()-36))*ROW($B$10:$D$26)))*10+50</f>
        <v>#DIV/0!</v>
      </c>
      <c r="BC92" s="8"/>
      <c r="BD92" s="49">
        <v>39</v>
      </c>
      <c r="BE92" s="83">
        <f t="shared" si="70"/>
        <v>8</v>
      </c>
      <c r="BF92" s="15">
        <f>IF(AND(BD92&lt;&gt;"", BG92&lt;&gt;""), ROUND(100*(1-(BI91+BI92)/2/BJ$56), $B$39), "")</f>
        <v>8</v>
      </c>
      <c r="BG92" s="52">
        <v>302</v>
      </c>
      <c r="BH92" s="16">
        <f t="shared" si="103"/>
        <v>2.0469025349057882E-2</v>
      </c>
      <c r="BI92" s="17">
        <f>IF(AND(BD92&lt;&gt;"", BG92&lt;&gt;""), SUM(BG$59:BG92), "")</f>
        <v>13724</v>
      </c>
      <c r="BJ92" s="16">
        <f t="shared" si="104"/>
        <v>0.93018842347837871</v>
      </c>
      <c r="BK92" s="14"/>
      <c r="BL92" s="27">
        <v>16</v>
      </c>
      <c r="BM92" s="20" t="e" cm="1">
        <f t="array" aca="1" ref="BM92" ca="1">(BL92-INDIRECT(SUBSTITUTE(ADDRESS(1,COLUMN($C$9),4),"1","")&amp;SUMPRODUCT(($B$10:$D$26=INDIRECT(SUBSTITUTE(ADDRESS(1,COLUMN()-1,4),"1","")&amp;ROW()-36))*ROW($B$10:$D$26))))/INDIRECT(SUBSTITUTE(ADDRESS(1,COLUMN($D$9),4),"1","")&amp;SUMPRODUCT(($B$10:$D$26=INDIRECT(SUBSTITUTE(ADDRESS(1,COLUMN()-1,4),"1","")&amp;ROW()-36))*ROW($B$10:$D$26)))*10+50</f>
        <v>#DIV/0!</v>
      </c>
      <c r="BN92" s="8"/>
      <c r="BO92" s="49">
        <v>46</v>
      </c>
      <c r="BP92" s="83">
        <f t="shared" si="71"/>
        <v>5</v>
      </c>
      <c r="BQ92" s="15">
        <f>IF(AND(BO92&lt;&gt;"", BR92&lt;&gt;""), ROUND(100*(1-(BT91+BT92)/2/BU$56), $B$39), "")</f>
        <v>47</v>
      </c>
      <c r="BR92" s="52">
        <v>291</v>
      </c>
      <c r="BS92" s="16">
        <f t="shared" si="105"/>
        <v>7.1533923303834804E-2</v>
      </c>
      <c r="BT92" s="17">
        <f>IF(AND(BO92&lt;&gt;"", BR92&lt;&gt;""), SUM(BR$59:BR92), "")</f>
        <v>2282</v>
      </c>
      <c r="BU92" s="16">
        <f t="shared" si="106"/>
        <v>0.56096361848574239</v>
      </c>
      <c r="BV92" s="14"/>
      <c r="BW92" s="27">
        <v>16</v>
      </c>
      <c r="BX92" s="20" t="e" cm="1">
        <f t="array" aca="1" ref="BX92" ca="1">(BW92-INDIRECT(SUBSTITUTE(ADDRESS(1,COLUMN($C$9),4),"1","")&amp;SUMPRODUCT(($B$10:$D$26=INDIRECT(SUBSTITUTE(ADDRESS(1,COLUMN()-1,4),"1","")&amp;ROW()-36))*ROW($B$10:$D$26))))/INDIRECT(SUBSTITUTE(ADDRESS(1,COLUMN($D$9),4),"1","")&amp;SUMPRODUCT(($B$10:$D$26=INDIRECT(SUBSTITUTE(ADDRESS(1,COLUMN()-1,4),"1","")&amp;ROW()-36))*ROW($B$10:$D$26)))*10+50</f>
        <v>#DIV/0!</v>
      </c>
      <c r="BY92" s="8"/>
      <c r="BZ92" s="49">
        <v>44</v>
      </c>
      <c r="CA92" s="83">
        <f t="shared" si="72"/>
        <v>6</v>
      </c>
      <c r="CB92" s="15">
        <f>IF(AND(BZ92&lt;&gt;"", CC92&lt;&gt;""), ROUND(100*(1-(CE91+CE92)/2/CF$56), $B$39), "")</f>
        <v>37</v>
      </c>
      <c r="CC92" s="52">
        <v>188</v>
      </c>
      <c r="CD92" s="16">
        <f t="shared" si="107"/>
        <v>4.1021165175649139E-2</v>
      </c>
      <c r="CE92" s="17">
        <f>IF(AND(BZ92&lt;&gt;"", CC92&lt;&gt;""), SUM(CC$59:CC92), "")</f>
        <v>2988</v>
      </c>
      <c r="CF92" s="16">
        <f t="shared" si="108"/>
        <v>0.65197468906829592</v>
      </c>
      <c r="CG92" s="14"/>
      <c r="CH92" s="27">
        <v>16</v>
      </c>
      <c r="CI92" s="20" t="e" cm="1">
        <f t="array" aca="1" ref="CI92" ca="1">(CH92-INDIRECT(SUBSTITUTE(ADDRESS(1,COLUMN($C$9),4),"1","")&amp;SUMPRODUCT(($B$10:$D$26=INDIRECT(SUBSTITUTE(ADDRESS(1,COLUMN()-1,4),"1","")&amp;ROW()-36))*ROW($B$10:$D$26))))/INDIRECT(SUBSTITUTE(ADDRESS(1,COLUMN($D$9),4),"1","")&amp;SUMPRODUCT(($B$10:$D$26=INDIRECT(SUBSTITUTE(ADDRESS(1,COLUMN()-1,4),"1","")&amp;ROW()-36))*ROW($B$10:$D$26)))*10+50</f>
        <v>#DIV/0!</v>
      </c>
      <c r="CJ92" s="8"/>
      <c r="CK92" s="49">
        <v>42</v>
      </c>
      <c r="CL92" s="83">
        <f t="shared" si="73"/>
        <v>7</v>
      </c>
      <c r="CM92" s="15">
        <f>IF(AND(CK92&lt;&gt;"", CN92&lt;&gt;""), ROUND(100*(1-(CP91+CP92)/2/CQ$56), $B$39), "")</f>
        <v>17</v>
      </c>
      <c r="CN92" s="52">
        <v>677</v>
      </c>
      <c r="CO92" s="16">
        <f t="shared" si="64"/>
        <v>8.5232279994964119E-2</v>
      </c>
      <c r="CP92" s="17">
        <f>IF(AND(CK92&lt;&gt;"", CN92&lt;&gt;""), SUM(CN$59:CN92), "")</f>
        <v>6929</v>
      </c>
      <c r="CQ92" s="16">
        <f t="shared" si="65"/>
        <v>0.87234042553191493</v>
      </c>
      <c r="CR92" s="14"/>
      <c r="CS92" s="27">
        <v>16</v>
      </c>
      <c r="CT92" s="20" t="e" cm="1">
        <f t="array" aca="1" ref="CT92" ca="1">(CS92-INDIRECT(SUBSTITUTE(ADDRESS(1,COLUMN($C$9),4),"1","")&amp;SUMPRODUCT(($B$10:$D$26=INDIRECT(SUBSTITUTE(ADDRESS(1,COLUMN()-1,4),"1","")&amp;ROW()-36))*ROW($B$10:$D$26))))/INDIRECT(SUBSTITUTE(ADDRESS(1,COLUMN($D$9),4),"1","")&amp;SUMPRODUCT(($B$10:$D$26=INDIRECT(SUBSTITUTE(ADDRESS(1,COLUMN()-1,4),"1","")&amp;ROW()-36))*ROW($B$10:$D$26)))*10+50</f>
        <v>#DIV/0!</v>
      </c>
      <c r="CU92" s="8"/>
      <c r="CV92" s="49">
        <v>47</v>
      </c>
      <c r="CW92" s="83">
        <f t="shared" si="74"/>
        <v>5</v>
      </c>
      <c r="CX92" s="15">
        <f>IF(AND(CV92&lt;&gt;"", CY92&lt;&gt;""), ROUND(100*(1-(DA91+DA92)/2/DB$56), $B$39), "")</f>
        <v>52</v>
      </c>
      <c r="CY92" s="52">
        <v>434</v>
      </c>
      <c r="CZ92" s="16">
        <f t="shared" si="109"/>
        <v>8.3109919571045576E-2</v>
      </c>
      <c r="DA92" s="17">
        <f>IF(AND(CV92&lt;&gt;"", CY92&lt;&gt;""), SUM(CY$59:CY92), "")</f>
        <v>2731</v>
      </c>
      <c r="DB92" s="16">
        <f t="shared" si="110"/>
        <v>0.5229797012638836</v>
      </c>
    </row>
    <row r="93" spans="5:106" ht="16" customHeight="1" x14ac:dyDescent="0.2">
      <c r="E93" s="1"/>
      <c r="F93" s="86"/>
      <c r="G93" s="85">
        <v>5</v>
      </c>
      <c r="H93" s="36"/>
      <c r="I93" s="86"/>
      <c r="J93" s="85">
        <v>5</v>
      </c>
      <c r="K93" s="70"/>
      <c r="L93" s="70"/>
      <c r="M93" s="70"/>
      <c r="N93"/>
      <c r="O93" s="39"/>
      <c r="P93" s="83" t="str">
        <f t="shared" si="81"/>
        <v/>
      </c>
      <c r="Q93" s="164" t="str">
        <f t="shared" si="79"/>
        <v/>
      </c>
      <c r="R93" s="39"/>
      <c r="S93" s="16" t="str">
        <f t="shared" si="75"/>
        <v/>
      </c>
      <c r="T93" s="17" t="str">
        <f>IF(AND(O93&lt;&gt;"", R93&lt;&gt;""), SUM(R$4:R93), "")</f>
        <v/>
      </c>
      <c r="U93" s="16" t="str">
        <f t="shared" si="76"/>
        <v/>
      </c>
      <c r="W93" s="46"/>
      <c r="X93" s="83"/>
      <c r="Y93" s="164" t="str">
        <f t="shared" si="80"/>
        <v/>
      </c>
      <c r="Z93" s="47"/>
      <c r="AA93" s="16"/>
      <c r="AB93" s="17"/>
      <c r="AC93" s="16"/>
      <c r="AD93" s="1"/>
      <c r="AE93" s="19">
        <v>15</v>
      </c>
      <c r="AF93" s="20" t="e" cm="1">
        <f t="array" aca="1" ref="AF93" ca="1">(AE93-INDIRECT(SUBSTITUTE(ADDRESS(1,COLUMN($C$9),4),"1","")&amp;SUMPRODUCT(($B$10:$D$26=INDIRECT(SUBSTITUTE(ADDRESS(1,COLUMN()-1,4),"1","")&amp;ROW()-37))*ROW($B$10:$D$26))))/INDIRECT(SUBSTITUTE(ADDRESS(1,COLUMN($D$9),4),"1","")&amp;SUMPRODUCT(($B$10:$D$26=INDIRECT(SUBSTITUTE(ADDRESS(1,COLUMN()-1,4),"1","")&amp;ROW()-37))*ROW($B$10:$D$26)))*10+50</f>
        <v>#DIV/0!</v>
      </c>
      <c r="AG93" s="8"/>
      <c r="AH93" s="49">
        <v>33</v>
      </c>
      <c r="AI93" s="83">
        <f t="shared" si="68"/>
        <v>8</v>
      </c>
      <c r="AJ93" s="15">
        <f>IF(AND(AH93&lt;&gt;"", AK93&lt;&gt;""), ROUND(100*(1-(AM92+AM93)/2/AN$56), $B$39), "")</f>
        <v>6</v>
      </c>
      <c r="AK93" s="52">
        <v>1058</v>
      </c>
      <c r="AL93" s="16">
        <f t="shared" si="99"/>
        <v>5.5305802404600105E-2</v>
      </c>
      <c r="AM93" s="17">
        <f>IF(AND(AH93&lt;&gt;"", AK93&lt;&gt;""), SUM(AK$59:AK93), "")</f>
        <v>18449</v>
      </c>
      <c r="AN93" s="16">
        <f t="shared" si="100"/>
        <v>0.96440146366962887</v>
      </c>
      <c r="AO93" s="14"/>
      <c r="AP93" s="19">
        <v>15</v>
      </c>
      <c r="AQ93" s="20" t="e" cm="1">
        <f t="array" aca="1" ref="AQ93" ca="1">(AP93-INDIRECT(SUBSTITUTE(ADDRESS(1,COLUMN($C$9),4),"1","")&amp;SUMPRODUCT(($B$10:$D$26=INDIRECT(SUBSTITUTE(ADDRESS(1,COLUMN()-1,4),"1","")&amp;ROW()-37))*ROW($B$10:$D$26))))/INDIRECT(SUBSTITUTE(ADDRESS(1,COLUMN($D$9),4),"1","")&amp;SUMPRODUCT(($B$10:$D$26=INDIRECT(SUBSTITUTE(ADDRESS(1,COLUMN()-1,4),"1","")&amp;ROW()-37))*ROW($B$10:$D$26)))*10+50</f>
        <v>#DIV/0!</v>
      </c>
      <c r="AR93" s="8"/>
      <c r="AS93" s="49">
        <v>34</v>
      </c>
      <c r="AT93" s="83">
        <f t="shared" si="69"/>
        <v>9</v>
      </c>
      <c r="AU93" s="15">
        <f>IF(AND(AS93&lt;&gt;"", AV93&lt;&gt;""), ROUND(100*(1-(AX92+AX93)/2/AY$56), $B$39), "")</f>
        <v>2</v>
      </c>
      <c r="AV93" s="52">
        <v>93</v>
      </c>
      <c r="AW93" s="16">
        <f t="shared" si="101"/>
        <v>4.8571577792865727E-3</v>
      </c>
      <c r="AX93" s="17">
        <f>IF(AND(AS93&lt;&gt;"", AV93&lt;&gt;""), SUM(AV$59:AV93), "")</f>
        <v>18741</v>
      </c>
      <c r="AY93" s="16">
        <f t="shared" si="102"/>
        <v>0.97879563378074896</v>
      </c>
      <c r="AZ93" s="14"/>
      <c r="BA93" s="19">
        <v>15</v>
      </c>
      <c r="BB93" s="20" t="e" cm="1">
        <f t="array" aca="1" ref="BB93" ca="1">(BA93-INDIRECT(SUBSTITUTE(ADDRESS(1,COLUMN($C$9),4),"1","")&amp;SUMPRODUCT(($B$10:$D$26=INDIRECT(SUBSTITUTE(ADDRESS(1,COLUMN()-1,4),"1","")&amp;ROW()-37))*ROW($B$10:$D$26))))/INDIRECT(SUBSTITUTE(ADDRESS(1,COLUMN($D$9),4),"1","")&amp;SUMPRODUCT(($B$10:$D$26=INDIRECT(SUBSTITUTE(ADDRESS(1,COLUMN()-1,4),"1","")&amp;ROW()-37))*ROW($B$10:$D$26)))*10+50</f>
        <v>#DIV/0!</v>
      </c>
      <c r="BC93" s="8"/>
      <c r="BD93" s="49">
        <v>38</v>
      </c>
      <c r="BE93" s="83">
        <f t="shared" si="70"/>
        <v>8</v>
      </c>
      <c r="BF93" s="15">
        <f>IF(AND(BD93&lt;&gt;"", BG93&lt;&gt;""), ROUND(100*(1-(BI92+BI93)/2/BJ$56), $B$39), "")</f>
        <v>6</v>
      </c>
      <c r="BG93" s="52">
        <v>348</v>
      </c>
      <c r="BH93" s="16">
        <f t="shared" si="103"/>
        <v>2.3586823912159414E-2</v>
      </c>
      <c r="BI93" s="17">
        <f>IF(AND(BD93&lt;&gt;"", BG93&lt;&gt;""), SUM(BG$59:BG93), "")</f>
        <v>14072</v>
      </c>
      <c r="BJ93" s="16">
        <f t="shared" si="104"/>
        <v>0.95377524739053821</v>
      </c>
      <c r="BK93" s="14"/>
      <c r="BL93" s="27">
        <v>15</v>
      </c>
      <c r="BM93" s="20" t="e" cm="1">
        <f t="array" aca="1" ref="BM93" ca="1">(BL93-INDIRECT(SUBSTITUTE(ADDRESS(1,COLUMN($C$9),4),"1","")&amp;SUMPRODUCT(($B$10:$D$26=INDIRECT(SUBSTITUTE(ADDRESS(1,COLUMN()-1,4),"1","")&amp;ROW()-37))*ROW($B$10:$D$26))))/INDIRECT(SUBSTITUTE(ADDRESS(1,COLUMN($D$9),4),"1","")&amp;SUMPRODUCT(($B$10:$D$26=INDIRECT(SUBSTITUTE(ADDRESS(1,COLUMN()-1,4),"1","")&amp;ROW()-37))*ROW($B$10:$D$26)))*10+50</f>
        <v>#DIV/0!</v>
      </c>
      <c r="BN93" s="8"/>
      <c r="BO93" s="49">
        <v>45</v>
      </c>
      <c r="BP93" s="83">
        <f t="shared" si="71"/>
        <v>5</v>
      </c>
      <c r="BQ93" s="15">
        <f>IF(AND(BO93&lt;&gt;"", BR93&lt;&gt;""), ROUND(100*(1-(BT92+BT93)/2/BU$56), $B$39), "")</f>
        <v>42</v>
      </c>
      <c r="BR93" s="52">
        <v>177</v>
      </c>
      <c r="BS93" s="16">
        <f t="shared" si="105"/>
        <v>4.3510324483775814E-2</v>
      </c>
      <c r="BT93" s="17">
        <f>IF(AND(BO93&lt;&gt;"", BR93&lt;&gt;""), SUM(BR$59:BR93), "")</f>
        <v>2459</v>
      </c>
      <c r="BU93" s="16">
        <f t="shared" si="106"/>
        <v>0.60447394296951817</v>
      </c>
      <c r="BV93" s="14"/>
      <c r="BW93" s="27">
        <v>15</v>
      </c>
      <c r="BX93" s="20" t="e" cm="1">
        <f t="array" aca="1" ref="BX93" ca="1">(BW93-INDIRECT(SUBSTITUTE(ADDRESS(1,COLUMN($C$9),4),"1","")&amp;SUMPRODUCT(($B$10:$D$26=INDIRECT(SUBSTITUTE(ADDRESS(1,COLUMN()-1,4),"1","")&amp;ROW()-37))*ROW($B$10:$D$26))))/INDIRECT(SUBSTITUTE(ADDRESS(1,COLUMN($D$9),4),"1","")&amp;SUMPRODUCT(($B$10:$D$26=INDIRECT(SUBSTITUTE(ADDRESS(1,COLUMN()-1,4),"1","")&amp;ROW()-37))*ROW($B$10:$D$26)))*10+50</f>
        <v>#DIV/0!</v>
      </c>
      <c r="BY93" s="8"/>
      <c r="BZ93" s="49">
        <v>43</v>
      </c>
      <c r="CA93" s="83">
        <f t="shared" si="72"/>
        <v>6</v>
      </c>
      <c r="CB93" s="15">
        <f>IF(AND(BZ93&lt;&gt;"", CC93&lt;&gt;""), ROUND(100*(1-(CE92+CE93)/2/CF$56), $B$39), "")</f>
        <v>28</v>
      </c>
      <c r="CC93" s="52">
        <v>596</v>
      </c>
      <c r="CD93" s="16">
        <f t="shared" si="107"/>
        <v>0.13004582151429195</v>
      </c>
      <c r="CE93" s="17">
        <f>IF(AND(BZ93&lt;&gt;"", CC93&lt;&gt;""), SUM(CC$59:CC93), "")</f>
        <v>3584</v>
      </c>
      <c r="CF93" s="16">
        <f t="shared" si="108"/>
        <v>0.78202051058258781</v>
      </c>
      <c r="CG93" s="14"/>
      <c r="CH93" s="27">
        <v>15</v>
      </c>
      <c r="CI93" s="20" t="e" cm="1">
        <f t="array" aca="1" ref="CI93" ca="1">(CH93-INDIRECT(SUBSTITUTE(ADDRESS(1,COLUMN($C$9),4),"1","")&amp;SUMPRODUCT(($B$10:$D$26=INDIRECT(SUBSTITUTE(ADDRESS(1,COLUMN()-1,4),"1","")&amp;ROW()-37))*ROW($B$10:$D$26))))/INDIRECT(SUBSTITUTE(ADDRESS(1,COLUMN($D$9),4),"1","")&amp;SUMPRODUCT(($B$10:$D$26=INDIRECT(SUBSTITUTE(ADDRESS(1,COLUMN()-1,4),"1","")&amp;ROW()-37))*ROW($B$10:$D$26)))*10+50</f>
        <v>#DIV/0!</v>
      </c>
      <c r="CJ93" s="8"/>
      <c r="CK93" s="48">
        <v>41</v>
      </c>
      <c r="CL93" s="83">
        <f t="shared" si="73"/>
        <v>7</v>
      </c>
      <c r="CM93" s="15">
        <f>IF(AND(CK93&lt;&gt;"", CN93&lt;&gt;""), ROUND(100*(1-(CP92+CP93)/2/CQ$56), $B$39), "")</f>
        <v>10</v>
      </c>
      <c r="CN93" s="52">
        <v>502</v>
      </c>
      <c r="CO93" s="16">
        <f t="shared" si="64"/>
        <v>6.3200302152838977E-2</v>
      </c>
      <c r="CP93" s="17">
        <f>IF(AND(CK93&lt;&gt;"", CN93&lt;&gt;""), SUM(CN$59:CN93), "")</f>
        <v>7431</v>
      </c>
      <c r="CQ93" s="16">
        <f t="shared" si="65"/>
        <v>0.93554072768475383</v>
      </c>
      <c r="CR93" s="14"/>
      <c r="CS93" s="27">
        <v>15</v>
      </c>
      <c r="CT93" s="20" t="e" cm="1">
        <f t="array" aca="1" ref="CT93" ca="1">(CS93-INDIRECT(SUBSTITUTE(ADDRESS(1,COLUMN($C$9),4),"1","")&amp;SUMPRODUCT(($B$10:$D$26=INDIRECT(SUBSTITUTE(ADDRESS(1,COLUMN()-1,4),"1","")&amp;ROW()-37))*ROW($B$10:$D$26))))/INDIRECT(SUBSTITUTE(ADDRESS(1,COLUMN($D$9),4),"1","")&amp;SUMPRODUCT(($B$10:$D$26=INDIRECT(SUBSTITUTE(ADDRESS(1,COLUMN()-1,4),"1","")&amp;ROW()-37))*ROW($B$10:$D$26)))*10+50</f>
        <v>#DIV/0!</v>
      </c>
      <c r="CU93" s="8"/>
      <c r="CV93" s="49">
        <v>46</v>
      </c>
      <c r="CW93" s="83">
        <f t="shared" si="74"/>
        <v>5</v>
      </c>
      <c r="CX93" s="15">
        <f>IF(AND(CV93&lt;&gt;"", CY93&lt;&gt;""), ROUND(100*(1-(DA92+DA93)/2/DB$56), $B$39), "")</f>
        <v>45</v>
      </c>
      <c r="CY93" s="52">
        <v>269</v>
      </c>
      <c r="CZ93" s="16">
        <f t="shared" si="109"/>
        <v>5.1512830333205667E-2</v>
      </c>
      <c r="DA93" s="17">
        <f>IF(AND(CV93&lt;&gt;"", CY93&lt;&gt;""), SUM(CY$59:CY93), "")</f>
        <v>3000</v>
      </c>
      <c r="DB93" s="16">
        <f t="shared" si="110"/>
        <v>0.57449253159708924</v>
      </c>
    </row>
    <row r="94" spans="5:106" ht="16" customHeight="1" x14ac:dyDescent="0.2">
      <c r="E94" s="1"/>
      <c r="F94" s="86"/>
      <c r="G94" s="85">
        <v>6</v>
      </c>
      <c r="H94" s="36"/>
      <c r="I94" s="86"/>
      <c r="J94" s="85">
        <v>6</v>
      </c>
      <c r="K94" s="70"/>
      <c r="L94" s="70"/>
      <c r="M94" s="70"/>
      <c r="N94"/>
      <c r="O94" s="39"/>
      <c r="P94" s="83" t="str">
        <f t="shared" si="81"/>
        <v/>
      </c>
      <c r="Q94" s="164" t="str">
        <f t="shared" si="79"/>
        <v/>
      </c>
      <c r="R94" s="39"/>
      <c r="S94" s="16" t="str">
        <f t="shared" si="75"/>
        <v/>
      </c>
      <c r="T94" s="17" t="str">
        <f>IF(AND(O94&lt;&gt;"", R94&lt;&gt;""), SUM(R$4:R94), "")</f>
        <v/>
      </c>
      <c r="U94" s="16" t="str">
        <f t="shared" si="76"/>
        <v/>
      </c>
      <c r="W94" s="46"/>
      <c r="X94" s="83"/>
      <c r="Y94" s="164" t="str">
        <f t="shared" si="80"/>
        <v/>
      </c>
      <c r="Z94" s="47"/>
      <c r="AA94" s="16"/>
      <c r="AB94" s="17"/>
      <c r="AC94" s="16"/>
      <c r="AD94" s="1"/>
      <c r="AE94" s="19">
        <v>14</v>
      </c>
      <c r="AF94" s="20" t="e" cm="1">
        <f t="array" aca="1" ref="AF94" ca="1">(AE94-INDIRECT(SUBSTITUTE(ADDRESS(1,COLUMN($C$9),4),"1","")&amp;SUMPRODUCT(($B$10:$D$26=INDIRECT(SUBSTITUTE(ADDRESS(1,COLUMN()-1,4),"1","")&amp;ROW()-38))*ROW($B$10:$D$26))))/INDIRECT(SUBSTITUTE(ADDRESS(1,COLUMN($D$9),4),"1","")&amp;SUMPRODUCT(($B$10:$D$26=INDIRECT(SUBSTITUTE(ADDRESS(1,COLUMN()-1,4),"1","")&amp;ROW()-38))*ROW($B$10:$D$26)))*10+50</f>
        <v>#DIV/0!</v>
      </c>
      <c r="AG94" s="8"/>
      <c r="AH94" s="49">
        <v>32</v>
      </c>
      <c r="AI94" s="83">
        <f t="shared" si="68"/>
        <v>9</v>
      </c>
      <c r="AJ94" s="15">
        <f>IF(AND(AH94&lt;&gt;"", AK94&lt;&gt;""), ROUND(100*(1-(AM93+AM94)/2/AN$56), $B$39), "")</f>
        <v>3</v>
      </c>
      <c r="AK94" s="52">
        <v>166</v>
      </c>
      <c r="AL94" s="16">
        <f t="shared" si="99"/>
        <v>8.6774699424986938E-3</v>
      </c>
      <c r="AM94" s="17">
        <f>IF(AND(AH94&lt;&gt;"", AK94&lt;&gt;""), SUM(AK$59:AK94), "")</f>
        <v>18615</v>
      </c>
      <c r="AN94" s="16">
        <f t="shared" si="100"/>
        <v>0.97307893361212749</v>
      </c>
      <c r="AO94" s="14"/>
      <c r="AP94" s="19">
        <v>14</v>
      </c>
      <c r="AQ94" s="20" t="e" cm="1">
        <f t="array" aca="1" ref="AQ94" ca="1">(AP94-INDIRECT(SUBSTITUTE(ADDRESS(1,COLUMN($C$9),4),"1","")&amp;SUMPRODUCT(($B$10:$D$26=INDIRECT(SUBSTITUTE(ADDRESS(1,COLUMN()-1,4),"1","")&amp;ROW()-38))*ROW($B$10:$D$26))))/INDIRECT(SUBSTITUTE(ADDRESS(1,COLUMN($D$9),4),"1","")&amp;SUMPRODUCT(($B$10:$D$26=INDIRECT(SUBSTITUTE(ADDRESS(1,COLUMN()-1,4),"1","")&amp;ROW()-38))*ROW($B$10:$D$26)))*10+50</f>
        <v>#DIV/0!</v>
      </c>
      <c r="AR94" s="8"/>
      <c r="AS94" s="49">
        <v>33</v>
      </c>
      <c r="AT94" s="83">
        <f t="shared" si="69"/>
        <v>9</v>
      </c>
      <c r="AU94" s="15">
        <f>IF(AND(AS94&lt;&gt;"", AV94&lt;&gt;""), ROUND(100*(1-(AX93+AX94)/2/AY$56), $B$39), "")</f>
        <v>2</v>
      </c>
      <c r="AV94" s="52">
        <v>75</v>
      </c>
      <c r="AW94" s="16">
        <f t="shared" si="101"/>
        <v>3.9170627252311067E-3</v>
      </c>
      <c r="AX94" s="17">
        <f>IF(AND(AS94&lt;&gt;"", AV94&lt;&gt;""), SUM(AV$59:AV94), "")</f>
        <v>18816</v>
      </c>
      <c r="AY94" s="16">
        <f t="shared" si="102"/>
        <v>0.98271269650598003</v>
      </c>
      <c r="AZ94" s="14"/>
      <c r="BA94" s="19">
        <v>14</v>
      </c>
      <c r="BB94" s="20" t="e" cm="1">
        <f t="array" aca="1" ref="BB94" ca="1">(BA94-INDIRECT(SUBSTITUTE(ADDRESS(1,COLUMN($C$9),4),"1","")&amp;SUMPRODUCT(($B$10:$D$26=INDIRECT(SUBSTITUTE(ADDRESS(1,COLUMN()-1,4),"1","")&amp;ROW()-38))*ROW($B$10:$D$26))))/INDIRECT(SUBSTITUTE(ADDRESS(1,COLUMN($D$9),4),"1","")&amp;SUMPRODUCT(($B$10:$D$26=INDIRECT(SUBSTITUTE(ADDRESS(1,COLUMN()-1,4),"1","")&amp;ROW()-38))*ROW($B$10:$D$26)))*10+50</f>
        <v>#DIV/0!</v>
      </c>
      <c r="BC94" s="8"/>
      <c r="BD94" s="49">
        <v>37</v>
      </c>
      <c r="BE94" s="83">
        <f t="shared" si="70"/>
        <v>8</v>
      </c>
      <c r="BF94" s="15">
        <f>IF(AND(BD94&lt;&gt;"", BG94&lt;&gt;""), ROUND(100*(1-(BI93+BI94)/2/BJ$56), $B$39), "")</f>
        <v>4</v>
      </c>
      <c r="BG94" s="52">
        <v>290</v>
      </c>
      <c r="BH94" s="16">
        <f t="shared" si="103"/>
        <v>1.9655686593466178E-2</v>
      </c>
      <c r="BI94" s="17">
        <f>IF(AND(BD94&lt;&gt;"", BG94&lt;&gt;""), SUM(BG$59:BG94), "")</f>
        <v>14362</v>
      </c>
      <c r="BJ94" s="16">
        <f t="shared" si="104"/>
        <v>0.97343093398400438</v>
      </c>
      <c r="BK94" s="14"/>
      <c r="BL94" s="27">
        <v>14</v>
      </c>
      <c r="BM94" s="20" t="e" cm="1">
        <f t="array" aca="1" ref="BM94" ca="1">(BL94-INDIRECT(SUBSTITUTE(ADDRESS(1,COLUMN($C$9),4),"1","")&amp;SUMPRODUCT(($B$10:$D$26=INDIRECT(SUBSTITUTE(ADDRESS(1,COLUMN()-1,4),"1","")&amp;ROW()-38))*ROW($B$10:$D$26))))/INDIRECT(SUBSTITUTE(ADDRESS(1,COLUMN($D$9),4),"1","")&amp;SUMPRODUCT(($B$10:$D$26=INDIRECT(SUBSTITUTE(ADDRESS(1,COLUMN()-1,4),"1","")&amp;ROW()-38))*ROW($B$10:$D$26)))*10+50</f>
        <v>#DIV/0!</v>
      </c>
      <c r="BN94" s="8"/>
      <c r="BO94" s="49">
        <v>44</v>
      </c>
      <c r="BP94" s="83">
        <f t="shared" si="71"/>
        <v>6</v>
      </c>
      <c r="BQ94" s="15">
        <f>IF(AND(BO94&lt;&gt;"", BR94&lt;&gt;""), ROUND(100*(1-(BT93+BT94)/2/BU$56), $B$39), "")</f>
        <v>37</v>
      </c>
      <c r="BR94" s="52">
        <v>222</v>
      </c>
      <c r="BS94" s="16">
        <f t="shared" si="105"/>
        <v>5.4572271386430678E-2</v>
      </c>
      <c r="BT94" s="17">
        <f>IF(AND(BO94&lt;&gt;"", BR94&lt;&gt;""), SUM(BR$59:BR94), "")</f>
        <v>2681</v>
      </c>
      <c r="BU94" s="16">
        <f t="shared" si="106"/>
        <v>0.6590462143559489</v>
      </c>
      <c r="BV94" s="14"/>
      <c r="BW94" s="27">
        <v>14</v>
      </c>
      <c r="BX94" s="20" t="e" cm="1">
        <f t="array" aca="1" ref="BX94" ca="1">(BW94-INDIRECT(SUBSTITUTE(ADDRESS(1,COLUMN($C$9),4),"1","")&amp;SUMPRODUCT(($B$10:$D$26=INDIRECT(SUBSTITUTE(ADDRESS(1,COLUMN()-1,4),"1","")&amp;ROW()-38))*ROW($B$10:$D$26))))/INDIRECT(SUBSTITUTE(ADDRESS(1,COLUMN($D$9),4),"1","")&amp;SUMPRODUCT(($B$10:$D$26=INDIRECT(SUBSTITUTE(ADDRESS(1,COLUMN()-1,4),"1","")&amp;ROW()-38))*ROW($B$10:$D$26)))*10+50</f>
        <v>#DIV/0!</v>
      </c>
      <c r="BY94" s="8"/>
      <c r="BZ94" s="49">
        <v>42</v>
      </c>
      <c r="CA94" s="83">
        <f t="shared" si="72"/>
        <v>7</v>
      </c>
      <c r="CB94" s="15">
        <f>IF(AND(BZ94&lt;&gt;"", CC94&lt;&gt;""), ROUND(100*(1-(CE93+CE94)/2/CF$56), $B$39), "")</f>
        <v>20</v>
      </c>
      <c r="CC94" s="52">
        <v>177</v>
      </c>
      <c r="CD94" s="16">
        <f t="shared" si="107"/>
        <v>3.8620990617499455E-2</v>
      </c>
      <c r="CE94" s="17">
        <f>IF(AND(BZ94&lt;&gt;"", CC94&lt;&gt;""), SUM(CC$59:CC94), "")</f>
        <v>3761</v>
      </c>
      <c r="CF94" s="16">
        <f t="shared" si="108"/>
        <v>0.82064150120008728</v>
      </c>
      <c r="CG94" s="14"/>
      <c r="CH94" s="27">
        <v>14</v>
      </c>
      <c r="CI94" s="20" t="e" cm="1">
        <f t="array" aca="1" ref="CI94" ca="1">(CH94-INDIRECT(SUBSTITUTE(ADDRESS(1,COLUMN($C$9),4),"1","")&amp;SUMPRODUCT(($B$10:$D$26=INDIRECT(SUBSTITUTE(ADDRESS(1,COLUMN()-1,4),"1","")&amp;ROW()-38))*ROW($B$10:$D$26))))/INDIRECT(SUBSTITUTE(ADDRESS(1,COLUMN($D$9),4),"1","")&amp;SUMPRODUCT(($B$10:$D$26=INDIRECT(SUBSTITUTE(ADDRESS(1,COLUMN()-1,4),"1","")&amp;ROW()-38))*ROW($B$10:$D$26)))*10+50</f>
        <v>#DIV/0!</v>
      </c>
      <c r="CJ94" s="8"/>
      <c r="CK94" s="49">
        <v>40</v>
      </c>
      <c r="CL94" s="83">
        <f t="shared" si="73"/>
        <v>8</v>
      </c>
      <c r="CM94" s="15">
        <f>IF(AND(CK94&lt;&gt;"", CN94&lt;&gt;""), ROUND(100*(1-(CP93+CP94)/2/CQ$56), $B$39), "")</f>
        <v>5</v>
      </c>
      <c r="CN94" s="52">
        <v>210</v>
      </c>
      <c r="CO94" s="16">
        <f t="shared" si="64"/>
        <v>2.6438373410550171E-2</v>
      </c>
      <c r="CP94" s="17">
        <f>IF(AND(CK94&lt;&gt;"", CN94&lt;&gt;""), SUM(CN$59:CN94), "")</f>
        <v>7641</v>
      </c>
      <c r="CQ94" s="16">
        <f t="shared" si="65"/>
        <v>0.96197910109530405</v>
      </c>
      <c r="CR94" s="14"/>
      <c r="CS94" s="27">
        <v>14</v>
      </c>
      <c r="CT94" s="20" t="e" cm="1">
        <f t="array" aca="1" ref="CT94" ca="1">(CS94-INDIRECT(SUBSTITUTE(ADDRESS(1,COLUMN($C$9),4),"1","")&amp;SUMPRODUCT(($B$10:$D$26=INDIRECT(SUBSTITUTE(ADDRESS(1,COLUMN()-1,4),"1","")&amp;ROW()-38))*ROW($B$10:$D$26))))/INDIRECT(SUBSTITUTE(ADDRESS(1,COLUMN($D$9),4),"1","")&amp;SUMPRODUCT(($B$10:$D$26=INDIRECT(SUBSTITUTE(ADDRESS(1,COLUMN()-1,4),"1","")&amp;ROW()-38))*ROW($B$10:$D$26)))*10+50</f>
        <v>#DIV/0!</v>
      </c>
      <c r="CU94" s="8"/>
      <c r="CV94" s="49">
        <v>45</v>
      </c>
      <c r="CW94" s="83">
        <f t="shared" si="74"/>
        <v>5</v>
      </c>
      <c r="CX94" s="15">
        <f>IF(AND(CV94&lt;&gt;"", CY94&lt;&gt;""), ROUND(100*(1-(DA93+DA94)/2/DB$56), $B$39), "")</f>
        <v>40</v>
      </c>
      <c r="CY94" s="52">
        <v>260</v>
      </c>
      <c r="CZ94" s="16">
        <f t="shared" si="109"/>
        <v>4.9789352738414401E-2</v>
      </c>
      <c r="DA94" s="17">
        <f>IF(AND(CV94&lt;&gt;"", CY94&lt;&gt;""), SUM(CY$59:CY94), "")</f>
        <v>3260</v>
      </c>
      <c r="DB94" s="16">
        <f t="shared" si="110"/>
        <v>0.62428188433550369</v>
      </c>
    </row>
    <row r="95" spans="5:106" ht="16" customHeight="1" x14ac:dyDescent="0.2">
      <c r="E95" s="1"/>
      <c r="F95" s="86"/>
      <c r="G95" s="85">
        <v>7</v>
      </c>
      <c r="H95" s="36"/>
      <c r="I95" s="86"/>
      <c r="J95" s="85">
        <v>7</v>
      </c>
      <c r="K95" s="70"/>
      <c r="L95" s="70"/>
      <c r="M95" s="70"/>
      <c r="N95"/>
      <c r="O95" s="39"/>
      <c r="P95" s="83" t="str">
        <f t="shared" si="81"/>
        <v/>
      </c>
      <c r="Q95" s="164" t="str">
        <f t="shared" si="79"/>
        <v/>
      </c>
      <c r="R95" s="39"/>
      <c r="S95" s="16" t="str">
        <f t="shared" si="75"/>
        <v/>
      </c>
      <c r="T95" s="17" t="str">
        <f>IF(AND(O95&lt;&gt;"", R95&lt;&gt;""), SUM(R$4:R95), "")</f>
        <v/>
      </c>
      <c r="U95" s="16" t="str">
        <f t="shared" si="76"/>
        <v/>
      </c>
      <c r="W95" s="46"/>
      <c r="X95" s="83"/>
      <c r="Y95" s="164" t="str">
        <f t="shared" si="80"/>
        <v/>
      </c>
      <c r="Z95" s="47"/>
      <c r="AA95" s="16"/>
      <c r="AB95" s="17"/>
      <c r="AC95" s="16"/>
      <c r="AD95" s="1"/>
      <c r="AE95" s="19">
        <v>13</v>
      </c>
      <c r="AF95" s="20" t="e" cm="1">
        <f t="array" aca="1" ref="AF95" ca="1">(AE95-INDIRECT(SUBSTITUTE(ADDRESS(1,COLUMN($C$9),4),"1","")&amp;SUMPRODUCT(($B$10:$D$26=INDIRECT(SUBSTITUTE(ADDRESS(1,COLUMN()-1,4),"1","")&amp;ROW()-39))*ROW($B$10:$D$26))))/INDIRECT(SUBSTITUTE(ADDRESS(1,COLUMN($D$9),4),"1","")&amp;SUMPRODUCT(($B$10:$D$26=INDIRECT(SUBSTITUTE(ADDRESS(1,COLUMN()-1,4),"1","")&amp;ROW()-39))*ROW($B$10:$D$26)))*10+50</f>
        <v>#DIV/0!</v>
      </c>
      <c r="AG95" s="8"/>
      <c r="AH95" s="49">
        <v>31</v>
      </c>
      <c r="AI95" s="83">
        <f t="shared" si="68"/>
        <v>9</v>
      </c>
      <c r="AJ95" s="15">
        <f>IF(AND(AH95&lt;&gt;"", AK95&lt;&gt;""), ROUND(100*(1-(AM94+AM95)/2/AN$56), $B$39), "")</f>
        <v>2</v>
      </c>
      <c r="AK95" s="52">
        <v>212</v>
      </c>
      <c r="AL95" s="16">
        <f t="shared" si="99"/>
        <v>1.1082070047046524E-2</v>
      </c>
      <c r="AM95" s="17">
        <f>IF(AND(AH95&lt;&gt;"", AK95&lt;&gt;""), SUM(AK$59:AK95), "")</f>
        <v>18827</v>
      </c>
      <c r="AN95" s="16">
        <f t="shared" si="100"/>
        <v>0.98416100365917403</v>
      </c>
      <c r="AO95" s="14"/>
      <c r="AP95" s="19">
        <v>13</v>
      </c>
      <c r="AQ95" s="20" t="e" cm="1">
        <f t="array" aca="1" ref="AQ95" ca="1">(AP95-INDIRECT(SUBSTITUTE(ADDRESS(1,COLUMN($C$9),4),"1","")&amp;SUMPRODUCT(($B$10:$D$26=INDIRECT(SUBSTITUTE(ADDRESS(1,COLUMN()-1,4),"1","")&amp;ROW()-39))*ROW($B$10:$D$26))))/INDIRECT(SUBSTITUTE(ADDRESS(1,COLUMN($D$9),4),"1","")&amp;SUMPRODUCT(($B$10:$D$26=INDIRECT(SUBSTITUTE(ADDRESS(1,COLUMN()-1,4),"1","")&amp;ROW()-39))*ROW($B$10:$D$26)))*10+50</f>
        <v>#DIV/0!</v>
      </c>
      <c r="AR95" s="8"/>
      <c r="AS95" s="49">
        <v>32</v>
      </c>
      <c r="AT95" s="83">
        <f t="shared" si="69"/>
        <v>9</v>
      </c>
      <c r="AU95" s="15">
        <f>IF(AND(AS95&lt;&gt;"", AV95&lt;&gt;""), ROUND(100*(1-(AX94+AX95)/2/AY$56), $B$39), "")</f>
        <v>2</v>
      </c>
      <c r="AV95" s="52">
        <v>31</v>
      </c>
      <c r="AW95" s="16">
        <f t="shared" si="101"/>
        <v>1.619052593095524E-3</v>
      </c>
      <c r="AX95" s="17">
        <f>IF(AND(AS95&lt;&gt;"", AV95&lt;&gt;""), SUM(AV$59:AV95), "")</f>
        <v>18847</v>
      </c>
      <c r="AY95" s="16">
        <f t="shared" si="102"/>
        <v>0.98433174909907561</v>
      </c>
      <c r="AZ95" s="14"/>
      <c r="BA95" s="19">
        <v>13</v>
      </c>
      <c r="BB95" s="20" t="e" cm="1">
        <f t="array" aca="1" ref="BB95" ca="1">(BA95-INDIRECT(SUBSTITUTE(ADDRESS(1,COLUMN($C$9),4),"1","")&amp;SUMPRODUCT(($B$10:$D$26=INDIRECT(SUBSTITUTE(ADDRESS(1,COLUMN()-1,4),"1","")&amp;ROW()-39))*ROW($B$10:$D$26))))/INDIRECT(SUBSTITUTE(ADDRESS(1,COLUMN($D$9),4),"1","")&amp;SUMPRODUCT(($B$10:$D$26=INDIRECT(SUBSTITUTE(ADDRESS(1,COLUMN()-1,4),"1","")&amp;ROW()-39))*ROW($B$10:$D$26)))*10+50</f>
        <v>#DIV/0!</v>
      </c>
      <c r="BC95" s="8"/>
      <c r="BD95" s="49">
        <v>36</v>
      </c>
      <c r="BE95" s="83">
        <f t="shared" si="70"/>
        <v>9</v>
      </c>
      <c r="BF95" s="15">
        <f>IF(AND(BD95&lt;&gt;"", BG95&lt;&gt;""), ROUND(100*(1-(BI94+BI95)/2/BJ$56), $B$39), "")</f>
        <v>2</v>
      </c>
      <c r="BG95" s="52">
        <v>205</v>
      </c>
      <c r="BH95" s="16">
        <f t="shared" si="103"/>
        <v>1.3894537074691609E-2</v>
      </c>
      <c r="BI95" s="17">
        <f>IF(AND(BD95&lt;&gt;"", BG95&lt;&gt;""), SUM(BG$59:BG95), "")</f>
        <v>14567</v>
      </c>
      <c r="BJ95" s="16">
        <f t="shared" si="104"/>
        <v>0.98732547105869595</v>
      </c>
      <c r="BK95" s="14"/>
      <c r="BL95" s="27">
        <v>13</v>
      </c>
      <c r="BM95" s="20" t="e" cm="1">
        <f t="array" aca="1" ref="BM95" ca="1">(BL95-INDIRECT(SUBSTITUTE(ADDRESS(1,COLUMN($C$9),4),"1","")&amp;SUMPRODUCT(($B$10:$D$26=INDIRECT(SUBSTITUTE(ADDRESS(1,COLUMN()-1,4),"1","")&amp;ROW()-39))*ROW($B$10:$D$26))))/INDIRECT(SUBSTITUTE(ADDRESS(1,COLUMN($D$9),4),"1","")&amp;SUMPRODUCT(($B$10:$D$26=INDIRECT(SUBSTITUTE(ADDRESS(1,COLUMN()-1,4),"1","")&amp;ROW()-39))*ROW($B$10:$D$26)))*10+50</f>
        <v>#DIV/0!</v>
      </c>
      <c r="BN95" s="8"/>
      <c r="BO95" s="49">
        <v>43</v>
      </c>
      <c r="BP95" s="83">
        <f t="shared" si="71"/>
        <v>6</v>
      </c>
      <c r="BQ95" s="15">
        <f>IF(AND(BO95&lt;&gt;"", BR95&lt;&gt;""), ROUND(100*(1-(BT94+BT95)/2/BU$56), $B$39), "")</f>
        <v>27</v>
      </c>
      <c r="BR95" s="52">
        <v>611</v>
      </c>
      <c r="BS95" s="16">
        <f t="shared" si="105"/>
        <v>0.15019665683382497</v>
      </c>
      <c r="BT95" s="17">
        <f>IF(AND(BO95&lt;&gt;"", BR95&lt;&gt;""), SUM(BR$59:BR95), "")</f>
        <v>3292</v>
      </c>
      <c r="BU95" s="16">
        <f t="shared" si="106"/>
        <v>0.80924287118977389</v>
      </c>
      <c r="BV95" s="14"/>
      <c r="BW95" s="27">
        <v>13</v>
      </c>
      <c r="BX95" s="20" t="e" cm="1">
        <f t="array" aca="1" ref="BX95" ca="1">(BW95-INDIRECT(SUBSTITUTE(ADDRESS(1,COLUMN($C$9),4),"1","")&amp;SUMPRODUCT(($B$10:$D$26=INDIRECT(SUBSTITUTE(ADDRESS(1,COLUMN()-1,4),"1","")&amp;ROW()-39))*ROW($B$10:$D$26))))/INDIRECT(SUBSTITUTE(ADDRESS(1,COLUMN($D$9),4),"1","")&amp;SUMPRODUCT(($B$10:$D$26=INDIRECT(SUBSTITUTE(ADDRESS(1,COLUMN()-1,4),"1","")&amp;ROW()-39))*ROW($B$10:$D$26)))*10+50</f>
        <v>#DIV/0!</v>
      </c>
      <c r="BY95" s="8"/>
      <c r="BZ95" s="49">
        <v>41</v>
      </c>
      <c r="CA95" s="83">
        <f t="shared" si="72"/>
        <v>7</v>
      </c>
      <c r="CB95" s="15">
        <f>IF(AND(BZ95&lt;&gt;"", CC95&lt;&gt;""), ROUND(100*(1-(CE94+CE95)/2/CF$56), $B$39), "")</f>
        <v>16</v>
      </c>
      <c r="CC95" s="52">
        <v>220</v>
      </c>
      <c r="CD95" s="16">
        <f t="shared" si="107"/>
        <v>4.8003491162993669E-2</v>
      </c>
      <c r="CE95" s="17">
        <f>IF(AND(BZ95&lt;&gt;"", CC95&lt;&gt;""), SUM(CC$59:CC95), "")</f>
        <v>3981</v>
      </c>
      <c r="CF95" s="16">
        <f t="shared" si="108"/>
        <v>0.8686449923630809</v>
      </c>
      <c r="CG95" s="14"/>
      <c r="CH95" s="27">
        <v>13</v>
      </c>
      <c r="CI95" s="20" t="e" cm="1">
        <f t="array" aca="1" ref="CI95" ca="1">(CH95-INDIRECT(SUBSTITUTE(ADDRESS(1,COLUMN($C$9),4),"1","")&amp;SUMPRODUCT(($B$10:$D$26=INDIRECT(SUBSTITUTE(ADDRESS(1,COLUMN()-1,4),"1","")&amp;ROW()-39))*ROW($B$10:$D$26))))/INDIRECT(SUBSTITUTE(ADDRESS(1,COLUMN($D$9),4),"1","")&amp;SUMPRODUCT(($B$10:$D$26=INDIRECT(SUBSTITUTE(ADDRESS(1,COLUMN()-1,4),"1","")&amp;ROW()-39))*ROW($B$10:$D$26)))*10+50</f>
        <v>#DIV/0!</v>
      </c>
      <c r="CJ95" s="8"/>
      <c r="CK95" s="49">
        <v>39</v>
      </c>
      <c r="CL95" s="83">
        <f t="shared" si="73"/>
        <v>9</v>
      </c>
      <c r="CM95" s="15">
        <f>IF(AND(CK95&lt;&gt;"", CN95&lt;&gt;""), ROUND(100*(1-(CP94+CP95)/2/CQ$56), $B$39), "")</f>
        <v>3</v>
      </c>
      <c r="CN95" s="52">
        <v>206</v>
      </c>
      <c r="CO95" s="16">
        <f t="shared" si="64"/>
        <v>2.5934785345587311E-2</v>
      </c>
      <c r="CP95" s="17">
        <f>IF(AND(CK95&lt;&gt;"", CN95&lt;&gt;""), SUM(CN$59:CN95), "")</f>
        <v>7847</v>
      </c>
      <c r="CQ95" s="16">
        <f t="shared" si="65"/>
        <v>0.9879138864408914</v>
      </c>
      <c r="CR95" s="14"/>
      <c r="CS95" s="27">
        <v>13</v>
      </c>
      <c r="CT95" s="20" t="e" cm="1">
        <f t="array" aca="1" ref="CT95" ca="1">(CS95-INDIRECT(SUBSTITUTE(ADDRESS(1,COLUMN($C$9),4),"1","")&amp;SUMPRODUCT(($B$10:$D$26=INDIRECT(SUBSTITUTE(ADDRESS(1,COLUMN()-1,4),"1","")&amp;ROW()-39))*ROW($B$10:$D$26))))/INDIRECT(SUBSTITUTE(ADDRESS(1,COLUMN($D$9),4),"1","")&amp;SUMPRODUCT(($B$10:$D$26=INDIRECT(SUBSTITUTE(ADDRESS(1,COLUMN()-1,4),"1","")&amp;ROW()-39))*ROW($B$10:$D$26)))*10+50</f>
        <v>#DIV/0!</v>
      </c>
      <c r="CU95" s="8"/>
      <c r="CV95" s="49">
        <v>44</v>
      </c>
      <c r="CW95" s="83">
        <f t="shared" si="74"/>
        <v>6</v>
      </c>
      <c r="CX95" s="15">
        <f>IF(AND(CV95&lt;&gt;"", CY95&lt;&gt;""), ROUND(100*(1-(DA94+DA95)/2/DB$56), $B$39), "")</f>
        <v>31</v>
      </c>
      <c r="CY95" s="52">
        <v>676</v>
      </c>
      <c r="CZ95" s="16">
        <f t="shared" si="109"/>
        <v>0.12945231711987745</v>
      </c>
      <c r="DA95" s="17">
        <f>IF(AND(CV95&lt;&gt;"", CY95&lt;&gt;""), SUM(CY$59:CY95), "")</f>
        <v>3936</v>
      </c>
      <c r="DB95" s="16">
        <f t="shared" si="110"/>
        <v>0.75373420145538106</v>
      </c>
    </row>
    <row r="96" spans="5:106" ht="16" customHeight="1" x14ac:dyDescent="0.2">
      <c r="E96" s="1"/>
      <c r="F96" s="86"/>
      <c r="G96" s="85">
        <v>8</v>
      </c>
      <c r="H96" s="36"/>
      <c r="I96" s="86"/>
      <c r="J96" s="85">
        <v>8</v>
      </c>
      <c r="K96" s="70"/>
      <c r="L96" s="70"/>
      <c r="M96" s="70"/>
      <c r="N96"/>
      <c r="O96" s="39"/>
      <c r="P96" s="83" t="str">
        <f t="shared" si="81"/>
        <v/>
      </c>
      <c r="Q96" s="164" t="str">
        <f t="shared" si="79"/>
        <v/>
      </c>
      <c r="R96" s="39"/>
      <c r="S96" s="16" t="str">
        <f t="shared" si="75"/>
        <v/>
      </c>
      <c r="T96" s="17" t="str">
        <f>IF(AND(O96&lt;&gt;"", R96&lt;&gt;""), SUM(R$4:R96), "")</f>
        <v/>
      </c>
      <c r="U96" s="16" t="str">
        <f t="shared" si="76"/>
        <v/>
      </c>
      <c r="W96" s="46"/>
      <c r="X96" s="83"/>
      <c r="Y96" s="164" t="str">
        <f t="shared" si="80"/>
        <v/>
      </c>
      <c r="Z96" s="47"/>
      <c r="AA96" s="16"/>
      <c r="AB96" s="17"/>
      <c r="AC96" s="16"/>
      <c r="AD96" s="1"/>
      <c r="AE96" s="19">
        <v>12</v>
      </c>
      <c r="AF96" s="20" t="e" cm="1">
        <f t="array" aca="1" ref="AF96" ca="1">(AE96-INDIRECT(SUBSTITUTE(ADDRESS(1,COLUMN($C$9),4),"1","")&amp;SUMPRODUCT(($B$10:$D$26=INDIRECT(SUBSTITUTE(ADDRESS(1,COLUMN()-1,4),"1","")&amp;ROW()-40))*ROW($B$10:$D$26))))/INDIRECT(SUBSTITUTE(ADDRESS(1,COLUMN($D$9),4),"1","")&amp;SUMPRODUCT(($B$10:$D$26=INDIRECT(SUBSTITUTE(ADDRESS(1,COLUMN()-1,4),"1","")&amp;ROW()-40))*ROW($B$10:$D$26)))*10+50</f>
        <v>#DIV/0!</v>
      </c>
      <c r="AG96" s="8"/>
      <c r="AH96" s="49">
        <v>29</v>
      </c>
      <c r="AI96" s="83">
        <f t="shared" si="68"/>
        <v>9</v>
      </c>
      <c r="AJ96" s="15">
        <f>IF(AND(AH96&lt;&gt;"", AK96&lt;&gt;""), ROUND(100*(1-(AM95+AM96)/2/AN$56), $B$39), "")</f>
        <v>1</v>
      </c>
      <c r="AK96" s="52">
        <v>91</v>
      </c>
      <c r="AL96" s="16">
        <f t="shared" si="99"/>
        <v>4.7569262937794043E-3</v>
      </c>
      <c r="AM96" s="17">
        <f>IF(AND(AH96&lt;&gt;"", AK96&lt;&gt;""), SUM(AK$59:AK96), "")</f>
        <v>18918</v>
      </c>
      <c r="AN96" s="16">
        <f t="shared" si="100"/>
        <v>0.98891792995295347</v>
      </c>
      <c r="AO96" s="14"/>
      <c r="AP96" s="19">
        <v>12</v>
      </c>
      <c r="AQ96" s="20" t="e" cm="1">
        <f t="array" aca="1" ref="AQ96" ca="1">(AP96-INDIRECT(SUBSTITUTE(ADDRESS(1,COLUMN($C$9),4),"1","")&amp;SUMPRODUCT(($B$10:$D$26=INDIRECT(SUBSTITUTE(ADDRESS(1,COLUMN()-1,4),"1","")&amp;ROW()-40))*ROW($B$10:$D$26))))/INDIRECT(SUBSTITUTE(ADDRESS(1,COLUMN($D$9),4),"1","")&amp;SUMPRODUCT(($B$10:$D$26=INDIRECT(SUBSTITUTE(ADDRESS(1,COLUMN()-1,4),"1","")&amp;ROW()-40))*ROW($B$10:$D$26)))*10+50</f>
        <v>#DIV/0!</v>
      </c>
      <c r="AR96" s="8"/>
      <c r="AS96" s="49">
        <v>35</v>
      </c>
      <c r="AT96" s="83">
        <f t="shared" si="69"/>
        <v>9</v>
      </c>
      <c r="AU96" s="15">
        <f>IF(AND(AS96&lt;&gt;"", AV96&lt;&gt;""), ROUND(100*(1-(AX95+AX96)/2/AY$56), $B$39), "")</f>
        <v>1</v>
      </c>
      <c r="AV96" s="52">
        <v>73</v>
      </c>
      <c r="AW96" s="16">
        <f t="shared" si="101"/>
        <v>3.8126077192249439E-3</v>
      </c>
      <c r="AX96" s="17">
        <f>IF(AND(AS96&lt;&gt;"", AV96&lt;&gt;""), SUM(AV$59:AV96), "")</f>
        <v>18920</v>
      </c>
      <c r="AY96" s="16">
        <f t="shared" si="102"/>
        <v>0.98814435681830048</v>
      </c>
      <c r="AZ96" s="14"/>
      <c r="BA96" s="19">
        <v>12</v>
      </c>
      <c r="BB96" s="20" t="e" cm="1">
        <f t="array" aca="1" ref="BB96" ca="1">(BA96-INDIRECT(SUBSTITUTE(ADDRESS(1,COLUMN($C$9),4),"1","")&amp;SUMPRODUCT(($B$10:$D$26=INDIRECT(SUBSTITUTE(ADDRESS(1,COLUMN()-1,4),"1","")&amp;ROW()-40))*ROW($B$10:$D$26))))/INDIRECT(SUBSTITUTE(ADDRESS(1,COLUMN($D$9),4),"1","")&amp;SUMPRODUCT(($B$10:$D$26=INDIRECT(SUBSTITUTE(ADDRESS(1,COLUMN()-1,4),"1","")&amp;ROW()-40))*ROW($B$10:$D$26)))*10+50</f>
        <v>#DIV/0!</v>
      </c>
      <c r="BC96" s="8"/>
      <c r="BD96" s="49">
        <v>35</v>
      </c>
      <c r="BE96" s="83">
        <f t="shared" si="70"/>
        <v>9</v>
      </c>
      <c r="BF96" s="15">
        <f>IF(AND(BD96&lt;&gt;"", BG96&lt;&gt;""), ROUND(100*(1-(BI95+BI96)/2/BJ$56), $B$39), "")</f>
        <v>1</v>
      </c>
      <c r="BG96" s="52">
        <v>95</v>
      </c>
      <c r="BH96" s="16">
        <f t="shared" si="103"/>
        <v>6.4389318151009895E-3</v>
      </c>
      <c r="BI96" s="17">
        <f>IF(AND(BD96&lt;&gt;"", BG96&lt;&gt;""), SUM(BG$59:BG96), "")</f>
        <v>14662</v>
      </c>
      <c r="BJ96" s="16">
        <f t="shared" si="104"/>
        <v>0.99376440287379697</v>
      </c>
      <c r="BK96" s="14"/>
      <c r="BL96" s="27">
        <v>12</v>
      </c>
      <c r="BM96" s="20" t="e" cm="1">
        <f t="array" aca="1" ref="BM96" ca="1">(BL96-INDIRECT(SUBSTITUTE(ADDRESS(1,COLUMN($C$9),4),"1","")&amp;SUMPRODUCT(($B$10:$D$26=INDIRECT(SUBSTITUTE(ADDRESS(1,COLUMN()-1,4),"1","")&amp;ROW()-40))*ROW($B$10:$D$26))))/INDIRECT(SUBSTITUTE(ADDRESS(1,COLUMN($D$9),4),"1","")&amp;SUMPRODUCT(($B$10:$D$26=INDIRECT(SUBSTITUTE(ADDRESS(1,COLUMN()-1,4),"1","")&amp;ROW()-40))*ROW($B$10:$D$26)))*10+50</f>
        <v>#DIV/0!</v>
      </c>
      <c r="BN96" s="8"/>
      <c r="BO96" s="49">
        <v>42</v>
      </c>
      <c r="BP96" s="83">
        <f t="shared" si="71"/>
        <v>7</v>
      </c>
      <c r="BQ96" s="15">
        <f>IF(AND(BO96&lt;&gt;"", BR96&lt;&gt;""), ROUND(100*(1-(BT95+BT96)/2/BU$56), $B$39), "")</f>
        <v>17</v>
      </c>
      <c r="BR96" s="52">
        <v>201</v>
      </c>
      <c r="BS96" s="16">
        <f t="shared" si="105"/>
        <v>4.9410029498525077E-2</v>
      </c>
      <c r="BT96" s="17">
        <f>IF(AND(BO96&lt;&gt;"", BR96&lt;&gt;""), SUM(BR$59:BR96), "")</f>
        <v>3493</v>
      </c>
      <c r="BU96" s="16">
        <f t="shared" si="106"/>
        <v>0.85865290068829891</v>
      </c>
      <c r="BV96" s="14"/>
      <c r="BW96" s="27">
        <v>12</v>
      </c>
      <c r="BX96" s="20" t="e" cm="1">
        <f t="array" aca="1" ref="BX96" ca="1">(BW96-INDIRECT(SUBSTITUTE(ADDRESS(1,COLUMN($C$9),4),"1","")&amp;SUMPRODUCT(($B$10:$D$26=INDIRECT(SUBSTITUTE(ADDRESS(1,COLUMN()-1,4),"1","")&amp;ROW()-40))*ROW($B$10:$D$26))))/INDIRECT(SUBSTITUTE(ADDRESS(1,COLUMN($D$9),4),"1","")&amp;SUMPRODUCT(($B$10:$D$26=INDIRECT(SUBSTITUTE(ADDRESS(1,COLUMN()-1,4),"1","")&amp;ROW()-40))*ROW($B$10:$D$26)))*10+50</f>
        <v>#DIV/0!</v>
      </c>
      <c r="BY96" s="8"/>
      <c r="BZ96" s="49">
        <v>40</v>
      </c>
      <c r="CA96" s="83">
        <f t="shared" si="72"/>
        <v>7</v>
      </c>
      <c r="CB96" s="15">
        <f>IF(AND(BZ96&lt;&gt;"", CC96&lt;&gt;""), ROUND(100*(1-(CE95+CE96)/2/CF$56), $B$39), "")</f>
        <v>11</v>
      </c>
      <c r="CC96" s="52">
        <v>185</v>
      </c>
      <c r="CD96" s="16">
        <f t="shared" si="107"/>
        <v>4.0366572114335586E-2</v>
      </c>
      <c r="CE96" s="17">
        <f>IF(AND(BZ96&lt;&gt;"", CC96&lt;&gt;""), SUM(CC$59:CC96), "")</f>
        <v>4166</v>
      </c>
      <c r="CF96" s="16">
        <f t="shared" si="108"/>
        <v>0.90901156447741649</v>
      </c>
      <c r="CG96" s="14"/>
      <c r="CH96" s="27">
        <v>12</v>
      </c>
      <c r="CI96" s="20" t="e" cm="1">
        <f t="array" aca="1" ref="CI96" ca="1">(CH96-INDIRECT(SUBSTITUTE(ADDRESS(1,COLUMN($C$9),4),"1","")&amp;SUMPRODUCT(($B$10:$D$26=INDIRECT(SUBSTITUTE(ADDRESS(1,COLUMN()-1,4),"1","")&amp;ROW()-40))*ROW($B$10:$D$26))))/INDIRECT(SUBSTITUTE(ADDRESS(1,COLUMN($D$9),4),"1","")&amp;SUMPRODUCT(($B$10:$D$26=INDIRECT(SUBSTITUTE(ADDRESS(1,COLUMN()-1,4),"1","")&amp;ROW()-40))*ROW($B$10:$D$26)))*10+50</f>
        <v>#DIV/0!</v>
      </c>
      <c r="CJ96" s="8"/>
      <c r="CK96" s="49">
        <v>38</v>
      </c>
      <c r="CL96" s="83">
        <f t="shared" si="73"/>
        <v>9</v>
      </c>
      <c r="CM96" s="15">
        <f>IF(AND(CK96&lt;&gt;"", CN96&lt;&gt;""), ROUND(100*(1-(CP95+CP96)/2/CQ$56), $B$39), "")</f>
        <v>1</v>
      </c>
      <c r="CN96" s="52">
        <v>76</v>
      </c>
      <c r="CO96" s="16">
        <f t="shared" si="64"/>
        <v>9.5681732342943471E-3</v>
      </c>
      <c r="CP96" s="17">
        <f>IF(AND(CK96&lt;&gt;"", CN96&lt;&gt;""), SUM(CN$59:CN96), "")</f>
        <v>7923</v>
      </c>
      <c r="CQ96" s="16">
        <f t="shared" si="65"/>
        <v>0.99748205967518566</v>
      </c>
      <c r="CR96" s="14"/>
      <c r="CS96" s="27">
        <v>12</v>
      </c>
      <c r="CT96" s="20" t="e" cm="1">
        <f t="array" aca="1" ref="CT96" ca="1">(CS96-INDIRECT(SUBSTITUTE(ADDRESS(1,COLUMN($C$9),4),"1","")&amp;SUMPRODUCT(($B$10:$D$26=INDIRECT(SUBSTITUTE(ADDRESS(1,COLUMN()-1,4),"1","")&amp;ROW()-40))*ROW($B$10:$D$26))))/INDIRECT(SUBSTITUTE(ADDRESS(1,COLUMN($D$9),4),"1","")&amp;SUMPRODUCT(($B$10:$D$26=INDIRECT(SUBSTITUTE(ADDRESS(1,COLUMN()-1,4),"1","")&amp;ROW()-40))*ROW($B$10:$D$26)))*10+50</f>
        <v>#DIV/0!</v>
      </c>
      <c r="CU96" s="8"/>
      <c r="CV96" s="49">
        <v>43</v>
      </c>
      <c r="CW96" s="83">
        <f t="shared" si="74"/>
        <v>6</v>
      </c>
      <c r="CX96" s="15">
        <f>IF(AND(CV96&lt;&gt;"", CY96&lt;&gt;""), ROUND(100*(1-(DA95+DA96)/2/DB$56), $B$39), "")</f>
        <v>23</v>
      </c>
      <c r="CY96" s="52">
        <v>184</v>
      </c>
      <c r="CZ96" s="16">
        <f t="shared" si="109"/>
        <v>3.5235541937954806E-2</v>
      </c>
      <c r="DA96" s="17">
        <f>IF(AND(CV96&lt;&gt;"", CY96&lt;&gt;""), SUM(CY$59:CY96), "")</f>
        <v>4120</v>
      </c>
      <c r="DB96" s="16">
        <f t="shared" si="110"/>
        <v>0.78896974339333592</v>
      </c>
    </row>
    <row r="97" spans="1:106" ht="16" customHeight="1" x14ac:dyDescent="0.2">
      <c r="E97" s="1"/>
      <c r="F97" s="86"/>
      <c r="G97" s="85">
        <v>9</v>
      </c>
      <c r="H97" s="36"/>
      <c r="I97" s="86"/>
      <c r="J97" s="85">
        <v>9</v>
      </c>
      <c r="K97" s="70"/>
      <c r="L97" s="70"/>
      <c r="M97" s="70"/>
      <c r="N97"/>
      <c r="O97" s="39"/>
      <c r="P97" s="83" t="str">
        <f t="shared" si="81"/>
        <v/>
      </c>
      <c r="Q97" s="164" t="str">
        <f t="shared" si="79"/>
        <v/>
      </c>
      <c r="R97" s="39"/>
      <c r="S97" s="16" t="str">
        <f t="shared" si="75"/>
        <v/>
      </c>
      <c r="T97" s="17" t="str">
        <f>IF(AND(O97&lt;&gt;"", R97&lt;&gt;""), SUM(R$4:R97), "")</f>
        <v/>
      </c>
      <c r="U97" s="16" t="str">
        <f t="shared" si="76"/>
        <v/>
      </c>
      <c r="W97" s="46"/>
      <c r="X97" s="83"/>
      <c r="Y97" s="164" t="str">
        <f t="shared" si="80"/>
        <v/>
      </c>
      <c r="Z97" s="47"/>
      <c r="AA97" s="16"/>
      <c r="AB97" s="17"/>
      <c r="AC97" s="16"/>
      <c r="AD97" s="1"/>
      <c r="AE97" s="19">
        <v>11</v>
      </c>
      <c r="AF97" s="20" t="e" cm="1">
        <f t="array" aca="1" ref="AF97" ca="1">(AE97-INDIRECT(SUBSTITUTE(ADDRESS(1,COLUMN($C$9),4),"1","")&amp;SUMPRODUCT(($B$10:$D$26=INDIRECT(SUBSTITUTE(ADDRESS(1,COLUMN()-1,4),"1","")&amp;ROW()-41))*ROW($B$10:$D$26))))/INDIRECT(SUBSTITUTE(ADDRESS(1,COLUMN($D$9),4),"1","")&amp;SUMPRODUCT(($B$10:$D$26=INDIRECT(SUBSTITUTE(ADDRESS(1,COLUMN()-1,4),"1","")&amp;ROW()-41))*ROW($B$10:$D$26)))*10+50</f>
        <v>#DIV/0!</v>
      </c>
      <c r="AG97" s="8"/>
      <c r="AH97" s="49">
        <v>33</v>
      </c>
      <c r="AI97" s="83">
        <f t="shared" si="68"/>
        <v>9</v>
      </c>
      <c r="AJ97" s="15">
        <f>IF(AND(AH97&lt;&gt;"", AK97&lt;&gt;""), ROUND(100*(1-(AM96+AM97)/2/AN$56), $B$39), "")</f>
        <v>1</v>
      </c>
      <c r="AK97" s="52">
        <v>134</v>
      </c>
      <c r="AL97" s="16">
        <f t="shared" si="99"/>
        <v>7.0047046523784634E-3</v>
      </c>
      <c r="AM97" s="17">
        <f>IF(AND(AH97&lt;&gt;"", AK97&lt;&gt;""), SUM(AK$59:AK97), "")</f>
        <v>19052</v>
      </c>
      <c r="AN97" s="16">
        <f t="shared" si="100"/>
        <v>0.99592263460533192</v>
      </c>
      <c r="AO97" s="14"/>
      <c r="AP97" s="19">
        <v>11</v>
      </c>
      <c r="AQ97" s="20" t="e" cm="1">
        <f t="array" aca="1" ref="AQ97" ca="1">(AP97-INDIRECT(SUBSTITUTE(ADDRESS(1,COLUMN($C$9),4),"1","")&amp;SUMPRODUCT(($B$10:$D$26=INDIRECT(SUBSTITUTE(ADDRESS(1,COLUMN()-1,4),"1","")&amp;ROW()-41))*ROW($B$10:$D$26))))/INDIRECT(SUBSTITUTE(ADDRESS(1,COLUMN($D$9),4),"1","")&amp;SUMPRODUCT(($B$10:$D$26=INDIRECT(SUBSTITUTE(ADDRESS(1,COLUMN()-1,4),"1","")&amp;ROW()-41))*ROW($B$10:$D$26)))*10+50</f>
        <v>#DIV/0!</v>
      </c>
      <c r="AR97" s="8"/>
      <c r="AS97" s="49">
        <v>34</v>
      </c>
      <c r="AT97" s="83">
        <f t="shared" si="69"/>
        <v>9</v>
      </c>
      <c r="AU97" s="15">
        <f>IF(AND(AS97&lt;&gt;"", AV97&lt;&gt;""), ROUND(100*(1-(AX96+AX97)/2/AY$56), $B$39), "")</f>
        <v>1</v>
      </c>
      <c r="AV97" s="52">
        <v>162</v>
      </c>
      <c r="AW97" s="16">
        <f t="shared" si="101"/>
        <v>8.4608554864991897E-3</v>
      </c>
      <c r="AX97" s="17">
        <f>IF(AND(AS97&lt;&gt;"", AV97&lt;&gt;""), SUM(AV$59:AV97), "")</f>
        <v>19082</v>
      </c>
      <c r="AY97" s="16">
        <f t="shared" si="102"/>
        <v>0.9966052123047997</v>
      </c>
      <c r="AZ97" s="14"/>
      <c r="BA97" s="19">
        <v>11</v>
      </c>
      <c r="BB97" s="20" t="e" cm="1">
        <f t="array" aca="1" ref="BB97" ca="1">(BA97-INDIRECT(SUBSTITUTE(ADDRESS(1,COLUMN($C$9),4),"1","")&amp;SUMPRODUCT(($B$10:$D$26=INDIRECT(SUBSTITUTE(ADDRESS(1,COLUMN()-1,4),"1","")&amp;ROW()-41))*ROW($B$10:$D$26))))/INDIRECT(SUBSTITUTE(ADDRESS(1,COLUMN($D$9),4),"1","")&amp;SUMPRODUCT(($B$10:$D$26=INDIRECT(SUBSTITUTE(ADDRESS(1,COLUMN()-1,4),"1","")&amp;ROW()-41))*ROW($B$10:$D$26)))*10+50</f>
        <v>#DIV/0!</v>
      </c>
      <c r="BC97" s="8"/>
      <c r="BD97" s="49">
        <v>33</v>
      </c>
      <c r="BE97" s="83">
        <f t="shared" si="70"/>
        <v>9</v>
      </c>
      <c r="BF97" s="15">
        <f>IF(AND(BD97&lt;&gt;"", BG97&lt;&gt;""), ROUND(100*(1-(BI96+BI97)/2/BJ$56), $B$39), "")</f>
        <v>1</v>
      </c>
      <c r="BG97" s="52">
        <v>35</v>
      </c>
      <c r="BH97" s="16">
        <f t="shared" si="103"/>
        <v>2.3722380371424697E-3</v>
      </c>
      <c r="BI97" s="17">
        <f>IF(AND(BD97&lt;&gt;"", BG97&lt;&gt;""), SUM(BG$59:BG97), "")</f>
        <v>14697</v>
      </c>
      <c r="BJ97" s="16">
        <f t="shared" si="104"/>
        <v>0.99613664091093945</v>
      </c>
      <c r="BK97" s="14"/>
      <c r="BL97" s="27">
        <v>11</v>
      </c>
      <c r="BM97" s="20" t="e" cm="1">
        <f t="array" aca="1" ref="BM97" ca="1">(BL97-INDIRECT(SUBSTITUTE(ADDRESS(1,COLUMN($C$9),4),"1","")&amp;SUMPRODUCT(($B$10:$D$26=INDIRECT(SUBSTITUTE(ADDRESS(1,COLUMN()-1,4),"1","")&amp;ROW()-41))*ROW($B$10:$D$26))))/INDIRECT(SUBSTITUTE(ADDRESS(1,COLUMN($D$9),4),"1","")&amp;SUMPRODUCT(($B$10:$D$26=INDIRECT(SUBSTITUTE(ADDRESS(1,COLUMN()-1,4),"1","")&amp;ROW()-41))*ROW($B$10:$D$26)))*10+50</f>
        <v>#DIV/0!</v>
      </c>
      <c r="BN97" s="8"/>
      <c r="BO97" s="49">
        <v>41</v>
      </c>
      <c r="BP97" s="83">
        <f t="shared" si="71"/>
        <v>7</v>
      </c>
      <c r="BQ97" s="15">
        <f>IF(AND(BO97&lt;&gt;"", BR97&lt;&gt;""), ROUND(100*(1-(BT96+BT97)/2/BU$56), $B$39), "")</f>
        <v>12</v>
      </c>
      <c r="BR97" s="52">
        <v>170</v>
      </c>
      <c r="BS97" s="16">
        <f t="shared" si="105"/>
        <v>4.1789577187807278E-2</v>
      </c>
      <c r="BT97" s="17">
        <f>IF(AND(BO97&lt;&gt;"", BR97&lt;&gt;""), SUM(BR$59:BR97), "")</f>
        <v>3663</v>
      </c>
      <c r="BU97" s="16">
        <f t="shared" si="106"/>
        <v>0.90044247787610621</v>
      </c>
      <c r="BV97" s="14"/>
      <c r="BW97" s="27">
        <v>11</v>
      </c>
      <c r="BX97" s="20" t="e" cm="1">
        <f t="array" aca="1" ref="BX97" ca="1">(BW97-INDIRECT(SUBSTITUTE(ADDRESS(1,COLUMN($C$9),4),"1","")&amp;SUMPRODUCT(($B$10:$D$26=INDIRECT(SUBSTITUTE(ADDRESS(1,COLUMN()-1,4),"1","")&amp;ROW()-41))*ROW($B$10:$D$26))))/INDIRECT(SUBSTITUTE(ADDRESS(1,COLUMN($D$9),4),"1","")&amp;SUMPRODUCT(($B$10:$D$26=INDIRECT(SUBSTITUTE(ADDRESS(1,COLUMN()-1,4),"1","")&amp;ROW()-41))*ROW($B$10:$D$26)))*10+50</f>
        <v>#DIV/0!</v>
      </c>
      <c r="BY97" s="8"/>
      <c r="BZ97" s="49">
        <v>39</v>
      </c>
      <c r="CA97" s="83">
        <f t="shared" si="72"/>
        <v>8</v>
      </c>
      <c r="CB97" s="15">
        <f>IF(AND(BZ97&lt;&gt;"", CC97&lt;&gt;""), ROUND(100*(1-(CE96+CE97)/2/CF$56), $B$39), "")</f>
        <v>7</v>
      </c>
      <c r="CC97" s="52">
        <v>187</v>
      </c>
      <c r="CD97" s="16">
        <f t="shared" si="107"/>
        <v>4.0802967488544624E-2</v>
      </c>
      <c r="CE97" s="17">
        <f>IF(AND(BZ97&lt;&gt;"", CC97&lt;&gt;""), SUM(CC$59:CC97), "")</f>
        <v>4353</v>
      </c>
      <c r="CF97" s="16">
        <f t="shared" si="108"/>
        <v>0.94981453196596111</v>
      </c>
      <c r="CG97" s="14"/>
      <c r="CH97" s="27">
        <v>11</v>
      </c>
      <c r="CI97" s="20" t="e" cm="1">
        <f t="array" aca="1" ref="CI97" ca="1">(CH97-INDIRECT(SUBSTITUTE(ADDRESS(1,COLUMN($C$9),4),"1","")&amp;SUMPRODUCT(($B$10:$D$26=INDIRECT(SUBSTITUTE(ADDRESS(1,COLUMN()-1,4),"1","")&amp;ROW()-41))*ROW($B$10:$D$26))))/INDIRECT(SUBSTITUTE(ADDRESS(1,COLUMN($D$9),4),"1","")&amp;SUMPRODUCT(($B$10:$D$26=INDIRECT(SUBSTITUTE(ADDRESS(1,COLUMN()-1,4),"1","")&amp;ROW()-41))*ROW($B$10:$D$26)))*10+50</f>
        <v>#DIV/0!</v>
      </c>
      <c r="CJ97" s="8"/>
      <c r="CK97" s="49">
        <v>36</v>
      </c>
      <c r="CL97" s="83">
        <f t="shared" si="73"/>
        <v>9</v>
      </c>
      <c r="CM97" s="15">
        <f>IF(AND(CK97&lt;&gt;"", CN97&lt;&gt;""), ROUND(100*(1-(CP96+CP97)/2/CQ$56), $B$39), "")</f>
        <v>0</v>
      </c>
      <c r="CN97" s="52">
        <v>20</v>
      </c>
      <c r="CO97" s="16">
        <f t="shared" ref="CO97:CO98" si="111">IF(AND(CK97&lt;&gt;"", CN97&lt;&gt;""), CN97/CQ$56, "")</f>
        <v>2.517940324814302E-3</v>
      </c>
      <c r="CP97" s="17">
        <f>IF(AND(CK97&lt;&gt;"", CN97&lt;&gt;""), SUM(CN$59:CN97), "")</f>
        <v>7943</v>
      </c>
      <c r="CQ97" s="16">
        <f t="shared" ref="CQ97:CQ98" si="112">IF(AND(CK97&lt;&gt;"", CN97&lt;&gt;""), CP97/CQ$56, "")</f>
        <v>1</v>
      </c>
      <c r="CR97" s="14"/>
      <c r="CS97" s="27">
        <v>11</v>
      </c>
      <c r="CT97" s="20" t="e" cm="1">
        <f t="array" aca="1" ref="CT97" ca="1">(CS97-INDIRECT(SUBSTITUTE(ADDRESS(1,COLUMN($C$9),4),"1","")&amp;SUMPRODUCT(($B$10:$D$26=INDIRECT(SUBSTITUTE(ADDRESS(1,COLUMN()-1,4),"1","")&amp;ROW()-41))*ROW($B$10:$D$26))))/INDIRECT(SUBSTITUTE(ADDRESS(1,COLUMN($D$9),4),"1","")&amp;SUMPRODUCT(($B$10:$D$26=INDIRECT(SUBSTITUTE(ADDRESS(1,COLUMN()-1,4),"1","")&amp;ROW()-41))*ROW($B$10:$D$26)))*10+50</f>
        <v>#DIV/0!</v>
      </c>
      <c r="CU97" s="8"/>
      <c r="CV97" s="49">
        <v>42</v>
      </c>
      <c r="CW97" s="83">
        <f t="shared" si="74"/>
        <v>7</v>
      </c>
      <c r="CX97" s="15">
        <f>IF(AND(CV97&lt;&gt;"", CY97&lt;&gt;""), ROUND(100*(1-(DA96+DA97)/2/DB$56), $B$39), "")</f>
        <v>19</v>
      </c>
      <c r="CY97" s="52">
        <v>244</v>
      </c>
      <c r="CZ97" s="16">
        <f t="shared" si="109"/>
        <v>4.6725392569896593E-2</v>
      </c>
      <c r="DA97" s="17">
        <f>IF(AND(CV97&lt;&gt;"", CY97&lt;&gt;""), SUM(CY$59:CY97), "")</f>
        <v>4364</v>
      </c>
      <c r="DB97" s="16">
        <f t="shared" si="110"/>
        <v>0.83569513596323253</v>
      </c>
    </row>
    <row r="98" spans="1:106" ht="16" customHeight="1" x14ac:dyDescent="0.2">
      <c r="E98" s="1"/>
      <c r="F98" s="1"/>
      <c r="G98" s="1"/>
      <c r="H98" s="1"/>
      <c r="I98" s="1"/>
      <c r="J98" s="1"/>
      <c r="K98" s="1"/>
      <c r="L98" s="1"/>
      <c r="M98" s="1"/>
      <c r="N98"/>
      <c r="O98" s="39"/>
      <c r="P98" s="83" t="str">
        <f t="shared" si="81"/>
        <v/>
      </c>
      <c r="Q98" s="164" t="str">
        <f t="shared" si="79"/>
        <v/>
      </c>
      <c r="R98" s="39"/>
      <c r="S98" s="16" t="str">
        <f t="shared" si="75"/>
        <v/>
      </c>
      <c r="T98" s="17" t="str">
        <f>IF(AND(O98&lt;&gt;"", R98&lt;&gt;""), SUM(R$4:R98), "")</f>
        <v/>
      </c>
      <c r="U98" s="16" t="str">
        <f t="shared" si="76"/>
        <v/>
      </c>
      <c r="W98" s="46"/>
      <c r="X98" s="83"/>
      <c r="Y98" s="164" t="str">
        <f t="shared" si="80"/>
        <v/>
      </c>
      <c r="Z98" s="47"/>
      <c r="AA98" s="16"/>
      <c r="AB98" s="17"/>
      <c r="AC98" s="16"/>
      <c r="AD98" s="1"/>
      <c r="AE98" s="19">
        <v>10</v>
      </c>
      <c r="AF98" s="20" t="e" cm="1">
        <f t="array" aca="1" ref="AF98" ca="1">(AE98-INDIRECT(SUBSTITUTE(ADDRESS(1,COLUMN($C$9),4),"1","")&amp;SUMPRODUCT(($B$10:$D$26=INDIRECT(SUBSTITUTE(ADDRESS(1,COLUMN()-1,4),"1","")&amp;ROW()-42))*ROW($B$10:$D$26))))/INDIRECT(SUBSTITUTE(ADDRESS(1,COLUMN($D$9),4),"1","")&amp;SUMPRODUCT(($B$10:$D$26=INDIRECT(SUBSTITUTE(ADDRESS(1,COLUMN()-1,4),"1","")&amp;ROW()-42))*ROW($B$10:$D$26)))*10+50</f>
        <v>#DIV/0!</v>
      </c>
      <c r="AG98" s="8"/>
      <c r="AH98" s="49">
        <v>31</v>
      </c>
      <c r="AI98" s="83">
        <f t="shared" si="68"/>
        <v>9</v>
      </c>
      <c r="AJ98" s="15">
        <f>IF(AND(AH98&lt;&gt;"", AK98&lt;&gt;""), ROUND(100*(1-(AM97+AM98)/2/AN$56), $B$39), "")</f>
        <v>0</v>
      </c>
      <c r="AK98" s="52">
        <v>78</v>
      </c>
      <c r="AL98" s="16">
        <f t="shared" si="99"/>
        <v>4.0773653946680607E-3</v>
      </c>
      <c r="AM98" s="17">
        <f>IF(AND(AH98&lt;&gt;"", AK98&lt;&gt;""), SUM(AK$59:AK98), "")</f>
        <v>19130</v>
      </c>
      <c r="AN98" s="16">
        <f t="shared" si="100"/>
        <v>1</v>
      </c>
      <c r="AO98" s="14"/>
      <c r="AP98" s="19">
        <v>10</v>
      </c>
      <c r="AQ98" s="20" t="e" cm="1">
        <f t="array" aca="1" ref="AQ98" ca="1">(AP98-INDIRECT(SUBSTITUTE(ADDRESS(1,COLUMN($C$9),4),"1","")&amp;SUMPRODUCT(($B$10:$D$26=INDIRECT(SUBSTITUTE(ADDRESS(1,COLUMN()-1,4),"1","")&amp;ROW()-42))*ROW($B$10:$D$26))))/INDIRECT(SUBSTITUTE(ADDRESS(1,COLUMN($D$9),4),"1","")&amp;SUMPRODUCT(($B$10:$D$26=INDIRECT(SUBSTITUTE(ADDRESS(1,COLUMN()-1,4),"1","")&amp;ROW()-42))*ROW($B$10:$D$26)))*10+50</f>
        <v>#DIV/0!</v>
      </c>
      <c r="AR98" s="8"/>
      <c r="AS98" s="49">
        <v>32</v>
      </c>
      <c r="AT98" s="83">
        <f t="shared" si="69"/>
        <v>9</v>
      </c>
      <c r="AU98" s="15">
        <f>IF(AND(AS98&lt;&gt;"", AV98&lt;&gt;""), ROUND(100*(1-(AX97+AX98)/2/AY$56), $B$39), "")</f>
        <v>0</v>
      </c>
      <c r="AV98" s="52">
        <v>65</v>
      </c>
      <c r="AW98" s="16">
        <f t="shared" si="101"/>
        <v>3.3947876952002925E-3</v>
      </c>
      <c r="AX98" s="17">
        <f>IF(AND(AS98&lt;&gt;"", AV98&lt;&gt;""), SUM(AV$59:AV98), "")</f>
        <v>19147</v>
      </c>
      <c r="AY98" s="16">
        <f t="shared" si="102"/>
        <v>1</v>
      </c>
      <c r="AZ98" s="14"/>
      <c r="BA98" s="19">
        <v>10</v>
      </c>
      <c r="BB98" s="20" t="e" cm="1">
        <f t="array" aca="1" ref="BB98" ca="1">(BA98-INDIRECT(SUBSTITUTE(ADDRESS(1,COLUMN($C$9),4),"1","")&amp;SUMPRODUCT(($B$10:$D$26=INDIRECT(SUBSTITUTE(ADDRESS(1,COLUMN()-1,4),"1","")&amp;ROW()-42))*ROW($B$10:$D$26))))/INDIRECT(SUBSTITUTE(ADDRESS(1,COLUMN($D$9),4),"1","")&amp;SUMPRODUCT(($B$10:$D$26=INDIRECT(SUBSTITUTE(ADDRESS(1,COLUMN()-1,4),"1","")&amp;ROW()-42))*ROW($B$10:$D$26)))*10+50</f>
        <v>#DIV/0!</v>
      </c>
      <c r="BC98" s="8"/>
      <c r="BD98" s="49">
        <v>33</v>
      </c>
      <c r="BE98" s="83">
        <f t="shared" si="70"/>
        <v>9</v>
      </c>
      <c r="BF98" s="15">
        <f>IF(AND(BD98&lt;&gt;"", BG98&lt;&gt;""), ROUND(100*(1-(BI97+BI98)/2/BJ$56), $B$39), "")</f>
        <v>0</v>
      </c>
      <c r="BG98" s="52">
        <v>57</v>
      </c>
      <c r="BH98" s="16">
        <f t="shared" si="103"/>
        <v>3.8633590890605938E-3</v>
      </c>
      <c r="BI98" s="17">
        <f>IF(AND(BD98&lt;&gt;"", BG98&lt;&gt;""), SUM(BG$59:BG98), "")</f>
        <v>14754</v>
      </c>
      <c r="BJ98" s="16">
        <f t="shared" si="104"/>
        <v>1</v>
      </c>
      <c r="BK98" s="14"/>
      <c r="BL98" s="27">
        <v>10</v>
      </c>
      <c r="BM98" s="20" t="e" cm="1">
        <f t="array" aca="1" ref="BM98" ca="1">(BL98-INDIRECT(SUBSTITUTE(ADDRESS(1,COLUMN($C$9),4),"1","")&amp;SUMPRODUCT(($B$10:$D$26=INDIRECT(SUBSTITUTE(ADDRESS(1,COLUMN()-1,4),"1","")&amp;ROW()-42))*ROW($B$10:$D$26))))/INDIRECT(SUBSTITUTE(ADDRESS(1,COLUMN($D$9),4),"1","")&amp;SUMPRODUCT(($B$10:$D$26=INDIRECT(SUBSTITUTE(ADDRESS(1,COLUMN()-1,4),"1","")&amp;ROW()-42))*ROW($B$10:$D$26)))*10+50</f>
        <v>#DIV/0!</v>
      </c>
      <c r="BN98" s="8"/>
      <c r="BO98" s="49">
        <v>40</v>
      </c>
      <c r="BP98" s="83">
        <f t="shared" si="71"/>
        <v>8</v>
      </c>
      <c r="BQ98" s="15">
        <f>IF(AND(BO98&lt;&gt;"", BR98&lt;&gt;""), ROUND(100*(1-(BT97+BT98)/2/BU$56), $B$39), "")</f>
        <v>9</v>
      </c>
      <c r="BR98" s="52">
        <v>89</v>
      </c>
      <c r="BS98" s="16">
        <f t="shared" si="105"/>
        <v>2.1878072763028514E-2</v>
      </c>
      <c r="BT98" s="17">
        <f>IF(AND(BO98&lt;&gt;"", BR98&lt;&gt;""), SUM(BR$59:BR98), "")</f>
        <v>3752</v>
      </c>
      <c r="BU98" s="16">
        <f t="shared" si="106"/>
        <v>0.92232055063913476</v>
      </c>
      <c r="BV98" s="14"/>
      <c r="BW98" s="27">
        <v>10</v>
      </c>
      <c r="BX98" s="20" t="e" cm="1">
        <f t="array" aca="1" ref="BX98" ca="1">(BW98-INDIRECT(SUBSTITUTE(ADDRESS(1,COLUMN($C$9),4),"1","")&amp;SUMPRODUCT(($B$10:$D$26=INDIRECT(SUBSTITUTE(ADDRESS(1,COLUMN()-1,4),"1","")&amp;ROW()-42))*ROW($B$10:$D$26))))/INDIRECT(SUBSTITUTE(ADDRESS(1,COLUMN($D$9),4),"1","")&amp;SUMPRODUCT(($B$10:$D$26=INDIRECT(SUBSTITUTE(ADDRESS(1,COLUMN()-1,4),"1","")&amp;ROW()-42))*ROW($B$10:$D$26)))*10+50</f>
        <v>#DIV/0!</v>
      </c>
      <c r="BY98" s="8"/>
      <c r="BZ98" s="49">
        <v>38</v>
      </c>
      <c r="CA98" s="83">
        <f t="shared" si="72"/>
        <v>8</v>
      </c>
      <c r="CB98" s="15">
        <f>IF(AND(BZ98&lt;&gt;"", CC98&lt;&gt;""), ROUND(100*(1-(CE97+CE98)/2/CF$56), $B$39), "")</f>
        <v>4</v>
      </c>
      <c r="CC98" s="52">
        <v>58</v>
      </c>
      <c r="CD98" s="16">
        <f t="shared" si="107"/>
        <v>1.2655465852061967E-2</v>
      </c>
      <c r="CE98" s="17">
        <f>IF(AND(BZ98&lt;&gt;"", CC98&lt;&gt;""), SUM(CC$59:CC98), "")</f>
        <v>4411</v>
      </c>
      <c r="CF98" s="16">
        <f t="shared" si="108"/>
        <v>0.96246999781802312</v>
      </c>
      <c r="CG98" s="14"/>
      <c r="CH98" s="27">
        <v>10</v>
      </c>
      <c r="CI98" s="20" t="e" cm="1">
        <f t="array" aca="1" ref="CI98" ca="1">(CH98-INDIRECT(SUBSTITUTE(ADDRESS(1,COLUMN($C$9),4),"1","")&amp;SUMPRODUCT(($B$10:$D$26=INDIRECT(SUBSTITUTE(ADDRESS(1,COLUMN()-1,4),"1","")&amp;ROW()-42))*ROW($B$10:$D$26))))/INDIRECT(SUBSTITUTE(ADDRESS(1,COLUMN($D$9),4),"1","")&amp;SUMPRODUCT(($B$10:$D$26=INDIRECT(SUBSTITUTE(ADDRESS(1,COLUMN()-1,4),"1","")&amp;ROW()-42))*ROW($B$10:$D$26)))*10+50</f>
        <v>#DIV/0!</v>
      </c>
      <c r="CJ98" s="8"/>
      <c r="CK98" s="49"/>
      <c r="CL98" s="83" t="str">
        <f t="shared" si="73"/>
        <v/>
      </c>
      <c r="CM98" s="15" t="str">
        <f>IF(AND(CK98&lt;&gt;"", CN98&lt;&gt;""), ROUND(100*(1-(CP97+CP98)/2/CQ$56), $B$39), "")</f>
        <v/>
      </c>
      <c r="CN98" s="52"/>
      <c r="CO98" s="16" t="str">
        <f t="shared" si="111"/>
        <v/>
      </c>
      <c r="CP98" s="17" t="str">
        <f>IF(AND(CK98&lt;&gt;"", CN98&lt;&gt;""), SUM(CN$59:CN98), "")</f>
        <v/>
      </c>
      <c r="CQ98" s="16" t="str">
        <f t="shared" si="112"/>
        <v/>
      </c>
      <c r="CR98" s="14"/>
      <c r="CS98" s="27">
        <v>10</v>
      </c>
      <c r="CT98" s="20" t="e" cm="1">
        <f t="array" aca="1" ref="CT98" ca="1">(CS98-INDIRECT(SUBSTITUTE(ADDRESS(1,COLUMN($C$9),4),"1","")&amp;SUMPRODUCT(($B$10:$D$26=INDIRECT(SUBSTITUTE(ADDRESS(1,COLUMN()-1,4),"1","")&amp;ROW()-42))*ROW($B$10:$D$26))))/INDIRECT(SUBSTITUTE(ADDRESS(1,COLUMN($D$9),4),"1","")&amp;SUMPRODUCT(($B$10:$D$26=INDIRECT(SUBSTITUTE(ADDRESS(1,COLUMN()-1,4),"1","")&amp;ROW()-42))*ROW($B$10:$D$26)))*10+50</f>
        <v>#DIV/0!</v>
      </c>
      <c r="CU98" s="8"/>
      <c r="CV98" s="49">
        <v>41</v>
      </c>
      <c r="CW98" s="83">
        <f t="shared" si="74"/>
        <v>7</v>
      </c>
      <c r="CX98" s="15">
        <f>IF(AND(CV98&lt;&gt;"", CY98&lt;&gt;""), ROUND(100*(1-(DA97+DA98)/2/DB$56), $B$39), "")</f>
        <v>14</v>
      </c>
      <c r="CY98" s="52">
        <v>219</v>
      </c>
      <c r="CZ98" s="16">
        <f t="shared" si="109"/>
        <v>4.1937954806587512E-2</v>
      </c>
      <c r="DA98" s="17">
        <f>IF(AND(CV98&lt;&gt;"", CY98&lt;&gt;""), SUM(CY$59:CY98), "")</f>
        <v>4583</v>
      </c>
      <c r="DB98" s="16">
        <f t="shared" si="110"/>
        <v>0.87763309076981999</v>
      </c>
    </row>
    <row r="99" spans="1:106" ht="16" customHeight="1" thickBot="1" x14ac:dyDescent="0.25">
      <c r="A99" s="1"/>
      <c r="B99" s="1"/>
      <c r="C99" s="1"/>
      <c r="D99" s="1"/>
      <c r="E99" s="1"/>
      <c r="F99" s="117" t="s">
        <v>10</v>
      </c>
      <c r="G99" s="118"/>
      <c r="H99" s="36"/>
      <c r="I99" s="117" t="s">
        <v>33</v>
      </c>
      <c r="J99" s="118"/>
      <c r="K99" s="36"/>
      <c r="L99" s="36"/>
      <c r="M99" s="36"/>
      <c r="N99"/>
      <c r="O99" s="40"/>
      <c r="P99" s="83" t="str">
        <f t="shared" si="81"/>
        <v/>
      </c>
      <c r="Q99" s="164" t="str">
        <f t="shared" si="79"/>
        <v/>
      </c>
      <c r="R99" s="40"/>
      <c r="S99" s="16" t="str">
        <f t="shared" si="75"/>
        <v/>
      </c>
      <c r="T99" s="17" t="str">
        <f>IF(AND(O99&lt;&gt;"", R99&lt;&gt;""), SUM(R$4:R99), "")</f>
        <v/>
      </c>
      <c r="U99" s="16" t="str">
        <f t="shared" si="76"/>
        <v/>
      </c>
      <c r="W99" s="40"/>
      <c r="X99" s="83"/>
      <c r="Y99" s="164" t="str">
        <f t="shared" si="80"/>
        <v/>
      </c>
      <c r="Z99" s="40"/>
      <c r="AA99" s="16"/>
      <c r="AB99" s="17"/>
      <c r="AC99" s="16"/>
      <c r="AD99" s="1"/>
      <c r="AE99" s="19">
        <v>9</v>
      </c>
      <c r="AF99" s="20" t="e" cm="1">
        <f t="array" aca="1" ref="AF99" ca="1">(AE99-INDIRECT(SUBSTITUTE(ADDRESS(1,COLUMN($C$9),4),"1","")&amp;SUMPRODUCT(($B$10:$D$26=INDIRECT(SUBSTITUTE(ADDRESS(1,COLUMN()-1,4),"1","")&amp;ROW()-43))*ROW($B$10:$D$26))))/INDIRECT(SUBSTITUTE(ADDRESS(1,COLUMN($D$9),4),"1","")&amp;SUMPRODUCT(($B$10:$D$26=INDIRECT(SUBSTITUTE(ADDRESS(1,COLUMN()-1,4),"1","")&amp;ROW()-43))*ROW($B$10:$D$26)))*10+50</f>
        <v>#DIV/0!</v>
      </c>
      <c r="AG99" s="8"/>
      <c r="AH99" s="49"/>
      <c r="AI99" s="83" t="str">
        <f t="shared" si="68"/>
        <v/>
      </c>
      <c r="AJ99" s="15" t="str">
        <f>IF(AND(AH99&lt;&gt;"", AK99&lt;&gt;""), ROUND(100*(1-(AM98+AM99)/2/AN$56), $B$39), "")</f>
        <v/>
      </c>
      <c r="AK99" s="52"/>
      <c r="AL99" s="16" t="str">
        <f t="shared" si="99"/>
        <v/>
      </c>
      <c r="AM99" s="17" t="str">
        <f>IF(AND(AH99&lt;&gt;"", AK99&lt;&gt;""), SUM(AK$59:AK99), "")</f>
        <v/>
      </c>
      <c r="AN99" s="16" t="str">
        <f t="shared" si="100"/>
        <v/>
      </c>
      <c r="AO99" s="14"/>
      <c r="AP99" s="19">
        <v>9</v>
      </c>
      <c r="AQ99" s="20" t="e" cm="1">
        <f t="array" aca="1" ref="AQ99" ca="1">(AP99-INDIRECT(SUBSTITUTE(ADDRESS(1,COLUMN($C$9),4),"1","")&amp;SUMPRODUCT(($B$10:$D$26=INDIRECT(SUBSTITUTE(ADDRESS(1,COLUMN()-1,4),"1","")&amp;ROW()-43))*ROW($B$10:$D$26))))/INDIRECT(SUBSTITUTE(ADDRESS(1,COLUMN($D$9),4),"1","")&amp;SUMPRODUCT(($B$10:$D$26=INDIRECT(SUBSTITUTE(ADDRESS(1,COLUMN()-1,4),"1","")&amp;ROW()-43))*ROW($B$10:$D$26)))*10+50</f>
        <v>#DIV/0!</v>
      </c>
      <c r="AR99" s="8"/>
      <c r="AS99" s="49"/>
      <c r="AT99" s="83" t="str">
        <f t="shared" si="69"/>
        <v/>
      </c>
      <c r="AU99" s="15" t="str">
        <f>IF(AND(AS99&lt;&gt;"", AV99&lt;&gt;""), ROUND(100*(1-(AX98+AX99)/2/AY$56), $B$39), "")</f>
        <v/>
      </c>
      <c r="AV99" s="52"/>
      <c r="AW99" s="16" t="str">
        <f t="shared" si="101"/>
        <v/>
      </c>
      <c r="AX99" s="17" t="str">
        <f>IF(AND(AS99&lt;&gt;"", AV99&lt;&gt;""), SUM(AV$59:AV99), "")</f>
        <v/>
      </c>
      <c r="AY99" s="16" t="str">
        <f t="shared" si="102"/>
        <v/>
      </c>
      <c r="AZ99" s="14"/>
      <c r="BA99" s="19">
        <v>9</v>
      </c>
      <c r="BB99" s="20" t="e" cm="1">
        <f t="array" aca="1" ref="BB99" ca="1">(BA99-INDIRECT(SUBSTITUTE(ADDRESS(1,COLUMN($C$9),4),"1","")&amp;SUMPRODUCT(($B$10:$D$26=INDIRECT(SUBSTITUTE(ADDRESS(1,COLUMN()-1,4),"1","")&amp;ROW()-43))*ROW($B$10:$D$26))))/INDIRECT(SUBSTITUTE(ADDRESS(1,COLUMN($D$9),4),"1","")&amp;SUMPRODUCT(($B$10:$D$26=INDIRECT(SUBSTITUTE(ADDRESS(1,COLUMN()-1,4),"1","")&amp;ROW()-43))*ROW($B$10:$D$26)))*10+50</f>
        <v>#DIV/0!</v>
      </c>
      <c r="BC99" s="8"/>
      <c r="BD99" s="49"/>
      <c r="BE99" s="83" t="str">
        <f t="shared" si="70"/>
        <v/>
      </c>
      <c r="BF99" s="15" t="str">
        <f>IF(AND(BD99&lt;&gt;"", BG99&lt;&gt;""), ROUND(100*(1-(BI98+BI99)/2/BJ$56), $B$39), "")</f>
        <v/>
      </c>
      <c r="BG99" s="52"/>
      <c r="BH99" s="16" t="str">
        <f t="shared" si="103"/>
        <v/>
      </c>
      <c r="BI99" s="17" t="str">
        <f>IF(AND(BD99&lt;&gt;"", BG99&lt;&gt;""), SUM(BG$59:BG99), "")</f>
        <v/>
      </c>
      <c r="BJ99" s="16" t="str">
        <f t="shared" si="104"/>
        <v/>
      </c>
      <c r="BK99" s="14"/>
      <c r="BL99" s="27">
        <v>9</v>
      </c>
      <c r="BM99" s="20" t="e" cm="1">
        <f t="array" aca="1" ref="BM99" ca="1">(BL99-INDIRECT(SUBSTITUTE(ADDRESS(1,COLUMN($C$9),4),"1","")&amp;SUMPRODUCT(($B$10:$D$26=INDIRECT(SUBSTITUTE(ADDRESS(1,COLUMN()-1,4),"1","")&amp;ROW()-43))*ROW($B$10:$D$26))))/INDIRECT(SUBSTITUTE(ADDRESS(1,COLUMN($D$9),4),"1","")&amp;SUMPRODUCT(($B$10:$D$26=INDIRECT(SUBSTITUTE(ADDRESS(1,COLUMN()-1,4),"1","")&amp;ROW()-43))*ROW($B$10:$D$26)))*10+50</f>
        <v>#DIV/0!</v>
      </c>
      <c r="BN99" s="8"/>
      <c r="BO99" s="49">
        <v>39</v>
      </c>
      <c r="BP99" s="83">
        <f t="shared" si="71"/>
        <v>8</v>
      </c>
      <c r="BQ99" s="15">
        <f>IF(AND(BO99&lt;&gt;"", BR99&lt;&gt;""), ROUND(100*(1-(BT98+BT99)/2/BU$56), $B$39), "")</f>
        <v>6</v>
      </c>
      <c r="BR99" s="52">
        <v>158</v>
      </c>
      <c r="BS99" s="16">
        <f t="shared" si="105"/>
        <v>3.8839724680432647E-2</v>
      </c>
      <c r="BT99" s="17">
        <f>IF(AND(BO99&lt;&gt;"", BR99&lt;&gt;""), SUM(BR$59:BR99), "")</f>
        <v>3910</v>
      </c>
      <c r="BU99" s="16">
        <f t="shared" si="106"/>
        <v>0.96116027531956738</v>
      </c>
      <c r="BV99" s="14"/>
      <c r="BW99" s="27">
        <v>9</v>
      </c>
      <c r="BX99" s="20" t="e" cm="1">
        <f t="array" aca="1" ref="BX99" ca="1">(BW99-INDIRECT(SUBSTITUTE(ADDRESS(1,COLUMN($C$9),4),"1","")&amp;SUMPRODUCT(($B$10:$D$26=INDIRECT(SUBSTITUTE(ADDRESS(1,COLUMN()-1,4),"1","")&amp;ROW()-43))*ROW($B$10:$D$26))))/INDIRECT(SUBSTITUTE(ADDRESS(1,COLUMN($D$9),4),"1","")&amp;SUMPRODUCT(($B$10:$D$26=INDIRECT(SUBSTITUTE(ADDRESS(1,COLUMN()-1,4),"1","")&amp;ROW()-43))*ROW($B$10:$D$26)))*10+50</f>
        <v>#DIV/0!</v>
      </c>
      <c r="BY99" s="8"/>
      <c r="BZ99" s="49">
        <v>37</v>
      </c>
      <c r="CA99" s="83">
        <f t="shared" si="72"/>
        <v>9</v>
      </c>
      <c r="CB99" s="15">
        <f>IF(AND(BZ99&lt;&gt;"", CC99&lt;&gt;""), ROUND(100*(1-(CE98+CE99)/2/CF$56), $B$39), "")</f>
        <v>3</v>
      </c>
      <c r="CC99" s="52">
        <v>35</v>
      </c>
      <c r="CD99" s="16">
        <f t="shared" si="107"/>
        <v>7.6369190486580843E-3</v>
      </c>
      <c r="CE99" s="17">
        <f>IF(AND(BZ99&lt;&gt;"", CC99&lt;&gt;""), SUM(CC$59:CC99), "")</f>
        <v>4446</v>
      </c>
      <c r="CF99" s="16">
        <f t="shared" si="108"/>
        <v>0.97010691686668127</v>
      </c>
      <c r="CG99" s="14"/>
      <c r="CH99" s="27">
        <v>9</v>
      </c>
      <c r="CI99" s="20" t="e" cm="1">
        <f t="array" aca="1" ref="CI99" ca="1">(CH99-INDIRECT(SUBSTITUTE(ADDRESS(1,COLUMN($C$9),4),"1","")&amp;SUMPRODUCT(($B$10:$D$26=INDIRECT(SUBSTITUTE(ADDRESS(1,COLUMN()-1,4),"1","")&amp;ROW()-43))*ROW($B$10:$D$26))))/INDIRECT(SUBSTITUTE(ADDRESS(1,COLUMN($D$9),4),"1","")&amp;SUMPRODUCT(($B$10:$D$26=INDIRECT(SUBSTITUTE(ADDRESS(1,COLUMN()-1,4),"1","")&amp;ROW()-43))*ROW($B$10:$D$26)))*10+50</f>
        <v>#DIV/0!</v>
      </c>
      <c r="CJ99" s="8"/>
      <c r="CK99" s="49"/>
      <c r="CL99" s="83" t="str">
        <f t="shared" si="73"/>
        <v/>
      </c>
      <c r="CM99" s="15" t="str">
        <f>IF(AND(CK99&lt;&gt;"", CN99&lt;&gt;""), ROUND(100*(1-(CP98+CP99)/2/CQ$56), $B$39), "")</f>
        <v/>
      </c>
      <c r="CN99" s="52"/>
      <c r="CO99" s="16" t="str">
        <f t="shared" ref="CO99:CO107" si="113">IF(AND(CK99&lt;&gt;"", CN99&lt;&gt;""), CN99/CQ$56, "")</f>
        <v/>
      </c>
      <c r="CP99" s="17" t="str">
        <f>IF(AND(CK99&lt;&gt;"", CN99&lt;&gt;""), SUM(CN$59:CN99), "")</f>
        <v/>
      </c>
      <c r="CQ99" s="16" t="str">
        <f t="shared" ref="CQ99:CQ107" si="114">IF(AND(CK99&lt;&gt;"", CN99&lt;&gt;""), CP99/CQ$56, "")</f>
        <v/>
      </c>
      <c r="CR99" s="14"/>
      <c r="CS99" s="27">
        <v>9</v>
      </c>
      <c r="CT99" s="20" t="e" cm="1">
        <f t="array" aca="1" ref="CT99" ca="1">(CS99-INDIRECT(SUBSTITUTE(ADDRESS(1,COLUMN($C$9),4),"1","")&amp;SUMPRODUCT(($B$10:$D$26=INDIRECT(SUBSTITUTE(ADDRESS(1,COLUMN()-1,4),"1","")&amp;ROW()-43))*ROW($B$10:$D$26))))/INDIRECT(SUBSTITUTE(ADDRESS(1,COLUMN($D$9),4),"1","")&amp;SUMPRODUCT(($B$10:$D$26=INDIRECT(SUBSTITUTE(ADDRESS(1,COLUMN()-1,4),"1","")&amp;ROW()-43))*ROW($B$10:$D$26)))*10+50</f>
        <v>#DIV/0!</v>
      </c>
      <c r="CU99" s="8"/>
      <c r="CV99" s="49">
        <v>39</v>
      </c>
      <c r="CW99" s="83">
        <f t="shared" si="74"/>
        <v>7</v>
      </c>
      <c r="CX99" s="15">
        <f>IF(AND(CV99&lt;&gt;"", CY99&lt;&gt;""), ROUND(100*(1-(DA98+DA99)/2/DB$56), $B$39), "")</f>
        <v>11</v>
      </c>
      <c r="CY99" s="52">
        <v>121</v>
      </c>
      <c r="CZ99" s="16">
        <f t="shared" si="109"/>
        <v>2.3171198774415931E-2</v>
      </c>
      <c r="DA99" s="17">
        <f>IF(AND(CV99&lt;&gt;"", CY99&lt;&gt;""), SUM(CY$59:CY99), "")</f>
        <v>4704</v>
      </c>
      <c r="DB99" s="16">
        <f t="shared" si="110"/>
        <v>0.90080428954423597</v>
      </c>
    </row>
    <row r="100" spans="1:106" ht="16" customHeight="1" x14ac:dyDescent="0.2">
      <c r="A100" s="1"/>
      <c r="B100" s="1"/>
      <c r="C100" s="1"/>
      <c r="D100" s="1"/>
      <c r="E100" s="1"/>
      <c r="F100" s="30" t="s">
        <v>30</v>
      </c>
      <c r="G100" s="69" t="s">
        <v>14</v>
      </c>
      <c r="H100" s="36"/>
      <c r="I100" s="30" t="s">
        <v>30</v>
      </c>
      <c r="J100" s="30" t="s">
        <v>14</v>
      </c>
      <c r="K100" s="36"/>
      <c r="L100" s="36"/>
      <c r="M100" s="36"/>
      <c r="N100"/>
      <c r="O100" s="41"/>
      <c r="P100" s="83" t="str">
        <f t="shared" si="81"/>
        <v/>
      </c>
      <c r="Q100" s="164" t="str">
        <f t="shared" si="79"/>
        <v/>
      </c>
      <c r="R100" s="41"/>
      <c r="S100" s="16" t="str">
        <f t="shared" ref="S100:S110" si="115">IF(AND(O100&lt;&gt;"", R100&lt;&gt;""), R100/U$1, "")</f>
        <v/>
      </c>
      <c r="T100" s="17" t="str">
        <f>IF(AND(O100&lt;&gt;"", R100&lt;&gt;""), SUM(R$4:R100), "")</f>
        <v/>
      </c>
      <c r="U100" s="16" t="str">
        <f t="shared" ref="U100:U110" si="116">IF(AND(O100&lt;&gt;"", R100&lt;&gt;""), T100/U$1, "")</f>
        <v/>
      </c>
      <c r="W100" s="41"/>
      <c r="X100" s="83" t="str">
        <f t="shared" si="82"/>
        <v/>
      </c>
      <c r="Y100" s="164" t="str">
        <f t="shared" si="80"/>
        <v/>
      </c>
      <c r="Z100" s="41"/>
      <c r="AA100" s="16" t="str">
        <f t="shared" ref="AA100:AA111" si="117">IF(AND(W100&lt;&gt;"", Z100&lt;&gt;""), Z100/AC$1, "")</f>
        <v/>
      </c>
      <c r="AB100" s="17" t="str">
        <f>IF(AND(W100&lt;&gt;"", Z100&lt;&gt;""), SUM(Z$4:Z100), "")</f>
        <v/>
      </c>
      <c r="AC100" s="16" t="str">
        <f t="shared" ref="AC100:AC111" si="118">IF(AND(W100&lt;&gt;"", Z100&lt;&gt;""), AB100/AC$1, "")</f>
        <v/>
      </c>
      <c r="AD100" s="1"/>
      <c r="AE100" s="19">
        <v>8</v>
      </c>
      <c r="AF100" s="20" t="e" cm="1">
        <f t="array" aca="1" ref="AF100" ca="1">(AE100-INDIRECT(SUBSTITUTE(ADDRESS(1,COLUMN($C$9),4),"1","")&amp;SUMPRODUCT(($B$10:$D$26=INDIRECT(SUBSTITUTE(ADDRESS(1,COLUMN()-1,4),"1","")&amp;ROW()-44))*ROW($B$10:$D$26))))/INDIRECT(SUBSTITUTE(ADDRESS(1,COLUMN($D$9),4),"1","")&amp;SUMPRODUCT(($B$10:$D$26=INDIRECT(SUBSTITUTE(ADDRESS(1,COLUMN()-1,4),"1","")&amp;ROW()-44))*ROW($B$10:$D$26)))*10+50</f>
        <v>#DIV/0!</v>
      </c>
      <c r="AG100" s="8"/>
      <c r="AH100" s="49"/>
      <c r="AI100" s="83" t="str">
        <f t="shared" si="68"/>
        <v/>
      </c>
      <c r="AJ100" s="15" t="str">
        <f>IF(AND(AH100&lt;&gt;"", AK100&lt;&gt;""), ROUND(100*(1-(AM99+AM100)/2/AN$56), $B$39), "")</f>
        <v/>
      </c>
      <c r="AK100" s="52"/>
      <c r="AL100" s="16" t="str">
        <f t="shared" si="99"/>
        <v/>
      </c>
      <c r="AM100" s="17" t="str">
        <f>IF(AND(AH100&lt;&gt;"", AK100&lt;&gt;""), SUM(AK$59:AK100), "")</f>
        <v/>
      </c>
      <c r="AN100" s="16" t="str">
        <f t="shared" si="100"/>
        <v/>
      </c>
      <c r="AO100" s="14"/>
      <c r="AP100" s="19">
        <v>8</v>
      </c>
      <c r="AQ100" s="20" t="e" cm="1">
        <f t="array" aca="1" ref="AQ100" ca="1">(AP100-INDIRECT(SUBSTITUTE(ADDRESS(1,COLUMN($C$9),4),"1","")&amp;SUMPRODUCT(($B$10:$D$26=INDIRECT(SUBSTITUTE(ADDRESS(1,COLUMN()-1,4),"1","")&amp;ROW()-44))*ROW($B$10:$D$26))))/INDIRECT(SUBSTITUTE(ADDRESS(1,COLUMN($D$9),4),"1","")&amp;SUMPRODUCT(($B$10:$D$26=INDIRECT(SUBSTITUTE(ADDRESS(1,COLUMN()-1,4),"1","")&amp;ROW()-44))*ROW($B$10:$D$26)))*10+50</f>
        <v>#DIV/0!</v>
      </c>
      <c r="AR100" s="8"/>
      <c r="AS100" s="49"/>
      <c r="AT100" s="83" t="str">
        <f t="shared" si="69"/>
        <v/>
      </c>
      <c r="AU100" s="15" t="str">
        <f>IF(AND(AS100&lt;&gt;"", AV100&lt;&gt;""), ROUND(100*(1-(AX99+AX100)/2/AY$56), $B$39), "")</f>
        <v/>
      </c>
      <c r="AV100" s="52"/>
      <c r="AW100" s="16" t="str">
        <f t="shared" si="101"/>
        <v/>
      </c>
      <c r="AX100" s="17" t="str">
        <f>IF(AND(AS100&lt;&gt;"", AV100&lt;&gt;""), SUM(AV$59:AV100), "")</f>
        <v/>
      </c>
      <c r="AY100" s="16" t="str">
        <f t="shared" si="102"/>
        <v/>
      </c>
      <c r="AZ100" s="14"/>
      <c r="BA100" s="19">
        <v>8</v>
      </c>
      <c r="BB100" s="20" t="e" cm="1">
        <f t="array" aca="1" ref="BB100" ca="1">(BA100-INDIRECT(SUBSTITUTE(ADDRESS(1,COLUMN($C$9),4),"1","")&amp;SUMPRODUCT(($B$10:$D$26=INDIRECT(SUBSTITUTE(ADDRESS(1,COLUMN()-1,4),"1","")&amp;ROW()-44))*ROW($B$10:$D$26))))/INDIRECT(SUBSTITUTE(ADDRESS(1,COLUMN($D$9),4),"1","")&amp;SUMPRODUCT(($B$10:$D$26=INDIRECT(SUBSTITUTE(ADDRESS(1,COLUMN()-1,4),"1","")&amp;ROW()-44))*ROW($B$10:$D$26)))*10+50</f>
        <v>#DIV/0!</v>
      </c>
      <c r="BC100" s="8"/>
      <c r="BD100" s="49"/>
      <c r="BE100" s="83" t="str">
        <f t="shared" si="70"/>
        <v/>
      </c>
      <c r="BF100" s="15" t="str">
        <f>IF(AND(BD100&lt;&gt;"", BG100&lt;&gt;""), ROUND(100*(1-(BI99+BI100)/2/BJ$56), $B$39), "")</f>
        <v/>
      </c>
      <c r="BG100" s="52"/>
      <c r="BH100" s="16" t="str">
        <f t="shared" si="103"/>
        <v/>
      </c>
      <c r="BI100" s="17" t="str">
        <f>IF(AND(BD100&lt;&gt;"", BG100&lt;&gt;""), SUM(BG$59:BG100), "")</f>
        <v/>
      </c>
      <c r="BJ100" s="16" t="str">
        <f t="shared" si="104"/>
        <v/>
      </c>
      <c r="BK100" s="14"/>
      <c r="BL100" s="27">
        <v>8</v>
      </c>
      <c r="BM100" s="20" t="e" cm="1">
        <f t="array" aca="1" ref="BM100" ca="1">(BL100-INDIRECT(SUBSTITUTE(ADDRESS(1,COLUMN($C$9),4),"1","")&amp;SUMPRODUCT(($B$10:$D$26=INDIRECT(SUBSTITUTE(ADDRESS(1,COLUMN()-1,4),"1","")&amp;ROW()-44))*ROW($B$10:$D$26))))/INDIRECT(SUBSTITUTE(ADDRESS(1,COLUMN($D$9),4),"1","")&amp;SUMPRODUCT(($B$10:$D$26=INDIRECT(SUBSTITUTE(ADDRESS(1,COLUMN()-1,4),"1","")&amp;ROW()-44))*ROW($B$10:$D$26)))*10+50</f>
        <v>#DIV/0!</v>
      </c>
      <c r="BN100" s="8"/>
      <c r="BO100" s="49">
        <v>38</v>
      </c>
      <c r="BP100" s="83">
        <f t="shared" si="71"/>
        <v>9</v>
      </c>
      <c r="BQ100" s="15">
        <f>IF(AND(BO100&lt;&gt;"", BR100&lt;&gt;""), ROUND(100*(1-(BT99+BT100)/2/BU$56), $B$39), "")</f>
        <v>3</v>
      </c>
      <c r="BR100" s="52">
        <v>35</v>
      </c>
      <c r="BS100" s="16">
        <f t="shared" si="105"/>
        <v>8.603736479842675E-3</v>
      </c>
      <c r="BT100" s="17">
        <f>IF(AND(BO100&lt;&gt;"", BR100&lt;&gt;""), SUM(BR$59:BR100), "")</f>
        <v>3945</v>
      </c>
      <c r="BU100" s="16">
        <f t="shared" si="106"/>
        <v>0.96976401179941008</v>
      </c>
      <c r="BV100" s="14"/>
      <c r="BW100" s="27">
        <v>8</v>
      </c>
      <c r="BX100" s="20" t="e" cm="1">
        <f t="array" aca="1" ref="BX100" ca="1">(BW100-INDIRECT(SUBSTITUTE(ADDRESS(1,COLUMN($C$9),4),"1","")&amp;SUMPRODUCT(($B$10:$D$26=INDIRECT(SUBSTITUTE(ADDRESS(1,COLUMN()-1,4),"1","")&amp;ROW()-44))*ROW($B$10:$D$26))))/INDIRECT(SUBSTITUTE(ADDRESS(1,COLUMN($D$9),4),"1","")&amp;SUMPRODUCT(($B$10:$D$26=INDIRECT(SUBSTITUTE(ADDRESS(1,COLUMN()-1,4),"1","")&amp;ROW()-44))*ROW($B$10:$D$26)))*10+50</f>
        <v>#DIV/0!</v>
      </c>
      <c r="BY100" s="8"/>
      <c r="BZ100" s="49">
        <v>36</v>
      </c>
      <c r="CA100" s="83">
        <f t="shared" si="72"/>
        <v>9</v>
      </c>
      <c r="CB100" s="15">
        <f>IF(AND(BZ100&lt;&gt;"", CC100&lt;&gt;""), ROUND(100*(1-(CE99+CE100)/2/CF$56), $B$39), "")</f>
        <v>2</v>
      </c>
      <c r="CC100" s="52">
        <v>47</v>
      </c>
      <c r="CD100" s="16">
        <f t="shared" si="107"/>
        <v>1.0255291293912285E-2</v>
      </c>
      <c r="CE100" s="17">
        <f>IF(AND(BZ100&lt;&gt;"", CC100&lt;&gt;""), SUM(CC$59:CC100), "")</f>
        <v>4493</v>
      </c>
      <c r="CF100" s="16">
        <f t="shared" si="108"/>
        <v>0.9803622081605935</v>
      </c>
      <c r="CG100" s="14"/>
      <c r="CH100" s="27">
        <v>8</v>
      </c>
      <c r="CI100" s="20" t="e" cm="1">
        <f t="array" aca="1" ref="CI100" ca="1">(CH100-INDIRECT(SUBSTITUTE(ADDRESS(1,COLUMN($C$9),4),"1","")&amp;SUMPRODUCT(($B$10:$D$26=INDIRECT(SUBSTITUTE(ADDRESS(1,COLUMN()-1,4),"1","")&amp;ROW()-44))*ROW($B$10:$D$26))))/INDIRECT(SUBSTITUTE(ADDRESS(1,COLUMN($D$9),4),"1","")&amp;SUMPRODUCT(($B$10:$D$26=INDIRECT(SUBSTITUTE(ADDRESS(1,COLUMN()-1,4),"1","")&amp;ROW()-44))*ROW($B$10:$D$26)))*10+50</f>
        <v>#DIV/0!</v>
      </c>
      <c r="CJ100" s="8"/>
      <c r="CK100" s="49"/>
      <c r="CL100" s="83" t="str">
        <f t="shared" si="73"/>
        <v/>
      </c>
      <c r="CM100" s="15" t="str">
        <f>IF(AND(CK100&lt;&gt;"", CN100&lt;&gt;""), ROUND(100*(1-(CP99+CP100)/2/CQ$56), $B$39), "")</f>
        <v/>
      </c>
      <c r="CN100" s="52"/>
      <c r="CO100" s="16" t="str">
        <f t="shared" si="113"/>
        <v/>
      </c>
      <c r="CP100" s="17" t="str">
        <f>IF(AND(CK100&lt;&gt;"", CN100&lt;&gt;""), SUM(CN$59:CN100), "")</f>
        <v/>
      </c>
      <c r="CQ100" s="16" t="str">
        <f t="shared" si="114"/>
        <v/>
      </c>
      <c r="CR100" s="14"/>
      <c r="CS100" s="27">
        <v>8</v>
      </c>
      <c r="CT100" s="20" t="e" cm="1">
        <f t="array" aca="1" ref="CT100" ca="1">(CS100-INDIRECT(SUBSTITUTE(ADDRESS(1,COLUMN($C$9),4),"1","")&amp;SUMPRODUCT(($B$10:$D$26=INDIRECT(SUBSTITUTE(ADDRESS(1,COLUMN()-1,4),"1","")&amp;ROW()-44))*ROW($B$10:$D$26))))/INDIRECT(SUBSTITUTE(ADDRESS(1,COLUMN($D$9),4),"1","")&amp;SUMPRODUCT(($B$10:$D$26=INDIRECT(SUBSTITUTE(ADDRESS(1,COLUMN()-1,4),"1","")&amp;ROW()-44))*ROW($B$10:$D$26)))*10+50</f>
        <v>#DIV/0!</v>
      </c>
      <c r="CU100" s="8"/>
      <c r="CV100" s="49">
        <v>38</v>
      </c>
      <c r="CW100" s="83">
        <f t="shared" si="74"/>
        <v>8</v>
      </c>
      <c r="CX100" s="15">
        <f>IF(AND(CV100&lt;&gt;"", CY100&lt;&gt;""), ROUND(100*(1-(DA99+DA100)/2/DB$56), $B$39), "")</f>
        <v>9</v>
      </c>
      <c r="CY100" s="52">
        <v>139</v>
      </c>
      <c r="CZ100" s="16">
        <f t="shared" si="109"/>
        <v>2.6618153963998466E-2</v>
      </c>
      <c r="DA100" s="17">
        <f>IF(AND(CV100&lt;&gt;"", CY100&lt;&gt;""), SUM(CY$59:CY100), "")</f>
        <v>4843</v>
      </c>
      <c r="DB100" s="16">
        <f t="shared" si="110"/>
        <v>0.92742244350823444</v>
      </c>
    </row>
    <row r="101" spans="1:106" ht="16" customHeight="1" x14ac:dyDescent="0.2">
      <c r="A101" s="1"/>
      <c r="B101" s="1"/>
      <c r="C101" s="1"/>
      <c r="D101" s="1"/>
      <c r="E101" s="1"/>
      <c r="F101" s="87"/>
      <c r="G101" s="69">
        <v>1</v>
      </c>
      <c r="H101" s="36"/>
      <c r="I101" s="86"/>
      <c r="J101" s="85">
        <v>1</v>
      </c>
      <c r="K101" s="70"/>
      <c r="L101" s="70"/>
      <c r="M101" s="70"/>
      <c r="N101"/>
      <c r="O101" s="39"/>
      <c r="P101" s="83" t="str">
        <f t="shared" si="81"/>
        <v/>
      </c>
      <c r="Q101" s="164" t="str">
        <f t="shared" si="79"/>
        <v/>
      </c>
      <c r="R101" s="43"/>
      <c r="S101" s="16" t="str">
        <f t="shared" si="115"/>
        <v/>
      </c>
      <c r="T101" s="17" t="str">
        <f>IF(AND(O101&lt;&gt;"", R101&lt;&gt;""), SUM(R$4:R101), "")</f>
        <v/>
      </c>
      <c r="U101" s="16" t="str">
        <f t="shared" si="116"/>
        <v/>
      </c>
      <c r="W101" s="42"/>
      <c r="X101" s="83" t="str">
        <f t="shared" si="82"/>
        <v/>
      </c>
      <c r="Y101" s="164" t="str">
        <f t="shared" si="80"/>
        <v/>
      </c>
      <c r="Z101" s="42"/>
      <c r="AA101" s="16" t="str">
        <f t="shared" si="117"/>
        <v/>
      </c>
      <c r="AB101" s="17" t="str">
        <f>IF(AND(W101&lt;&gt;"", Z101&lt;&gt;""), SUM(Z$4:Z101), "")</f>
        <v/>
      </c>
      <c r="AC101" s="16" t="str">
        <f t="shared" si="118"/>
        <v/>
      </c>
      <c r="AD101" s="1"/>
      <c r="AE101" s="19">
        <v>7</v>
      </c>
      <c r="AF101" s="20" t="e" cm="1">
        <f t="array" aca="1" ref="AF101" ca="1">(AE101-INDIRECT(SUBSTITUTE(ADDRESS(1,COLUMN($C$9),4),"1","")&amp;SUMPRODUCT(($B$10:$D$26=INDIRECT(SUBSTITUTE(ADDRESS(1,COLUMN()-1,4),"1","")&amp;ROW()-45))*ROW($B$10:$D$26))))/INDIRECT(SUBSTITUTE(ADDRESS(1,COLUMN($D$9),4),"1","")&amp;SUMPRODUCT(($B$10:$D$26=INDIRECT(SUBSTITUTE(ADDRESS(1,COLUMN()-1,4),"1","")&amp;ROW()-45))*ROW($B$10:$D$26)))*10+50</f>
        <v>#DIV/0!</v>
      </c>
      <c r="AG101" s="8"/>
      <c r="AH101" s="49"/>
      <c r="AI101" s="83" t="str">
        <f t="shared" si="68"/>
        <v/>
      </c>
      <c r="AJ101" s="15" t="str">
        <f>IF(AND(AH101&lt;&gt;"", AK101&lt;&gt;""), ROUND(100*(1-(AM100+AM101)/2/AN$56), $B$39), "")</f>
        <v/>
      </c>
      <c r="AK101" s="52"/>
      <c r="AL101" s="16" t="str">
        <f t="shared" si="99"/>
        <v/>
      </c>
      <c r="AM101" s="17" t="str">
        <f>IF(AND(AH101&lt;&gt;"", AK101&lt;&gt;""), SUM(AK$59:AK101), "")</f>
        <v/>
      </c>
      <c r="AN101" s="16" t="str">
        <f t="shared" si="100"/>
        <v/>
      </c>
      <c r="AO101" s="14"/>
      <c r="AP101" s="19">
        <v>7</v>
      </c>
      <c r="AQ101" s="20" t="e" cm="1">
        <f t="array" aca="1" ref="AQ101" ca="1">(AP101-INDIRECT(SUBSTITUTE(ADDRESS(1,COLUMN($C$9),4),"1","")&amp;SUMPRODUCT(($B$10:$D$26=INDIRECT(SUBSTITUTE(ADDRESS(1,COLUMN()-1,4),"1","")&amp;ROW()-45))*ROW($B$10:$D$26))))/INDIRECT(SUBSTITUTE(ADDRESS(1,COLUMN($D$9),4),"1","")&amp;SUMPRODUCT(($B$10:$D$26=INDIRECT(SUBSTITUTE(ADDRESS(1,COLUMN()-1,4),"1","")&amp;ROW()-45))*ROW($B$10:$D$26)))*10+50</f>
        <v>#DIV/0!</v>
      </c>
      <c r="AR101" s="8"/>
      <c r="AS101" s="49"/>
      <c r="AT101" s="83" t="str">
        <f t="shared" si="69"/>
        <v/>
      </c>
      <c r="AU101" s="15" t="str">
        <f>IF(AND(AS101&lt;&gt;"", AV101&lt;&gt;""), ROUND(100*(1-(AX100+AX101)/2/AY$56), $B$39), "")</f>
        <v/>
      </c>
      <c r="AV101" s="52"/>
      <c r="AW101" s="16" t="str">
        <f t="shared" si="101"/>
        <v/>
      </c>
      <c r="AX101" s="17" t="str">
        <f>IF(AND(AS101&lt;&gt;"", AV101&lt;&gt;""), SUM(AV$59:AV101), "")</f>
        <v/>
      </c>
      <c r="AY101" s="16" t="str">
        <f t="shared" si="102"/>
        <v/>
      </c>
      <c r="AZ101" s="14"/>
      <c r="BA101" s="19">
        <v>7</v>
      </c>
      <c r="BB101" s="20" t="e" cm="1">
        <f t="array" aca="1" ref="BB101" ca="1">(BA101-INDIRECT(SUBSTITUTE(ADDRESS(1,COLUMN($C$9),4),"1","")&amp;SUMPRODUCT(($B$10:$D$26=INDIRECT(SUBSTITUTE(ADDRESS(1,COLUMN()-1,4),"1","")&amp;ROW()-45))*ROW($B$10:$D$26))))/INDIRECT(SUBSTITUTE(ADDRESS(1,COLUMN($D$9),4),"1","")&amp;SUMPRODUCT(($B$10:$D$26=INDIRECT(SUBSTITUTE(ADDRESS(1,COLUMN()-1,4),"1","")&amp;ROW()-45))*ROW($B$10:$D$26)))*10+50</f>
        <v>#DIV/0!</v>
      </c>
      <c r="BC101" s="8"/>
      <c r="BD101" s="49"/>
      <c r="BE101" s="83" t="str">
        <f t="shared" si="70"/>
        <v/>
      </c>
      <c r="BF101" s="15" t="str">
        <f>IF(AND(BD101&lt;&gt;"", BG101&lt;&gt;""), ROUND(100*(1-(BI100+BI101)/2/BJ$56), $B$39), "")</f>
        <v/>
      </c>
      <c r="BG101" s="52"/>
      <c r="BH101" s="16" t="str">
        <f t="shared" si="103"/>
        <v/>
      </c>
      <c r="BI101" s="17" t="str">
        <f>IF(AND(BD101&lt;&gt;"", BG101&lt;&gt;""), SUM(BG$59:BG101), "")</f>
        <v/>
      </c>
      <c r="BJ101" s="16" t="str">
        <f t="shared" si="104"/>
        <v/>
      </c>
      <c r="BK101" s="14"/>
      <c r="BL101" s="27">
        <v>7</v>
      </c>
      <c r="BM101" s="20" t="e" cm="1">
        <f t="array" aca="1" ref="BM101" ca="1">(BL101-INDIRECT(SUBSTITUTE(ADDRESS(1,COLUMN($C$9),4),"1","")&amp;SUMPRODUCT(($B$10:$D$26=INDIRECT(SUBSTITUTE(ADDRESS(1,COLUMN()-1,4),"1","")&amp;ROW()-45))*ROW($B$10:$D$26))))/INDIRECT(SUBSTITUTE(ADDRESS(1,COLUMN($D$9),4),"1","")&amp;SUMPRODUCT(($B$10:$D$26=INDIRECT(SUBSTITUTE(ADDRESS(1,COLUMN()-1,4),"1","")&amp;ROW()-45))*ROW($B$10:$D$26)))*10+50</f>
        <v>#DIV/0!</v>
      </c>
      <c r="BN101" s="8"/>
      <c r="BO101" s="49">
        <v>37</v>
      </c>
      <c r="BP101" s="83">
        <f t="shared" si="71"/>
        <v>9</v>
      </c>
      <c r="BQ101" s="15">
        <f>IF(AND(BO101&lt;&gt;"", BR101&lt;&gt;""), ROUND(100*(1-(BT100+BT101)/2/BU$56), $B$39), "")</f>
        <v>3</v>
      </c>
      <c r="BR101" s="52">
        <v>23</v>
      </c>
      <c r="BS101" s="16">
        <f t="shared" si="105"/>
        <v>5.6538839724680429E-3</v>
      </c>
      <c r="BT101" s="17">
        <f>IF(AND(BO101&lt;&gt;"", BR101&lt;&gt;""), SUM(BR$59:BR101), "")</f>
        <v>3968</v>
      </c>
      <c r="BU101" s="16">
        <f t="shared" si="106"/>
        <v>0.9754178957718781</v>
      </c>
      <c r="BV101" s="14"/>
      <c r="BW101" s="27">
        <v>7</v>
      </c>
      <c r="BX101" s="20" t="e" cm="1">
        <f t="array" aca="1" ref="BX101" ca="1">(BW101-INDIRECT(SUBSTITUTE(ADDRESS(1,COLUMN($C$9),4),"1","")&amp;SUMPRODUCT(($B$10:$D$26=INDIRECT(SUBSTITUTE(ADDRESS(1,COLUMN()-1,4),"1","")&amp;ROW()-45))*ROW($B$10:$D$26))))/INDIRECT(SUBSTITUTE(ADDRESS(1,COLUMN($D$9),4),"1","")&amp;SUMPRODUCT(($B$10:$D$26=INDIRECT(SUBSTITUTE(ADDRESS(1,COLUMN()-1,4),"1","")&amp;ROW()-45))*ROW($B$10:$D$26)))*10+50</f>
        <v>#DIV/0!</v>
      </c>
      <c r="BY101" s="8"/>
      <c r="BZ101" s="49">
        <v>34</v>
      </c>
      <c r="CA101" s="83">
        <f t="shared" si="72"/>
        <v>9</v>
      </c>
      <c r="CB101" s="15">
        <f>IF(AND(BZ101&lt;&gt;"", CC101&lt;&gt;""), ROUND(100*(1-(CE100+CE101)/2/CF$56), $B$39), "")</f>
        <v>2</v>
      </c>
      <c r="CC101" s="52">
        <v>17</v>
      </c>
      <c r="CD101" s="16">
        <f t="shared" si="107"/>
        <v>3.7093606807767836E-3</v>
      </c>
      <c r="CE101" s="17">
        <f>IF(AND(BZ101&lt;&gt;"", CC101&lt;&gt;""), SUM(CC$59:CC101), "")</f>
        <v>4510</v>
      </c>
      <c r="CF101" s="16">
        <f t="shared" si="108"/>
        <v>0.98407156884137026</v>
      </c>
      <c r="CG101" s="14"/>
      <c r="CH101" s="27">
        <v>7</v>
      </c>
      <c r="CI101" s="20" t="e" cm="1">
        <f t="array" aca="1" ref="CI101" ca="1">(CH101-INDIRECT(SUBSTITUTE(ADDRESS(1,COLUMN($C$9),4),"1","")&amp;SUMPRODUCT(($B$10:$D$26=INDIRECT(SUBSTITUTE(ADDRESS(1,COLUMN()-1,4),"1","")&amp;ROW()-45))*ROW($B$10:$D$26))))/INDIRECT(SUBSTITUTE(ADDRESS(1,COLUMN($D$9),4),"1","")&amp;SUMPRODUCT(($B$10:$D$26=INDIRECT(SUBSTITUTE(ADDRESS(1,COLUMN()-1,4),"1","")&amp;ROW()-45))*ROW($B$10:$D$26)))*10+50</f>
        <v>#DIV/0!</v>
      </c>
      <c r="CJ101" s="8"/>
      <c r="CK101" s="49"/>
      <c r="CL101" s="83" t="str">
        <f t="shared" si="73"/>
        <v/>
      </c>
      <c r="CM101" s="15" t="str">
        <f>IF(AND(CK101&lt;&gt;"", CN101&lt;&gt;""), ROUND(100*(1-(CP100+CP101)/2/CQ$56), $B$39), "")</f>
        <v/>
      </c>
      <c r="CN101" s="52"/>
      <c r="CO101" s="16" t="str">
        <f t="shared" si="113"/>
        <v/>
      </c>
      <c r="CP101" s="17" t="str">
        <f>IF(AND(CK101&lt;&gt;"", CN101&lt;&gt;""), SUM(CN$59:CN101), "")</f>
        <v/>
      </c>
      <c r="CQ101" s="16" t="str">
        <f t="shared" si="114"/>
        <v/>
      </c>
      <c r="CR101" s="14"/>
      <c r="CS101" s="27">
        <v>7</v>
      </c>
      <c r="CT101" s="20" t="e" cm="1">
        <f t="array" aca="1" ref="CT101" ca="1">(CS101-INDIRECT(SUBSTITUTE(ADDRESS(1,COLUMN($C$9),4),"1","")&amp;SUMPRODUCT(($B$10:$D$26=INDIRECT(SUBSTITUTE(ADDRESS(1,COLUMN()-1,4),"1","")&amp;ROW()-45))*ROW($B$10:$D$26))))/INDIRECT(SUBSTITUTE(ADDRESS(1,COLUMN($D$9),4),"1","")&amp;SUMPRODUCT(($B$10:$D$26=INDIRECT(SUBSTITUTE(ADDRESS(1,COLUMN()-1,4),"1","")&amp;ROW()-45))*ROW($B$10:$D$26)))*10+50</f>
        <v>#DIV/0!</v>
      </c>
      <c r="CU101" s="8"/>
      <c r="CV101" s="49">
        <v>37</v>
      </c>
      <c r="CW101" s="83">
        <f t="shared" si="74"/>
        <v>8</v>
      </c>
      <c r="CX101" s="15">
        <f>IF(AND(CV101&lt;&gt;"", CY101&lt;&gt;""), ROUND(100*(1-(DA100+DA101)/2/DB$56), $B$39), "")</f>
        <v>7</v>
      </c>
      <c r="CY101" s="52">
        <v>45</v>
      </c>
      <c r="CZ101" s="16">
        <f t="shared" si="109"/>
        <v>8.6173879739563381E-3</v>
      </c>
      <c r="DA101" s="17">
        <f>IF(AND(CV101&lt;&gt;"", CY101&lt;&gt;""), SUM(CY$59:CY101), "")</f>
        <v>4888</v>
      </c>
      <c r="DB101" s="16">
        <f t="shared" si="110"/>
        <v>0.93603983148219072</v>
      </c>
    </row>
    <row r="102" spans="1:106" ht="16" customHeight="1" x14ac:dyDescent="0.2">
      <c r="A102" s="1"/>
      <c r="B102" s="1"/>
      <c r="C102" s="1"/>
      <c r="D102" s="1"/>
      <c r="E102" s="1"/>
      <c r="F102" s="87"/>
      <c r="G102" s="69">
        <v>2</v>
      </c>
      <c r="H102" s="36"/>
      <c r="I102" s="86"/>
      <c r="J102" s="85">
        <v>2</v>
      </c>
      <c r="K102" s="70"/>
      <c r="L102" s="70"/>
      <c r="M102" s="70"/>
      <c r="N102"/>
      <c r="O102" s="39"/>
      <c r="P102" s="83" t="str">
        <f t="shared" si="81"/>
        <v/>
      </c>
      <c r="Q102" s="164" t="str">
        <f t="shared" si="79"/>
        <v/>
      </c>
      <c r="R102" s="43"/>
      <c r="S102" s="16" t="str">
        <f t="shared" si="115"/>
        <v/>
      </c>
      <c r="T102" s="17" t="str">
        <f>IF(AND(O102&lt;&gt;"", R102&lt;&gt;""), SUM(R$4:R102), "")</f>
        <v/>
      </c>
      <c r="U102" s="16" t="str">
        <f t="shared" si="116"/>
        <v/>
      </c>
      <c r="W102" s="42"/>
      <c r="X102" s="83" t="str">
        <f t="shared" si="82"/>
        <v/>
      </c>
      <c r="Y102" s="164" t="str">
        <f t="shared" si="80"/>
        <v/>
      </c>
      <c r="Z102" s="42"/>
      <c r="AA102" s="16" t="str">
        <f t="shared" si="117"/>
        <v/>
      </c>
      <c r="AB102" s="17" t="str">
        <f>IF(AND(W102&lt;&gt;"", Z102&lt;&gt;""), SUM(Z$4:Z102), "")</f>
        <v/>
      </c>
      <c r="AC102" s="16" t="str">
        <f t="shared" si="118"/>
        <v/>
      </c>
      <c r="AD102" s="1"/>
      <c r="AE102" s="19">
        <v>6</v>
      </c>
      <c r="AF102" s="20" t="e" cm="1">
        <f t="array" aca="1" ref="AF102" ca="1">(AE102-INDIRECT(SUBSTITUTE(ADDRESS(1,COLUMN($C$9),4),"1","")&amp;SUMPRODUCT(($B$10:$D$26=INDIRECT(SUBSTITUTE(ADDRESS(1,COLUMN()-1,4),"1","")&amp;ROW()-46))*ROW($B$10:$D$26))))/INDIRECT(SUBSTITUTE(ADDRESS(1,COLUMN($D$9),4),"1","")&amp;SUMPRODUCT(($B$10:$D$26=INDIRECT(SUBSTITUTE(ADDRESS(1,COLUMN()-1,4),"1","")&amp;ROW()-46))*ROW($B$10:$D$26)))*10+50</f>
        <v>#DIV/0!</v>
      </c>
      <c r="AG102" s="8"/>
      <c r="AH102" s="38"/>
      <c r="AI102" s="83" t="str">
        <f t="shared" si="68"/>
        <v/>
      </c>
      <c r="AJ102" s="15" t="str">
        <f>IF(AND(AH102&lt;&gt;"", AK102&lt;&gt;""), ROUND(100*(1-(AM101+AM102)/2/AN$56), $B$39), "")</f>
        <v/>
      </c>
      <c r="AK102" s="43"/>
      <c r="AL102" s="16" t="str">
        <f t="shared" si="99"/>
        <v/>
      </c>
      <c r="AM102" s="17" t="str">
        <f>IF(AND(AH102&lt;&gt;"", AK102&lt;&gt;""), SUM(AK$59:AK102), "")</f>
        <v/>
      </c>
      <c r="AN102" s="16" t="str">
        <f t="shared" si="100"/>
        <v/>
      </c>
      <c r="AO102" s="14"/>
      <c r="AP102" s="19">
        <v>6</v>
      </c>
      <c r="AQ102" s="20" t="e" cm="1">
        <f t="array" aca="1" ref="AQ102" ca="1">(AP102-INDIRECT(SUBSTITUTE(ADDRESS(1,COLUMN($C$9),4),"1","")&amp;SUMPRODUCT(($B$10:$D$26=INDIRECT(SUBSTITUTE(ADDRESS(1,COLUMN()-1,4),"1","")&amp;ROW()-46))*ROW($B$10:$D$26))))/INDIRECT(SUBSTITUTE(ADDRESS(1,COLUMN($D$9),4),"1","")&amp;SUMPRODUCT(($B$10:$D$26=INDIRECT(SUBSTITUTE(ADDRESS(1,COLUMN()-1,4),"1","")&amp;ROW()-46))*ROW($B$10:$D$26)))*10+50</f>
        <v>#DIV/0!</v>
      </c>
      <c r="AR102" s="8"/>
      <c r="AS102" s="38"/>
      <c r="AT102" s="83" t="str">
        <f t="shared" si="69"/>
        <v/>
      </c>
      <c r="AU102" s="15" t="str">
        <f>IF(AND(AS102&lt;&gt;"", AV102&lt;&gt;""), ROUND(100*(1-(AX101+AX102)/2/AY$56), $B$39), "")</f>
        <v/>
      </c>
      <c r="AV102" s="43"/>
      <c r="AW102" s="16" t="str">
        <f t="shared" si="101"/>
        <v/>
      </c>
      <c r="AX102" s="17" t="str">
        <f>IF(AND(AS102&lt;&gt;"", AV102&lt;&gt;""), SUM(AV$59:AV102), "")</f>
        <v/>
      </c>
      <c r="AY102" s="16" t="str">
        <f t="shared" si="102"/>
        <v/>
      </c>
      <c r="AZ102" s="14"/>
      <c r="BA102" s="19">
        <v>6</v>
      </c>
      <c r="BB102" s="20" t="e" cm="1">
        <f t="array" aca="1" ref="BB102" ca="1">(BA102-INDIRECT(SUBSTITUTE(ADDRESS(1,COLUMN($C$9),4),"1","")&amp;SUMPRODUCT(($B$10:$D$26=INDIRECT(SUBSTITUTE(ADDRESS(1,COLUMN()-1,4),"1","")&amp;ROW()-46))*ROW($B$10:$D$26))))/INDIRECT(SUBSTITUTE(ADDRESS(1,COLUMN($D$9),4),"1","")&amp;SUMPRODUCT(($B$10:$D$26=INDIRECT(SUBSTITUTE(ADDRESS(1,COLUMN()-1,4),"1","")&amp;ROW()-46))*ROW($B$10:$D$26)))*10+50</f>
        <v>#DIV/0!</v>
      </c>
      <c r="BC102" s="8"/>
      <c r="BD102" s="38"/>
      <c r="BE102" s="83" t="str">
        <f t="shared" si="70"/>
        <v/>
      </c>
      <c r="BF102" s="15" t="str">
        <f>IF(AND(BD102&lt;&gt;"", BG102&lt;&gt;""), ROUND(100*(1-(BI101+BI102)/2/BJ$56), $B$39), "")</f>
        <v/>
      </c>
      <c r="BG102" s="43"/>
      <c r="BH102" s="16" t="str">
        <f t="shared" si="103"/>
        <v/>
      </c>
      <c r="BI102" s="17" t="str">
        <f>IF(AND(BD102&lt;&gt;"", BG102&lt;&gt;""), SUM(BG$59:BG102), "")</f>
        <v/>
      </c>
      <c r="BJ102" s="16" t="str">
        <f t="shared" si="104"/>
        <v/>
      </c>
      <c r="BK102" s="14"/>
      <c r="BL102" s="27">
        <v>6</v>
      </c>
      <c r="BM102" s="20" t="e" cm="1">
        <f t="array" aca="1" ref="BM102" ca="1">(BL102-INDIRECT(SUBSTITUTE(ADDRESS(1,COLUMN($C$9),4),"1","")&amp;SUMPRODUCT(($B$10:$D$26=INDIRECT(SUBSTITUTE(ADDRESS(1,COLUMN()-1,4),"1","")&amp;ROW()-46))*ROW($B$10:$D$26))))/INDIRECT(SUBSTITUTE(ADDRESS(1,COLUMN($D$9),4),"1","")&amp;SUMPRODUCT(($B$10:$D$26=INDIRECT(SUBSTITUTE(ADDRESS(1,COLUMN()-1,4),"1","")&amp;ROW()-46))*ROW($B$10:$D$26)))*10+50</f>
        <v>#DIV/0!</v>
      </c>
      <c r="BN102" s="8"/>
      <c r="BO102" s="49">
        <v>35</v>
      </c>
      <c r="BP102" s="83">
        <f t="shared" si="71"/>
        <v>9</v>
      </c>
      <c r="BQ102" s="15">
        <f>IF(AND(BO102&lt;&gt;"", BR102&lt;&gt;""), ROUND(100*(1-(BT101+BT102)/2/BU$56), $B$39), "")</f>
        <v>2</v>
      </c>
      <c r="BR102" s="52">
        <v>14</v>
      </c>
      <c r="BS102" s="16">
        <f t="shared" si="105"/>
        <v>3.4414945919370699E-3</v>
      </c>
      <c r="BT102" s="17">
        <f>IF(AND(BO102&lt;&gt;"", BR102&lt;&gt;""), SUM(BR$59:BR102), "")</f>
        <v>3982</v>
      </c>
      <c r="BU102" s="16">
        <f t="shared" si="106"/>
        <v>0.9788593903638152</v>
      </c>
      <c r="BV102" s="14"/>
      <c r="BW102" s="27">
        <v>6</v>
      </c>
      <c r="BX102" s="20" t="e" cm="1">
        <f t="array" aca="1" ref="BX102" ca="1">(BW102-INDIRECT(SUBSTITUTE(ADDRESS(1,COLUMN($C$9),4),"1","")&amp;SUMPRODUCT(($B$10:$D$26=INDIRECT(SUBSTITUTE(ADDRESS(1,COLUMN()-1,4),"1","")&amp;ROW()-46))*ROW($B$10:$D$26))))/INDIRECT(SUBSTITUTE(ADDRESS(1,COLUMN($D$9),4),"1","")&amp;SUMPRODUCT(($B$10:$D$26=INDIRECT(SUBSTITUTE(ADDRESS(1,COLUMN()-1,4),"1","")&amp;ROW()-46))*ROW($B$10:$D$26)))*10+50</f>
        <v>#DIV/0!</v>
      </c>
      <c r="BY102" s="8"/>
      <c r="BZ102" s="49">
        <v>37</v>
      </c>
      <c r="CA102" s="83">
        <f t="shared" si="72"/>
        <v>9</v>
      </c>
      <c r="CB102" s="15">
        <f>IF(AND(BZ102&lt;&gt;"", CC102&lt;&gt;""), ROUND(100*(1-(CE101+CE102)/2/CF$56), $B$39), "")</f>
        <v>1</v>
      </c>
      <c r="CC102" s="52">
        <v>42</v>
      </c>
      <c r="CD102" s="16">
        <f t="shared" si="107"/>
        <v>9.1643028583897005E-3</v>
      </c>
      <c r="CE102" s="17">
        <f>IF(AND(BZ102&lt;&gt;"", CC102&lt;&gt;""), SUM(CC$59:CC102), "")</f>
        <v>4552</v>
      </c>
      <c r="CF102" s="16">
        <f t="shared" si="108"/>
        <v>0.99323587169976002</v>
      </c>
      <c r="CG102" s="14"/>
      <c r="CH102" s="27">
        <v>6</v>
      </c>
      <c r="CI102" s="20" t="e" cm="1">
        <f t="array" aca="1" ref="CI102" ca="1">(CH102-INDIRECT(SUBSTITUTE(ADDRESS(1,COLUMN($C$9),4),"1","")&amp;SUMPRODUCT(($B$10:$D$26=INDIRECT(SUBSTITUTE(ADDRESS(1,COLUMN()-1,4),"1","")&amp;ROW()-46))*ROW($B$10:$D$26))))/INDIRECT(SUBSTITUTE(ADDRESS(1,COLUMN($D$9),4),"1","")&amp;SUMPRODUCT(($B$10:$D$26=INDIRECT(SUBSTITUTE(ADDRESS(1,COLUMN()-1,4),"1","")&amp;ROW()-46))*ROW($B$10:$D$26)))*10+50</f>
        <v>#DIV/0!</v>
      </c>
      <c r="CJ102" s="8"/>
      <c r="CK102" s="49"/>
      <c r="CL102" s="83" t="str">
        <f t="shared" si="73"/>
        <v/>
      </c>
      <c r="CM102" s="15" t="str">
        <f>IF(AND(CK102&lt;&gt;"", CN102&lt;&gt;""), ROUND(100*(1-(CP101+CP102)/2/CQ$56), $B$39), "")</f>
        <v/>
      </c>
      <c r="CN102" s="52"/>
      <c r="CO102" s="16" t="str">
        <f t="shared" si="113"/>
        <v/>
      </c>
      <c r="CP102" s="17" t="str">
        <f>IF(AND(CK102&lt;&gt;"", CN102&lt;&gt;""), SUM(CN$59:CN102), "")</f>
        <v/>
      </c>
      <c r="CQ102" s="16" t="str">
        <f t="shared" si="114"/>
        <v/>
      </c>
      <c r="CR102" s="14"/>
      <c r="CS102" s="27">
        <v>6</v>
      </c>
      <c r="CT102" s="20" t="e" cm="1">
        <f t="array" aca="1" ref="CT102" ca="1">(CS102-INDIRECT(SUBSTITUTE(ADDRESS(1,COLUMN($C$9),4),"1","")&amp;SUMPRODUCT(($B$10:$D$26=INDIRECT(SUBSTITUTE(ADDRESS(1,COLUMN()-1,4),"1","")&amp;ROW()-46))*ROW($B$10:$D$26))))/INDIRECT(SUBSTITUTE(ADDRESS(1,COLUMN($D$9),4),"1","")&amp;SUMPRODUCT(($B$10:$D$26=INDIRECT(SUBSTITUTE(ADDRESS(1,COLUMN()-1,4),"1","")&amp;ROW()-46))*ROW($B$10:$D$26)))*10+50</f>
        <v>#DIV/0!</v>
      </c>
      <c r="CU102" s="8"/>
      <c r="CV102" s="49">
        <v>36</v>
      </c>
      <c r="CW102" s="83">
        <f t="shared" si="74"/>
        <v>8</v>
      </c>
      <c r="CX102" s="15">
        <f>IF(AND(CV102&lt;&gt;"", CY102&lt;&gt;""), ROUND(100*(1-(DA101+DA102)/2/DB$56), $B$39), "")</f>
        <v>6</v>
      </c>
      <c r="CY102" s="52">
        <v>63</v>
      </c>
      <c r="CZ102" s="16">
        <f t="shared" si="109"/>
        <v>1.2064343163538873E-2</v>
      </c>
      <c r="DA102" s="17">
        <f>IF(AND(CV102&lt;&gt;"", CY102&lt;&gt;""), SUM(CY$59:CY102), "")</f>
        <v>4951</v>
      </c>
      <c r="DB102" s="16">
        <f t="shared" si="110"/>
        <v>0.9481041746457296</v>
      </c>
    </row>
    <row r="103" spans="1:106" ht="16" customHeight="1" x14ac:dyDescent="0.2">
      <c r="A103" s="1"/>
      <c r="B103" s="1"/>
      <c r="C103" s="1"/>
      <c r="D103" s="1"/>
      <c r="E103" s="1"/>
      <c r="F103" s="87"/>
      <c r="G103" s="69">
        <v>3</v>
      </c>
      <c r="H103" s="36"/>
      <c r="I103" s="86"/>
      <c r="J103" s="85">
        <v>3</v>
      </c>
      <c r="K103" s="70"/>
      <c r="L103" s="70"/>
      <c r="M103" s="70"/>
      <c r="N103"/>
      <c r="O103" s="39"/>
      <c r="P103" s="83" t="str">
        <f t="shared" si="81"/>
        <v/>
      </c>
      <c r="Q103" s="164" t="str">
        <f t="shared" si="79"/>
        <v/>
      </c>
      <c r="R103" s="43"/>
      <c r="S103" s="16" t="str">
        <f t="shared" si="115"/>
        <v/>
      </c>
      <c r="T103" s="17" t="str">
        <f>IF(AND(O103&lt;&gt;"", R103&lt;&gt;""), SUM(R$4:R103), "")</f>
        <v/>
      </c>
      <c r="U103" s="16" t="str">
        <f t="shared" si="116"/>
        <v/>
      </c>
      <c r="W103" s="42"/>
      <c r="X103" s="83" t="str">
        <f t="shared" si="82"/>
        <v/>
      </c>
      <c r="Y103" s="164" t="str">
        <f t="shared" si="80"/>
        <v/>
      </c>
      <c r="Z103" s="42"/>
      <c r="AA103" s="16" t="str">
        <f t="shared" si="117"/>
        <v/>
      </c>
      <c r="AB103" s="17" t="str">
        <f>IF(AND(W103&lt;&gt;"", Z103&lt;&gt;""), SUM(Z$4:Z103), "")</f>
        <v/>
      </c>
      <c r="AC103" s="16" t="str">
        <f t="shared" si="118"/>
        <v/>
      </c>
      <c r="AD103" s="1"/>
      <c r="AE103" s="19">
        <v>5</v>
      </c>
      <c r="AF103" s="20" t="e" cm="1">
        <f t="array" aca="1" ref="AF103" ca="1">(AE103-INDIRECT(SUBSTITUTE(ADDRESS(1,COLUMN($C$9),4),"1","")&amp;SUMPRODUCT(($B$10:$D$26=INDIRECT(SUBSTITUTE(ADDRESS(1,COLUMN()-1,4),"1","")&amp;ROW()-47))*ROW($B$10:$D$26))))/INDIRECT(SUBSTITUTE(ADDRESS(1,COLUMN($D$9),4),"1","")&amp;SUMPRODUCT(($B$10:$D$26=INDIRECT(SUBSTITUTE(ADDRESS(1,COLUMN()-1,4),"1","")&amp;ROW()-47))*ROW($B$10:$D$26)))*10+50</f>
        <v>#DIV/0!</v>
      </c>
      <c r="AG103" s="8"/>
      <c r="AH103" s="38"/>
      <c r="AI103" s="83" t="str">
        <f t="shared" si="68"/>
        <v/>
      </c>
      <c r="AJ103" s="15" t="str">
        <f>IF(AND(AH103&lt;&gt;"", AK103&lt;&gt;""), ROUND(100*(1-(AM102+AM103)/2/AN$56), $B$39), "")</f>
        <v/>
      </c>
      <c r="AK103" s="43"/>
      <c r="AL103" s="16" t="str">
        <f t="shared" si="99"/>
        <v/>
      </c>
      <c r="AM103" s="17" t="str">
        <f>IF(AND(AH103&lt;&gt;"", AK103&lt;&gt;""), SUM(AK$59:AK103), "")</f>
        <v/>
      </c>
      <c r="AN103" s="16" t="str">
        <f t="shared" si="100"/>
        <v/>
      </c>
      <c r="AO103" s="14"/>
      <c r="AP103" s="19">
        <v>5</v>
      </c>
      <c r="AQ103" s="20" t="e" cm="1">
        <f t="array" aca="1" ref="AQ103" ca="1">(AP103-INDIRECT(SUBSTITUTE(ADDRESS(1,COLUMN($C$9),4),"1","")&amp;SUMPRODUCT(($B$10:$D$26=INDIRECT(SUBSTITUTE(ADDRESS(1,COLUMN()-1,4),"1","")&amp;ROW()-47))*ROW($B$10:$D$26))))/INDIRECT(SUBSTITUTE(ADDRESS(1,COLUMN($D$9),4),"1","")&amp;SUMPRODUCT(($B$10:$D$26=INDIRECT(SUBSTITUTE(ADDRESS(1,COLUMN()-1,4),"1","")&amp;ROW()-47))*ROW($B$10:$D$26)))*10+50</f>
        <v>#DIV/0!</v>
      </c>
      <c r="AR103" s="8"/>
      <c r="AS103" s="38"/>
      <c r="AT103" s="83" t="str">
        <f t="shared" si="69"/>
        <v/>
      </c>
      <c r="AU103" s="15" t="str">
        <f>IF(AND(AS103&lt;&gt;"", AV103&lt;&gt;""), ROUND(100*(1-(AX102+AX103)/2/AY$56), $B$39), "")</f>
        <v/>
      </c>
      <c r="AV103" s="43"/>
      <c r="AW103" s="16" t="str">
        <f t="shared" si="101"/>
        <v/>
      </c>
      <c r="AX103" s="17" t="str">
        <f>IF(AND(AS103&lt;&gt;"", AV103&lt;&gt;""), SUM(AV$59:AV103), "")</f>
        <v/>
      </c>
      <c r="AY103" s="16" t="str">
        <f t="shared" si="102"/>
        <v/>
      </c>
      <c r="AZ103" s="14"/>
      <c r="BA103" s="19">
        <v>5</v>
      </c>
      <c r="BB103" s="20" t="e" cm="1">
        <f t="array" aca="1" ref="BB103" ca="1">(BA103-INDIRECT(SUBSTITUTE(ADDRESS(1,COLUMN($C$9),4),"1","")&amp;SUMPRODUCT(($B$10:$D$26=INDIRECT(SUBSTITUTE(ADDRESS(1,COLUMN()-1,4),"1","")&amp;ROW()-47))*ROW($B$10:$D$26))))/INDIRECT(SUBSTITUTE(ADDRESS(1,COLUMN($D$9),4),"1","")&amp;SUMPRODUCT(($B$10:$D$26=INDIRECT(SUBSTITUTE(ADDRESS(1,COLUMN()-1,4),"1","")&amp;ROW()-47))*ROW($B$10:$D$26)))*10+50</f>
        <v>#DIV/0!</v>
      </c>
      <c r="BC103" s="8"/>
      <c r="BD103" s="38"/>
      <c r="BE103" s="83" t="str">
        <f t="shared" si="70"/>
        <v/>
      </c>
      <c r="BF103" s="15" t="str">
        <f>IF(AND(BD103&lt;&gt;"", BG103&lt;&gt;""), ROUND(100*(1-(BI102+BI103)/2/BJ$56), $B$39), "")</f>
        <v/>
      </c>
      <c r="BG103" s="43"/>
      <c r="BH103" s="16" t="str">
        <f t="shared" si="103"/>
        <v/>
      </c>
      <c r="BI103" s="17" t="str">
        <f>IF(AND(BD103&lt;&gt;"", BG103&lt;&gt;""), SUM(BG$59:BG103), "")</f>
        <v/>
      </c>
      <c r="BJ103" s="16" t="str">
        <f t="shared" si="104"/>
        <v/>
      </c>
      <c r="BK103" s="14"/>
      <c r="BL103" s="27">
        <v>5</v>
      </c>
      <c r="BM103" s="20" t="e" cm="1">
        <f t="array" aca="1" ref="BM103" ca="1">(BL103-INDIRECT(SUBSTITUTE(ADDRESS(1,COLUMN($C$9),4),"1","")&amp;SUMPRODUCT(($B$10:$D$26=INDIRECT(SUBSTITUTE(ADDRESS(1,COLUMN()-1,4),"1","")&amp;ROW()-47))*ROW($B$10:$D$26))))/INDIRECT(SUBSTITUTE(ADDRESS(1,COLUMN($D$9),4),"1","")&amp;SUMPRODUCT(($B$10:$D$26=INDIRECT(SUBSTITUTE(ADDRESS(1,COLUMN()-1,4),"1","")&amp;ROW()-47))*ROW($B$10:$D$26)))*10+50</f>
        <v>#DIV/0!</v>
      </c>
      <c r="BN103" s="8"/>
      <c r="BO103" s="49">
        <v>37</v>
      </c>
      <c r="BP103" s="83">
        <f t="shared" si="71"/>
        <v>9</v>
      </c>
      <c r="BQ103" s="15">
        <f>IF(AND(BO103&lt;&gt;"", BR103&lt;&gt;""), ROUND(100*(1-(BT102+BT103)/2/BU$56), $B$39), "")</f>
        <v>2</v>
      </c>
      <c r="BR103" s="52">
        <v>27</v>
      </c>
      <c r="BS103" s="16">
        <f t="shared" si="105"/>
        <v>6.6371681415929203E-3</v>
      </c>
      <c r="BT103" s="17">
        <f>IF(AND(BO103&lt;&gt;"", BR103&lt;&gt;""), SUM(BR$59:BR103), "")</f>
        <v>4009</v>
      </c>
      <c r="BU103" s="16">
        <f t="shared" si="106"/>
        <v>0.98549655850540807</v>
      </c>
      <c r="BV103" s="14"/>
      <c r="BW103" s="27">
        <v>5</v>
      </c>
      <c r="BX103" s="20" t="e" cm="1">
        <f t="array" aca="1" ref="BX103" ca="1">(BW103-INDIRECT(SUBSTITUTE(ADDRESS(1,COLUMN($C$9),4),"1","")&amp;SUMPRODUCT(($B$10:$D$26=INDIRECT(SUBSTITUTE(ADDRESS(1,COLUMN()-1,4),"1","")&amp;ROW()-47))*ROW($B$10:$D$26))))/INDIRECT(SUBSTITUTE(ADDRESS(1,COLUMN($D$9),4),"1","")&amp;SUMPRODUCT(($B$10:$D$26=INDIRECT(SUBSTITUTE(ADDRESS(1,COLUMN()-1,4),"1","")&amp;ROW()-47))*ROW($B$10:$D$26)))*10+50</f>
        <v>#DIV/0!</v>
      </c>
      <c r="BY103" s="8"/>
      <c r="BZ103" s="49">
        <v>35</v>
      </c>
      <c r="CA103" s="83">
        <f t="shared" si="72"/>
        <v>9</v>
      </c>
      <c r="CB103" s="15">
        <f>IF(AND(BZ103&lt;&gt;"", CC103&lt;&gt;""), ROUND(100*(1-(CE102+CE103)/2/CF$56), $B$39), "")</f>
        <v>0</v>
      </c>
      <c r="CC103" s="52">
        <v>31</v>
      </c>
      <c r="CD103" s="16">
        <f t="shared" si="107"/>
        <v>6.7641283002400172E-3</v>
      </c>
      <c r="CE103" s="17">
        <f>IF(AND(BZ103&lt;&gt;"", CC103&lt;&gt;""), SUM(CC$59:CC103), "")</f>
        <v>4583</v>
      </c>
      <c r="CF103" s="16">
        <f t="shared" si="108"/>
        <v>1</v>
      </c>
      <c r="CG103" s="14"/>
      <c r="CH103" s="27">
        <v>5</v>
      </c>
      <c r="CI103" s="20" t="e" cm="1">
        <f t="array" aca="1" ref="CI103" ca="1">(CH103-INDIRECT(SUBSTITUTE(ADDRESS(1,COLUMN($C$9),4),"1","")&amp;SUMPRODUCT(($B$10:$D$26=INDIRECT(SUBSTITUTE(ADDRESS(1,COLUMN()-1,4),"1","")&amp;ROW()-47))*ROW($B$10:$D$26))))/INDIRECT(SUBSTITUTE(ADDRESS(1,COLUMN($D$9),4),"1","")&amp;SUMPRODUCT(($B$10:$D$26=INDIRECT(SUBSTITUTE(ADDRESS(1,COLUMN()-1,4),"1","")&amp;ROW()-47))*ROW($B$10:$D$26)))*10+50</f>
        <v>#DIV/0!</v>
      </c>
      <c r="CJ103" s="8"/>
      <c r="CK103" s="49"/>
      <c r="CL103" s="83" t="str">
        <f t="shared" si="73"/>
        <v/>
      </c>
      <c r="CM103" s="15" t="str">
        <f>IF(AND(CK103&lt;&gt;"", CN103&lt;&gt;""), ROUND(100*(1-(CP102+CP103)/2/CQ$56), $B$39), "")</f>
        <v/>
      </c>
      <c r="CN103" s="52"/>
      <c r="CO103" s="16" t="str">
        <f t="shared" si="113"/>
        <v/>
      </c>
      <c r="CP103" s="17" t="str">
        <f>IF(AND(CK103&lt;&gt;"", CN103&lt;&gt;""), SUM(CN$59:CN103), "")</f>
        <v/>
      </c>
      <c r="CQ103" s="16" t="str">
        <f t="shared" si="114"/>
        <v/>
      </c>
      <c r="CR103" s="14"/>
      <c r="CS103" s="27">
        <v>5</v>
      </c>
      <c r="CT103" s="20" t="e" cm="1">
        <f t="array" aca="1" ref="CT103" ca="1">(CS103-INDIRECT(SUBSTITUTE(ADDRESS(1,COLUMN($C$9),4),"1","")&amp;SUMPRODUCT(($B$10:$D$26=INDIRECT(SUBSTITUTE(ADDRESS(1,COLUMN()-1,4),"1","")&amp;ROW()-47))*ROW($B$10:$D$26))))/INDIRECT(SUBSTITUTE(ADDRESS(1,COLUMN($D$9),4),"1","")&amp;SUMPRODUCT(($B$10:$D$26=INDIRECT(SUBSTITUTE(ADDRESS(1,COLUMN()-1,4),"1","")&amp;ROW()-47))*ROW($B$10:$D$26)))*10+50</f>
        <v>#DIV/0!</v>
      </c>
      <c r="CU103" s="8"/>
      <c r="CV103" s="49">
        <v>35</v>
      </c>
      <c r="CW103" s="83">
        <f t="shared" si="74"/>
        <v>8</v>
      </c>
      <c r="CX103" s="15">
        <f>IF(AND(CV103&lt;&gt;"", CY103&lt;&gt;""), ROUND(100*(1-(DA102+DA103)/2/DB$56), $B$39), "")</f>
        <v>5</v>
      </c>
      <c r="CY103" s="52">
        <v>44</v>
      </c>
      <c r="CZ103" s="16">
        <f t="shared" si="109"/>
        <v>8.4258904634239747E-3</v>
      </c>
      <c r="DA103" s="17">
        <f>IF(AND(CV103&lt;&gt;"", CY103&lt;&gt;""), SUM(CY$59:CY103), "")</f>
        <v>4995</v>
      </c>
      <c r="DB103" s="16">
        <f t="shared" si="110"/>
        <v>0.95653006510915362</v>
      </c>
    </row>
    <row r="104" spans="1:106" ht="16" customHeight="1" x14ac:dyDescent="0.2">
      <c r="A104" s="1"/>
      <c r="B104" s="1"/>
      <c r="C104" s="1"/>
      <c r="D104" s="1"/>
      <c r="E104" s="1"/>
      <c r="F104" s="87"/>
      <c r="G104" s="69">
        <v>4</v>
      </c>
      <c r="H104" s="36"/>
      <c r="I104" s="86"/>
      <c r="J104" s="85">
        <v>4</v>
      </c>
      <c r="K104" s="70"/>
      <c r="L104" s="70"/>
      <c r="M104" s="70"/>
      <c r="N104"/>
      <c r="O104" s="40"/>
      <c r="P104" s="83" t="str">
        <f t="shared" si="81"/>
        <v/>
      </c>
      <c r="Q104" s="164" t="str">
        <f t="shared" si="79"/>
        <v/>
      </c>
      <c r="R104" s="43"/>
      <c r="S104" s="16" t="str">
        <f t="shared" si="115"/>
        <v/>
      </c>
      <c r="T104" s="17" t="str">
        <f>IF(AND(O104&lt;&gt;"", R104&lt;&gt;""), SUM(R$4:R104), "")</f>
        <v/>
      </c>
      <c r="U104" s="16" t="str">
        <f t="shared" si="116"/>
        <v/>
      </c>
      <c r="W104" s="42"/>
      <c r="X104" s="83" t="str">
        <f t="shared" si="82"/>
        <v/>
      </c>
      <c r="Y104" s="164" t="str">
        <f t="shared" si="80"/>
        <v/>
      </c>
      <c r="Z104" s="42"/>
      <c r="AA104" s="16" t="str">
        <f t="shared" si="117"/>
        <v/>
      </c>
      <c r="AB104" s="17" t="str">
        <f>IF(AND(W104&lt;&gt;"", Z104&lt;&gt;""), SUM(Z$4:Z104), "")</f>
        <v/>
      </c>
      <c r="AC104" s="16" t="str">
        <f t="shared" si="118"/>
        <v/>
      </c>
      <c r="AD104" s="1"/>
      <c r="AE104" s="19">
        <v>4</v>
      </c>
      <c r="AF104" s="20" t="e" cm="1">
        <f t="array" aca="1" ref="AF104" ca="1">(AE104-INDIRECT(SUBSTITUTE(ADDRESS(1,COLUMN($C$9),4),"1","")&amp;SUMPRODUCT(($B$10:$D$26=INDIRECT(SUBSTITUTE(ADDRESS(1,COLUMN()-1,4),"1","")&amp;ROW()-48))*ROW($B$10:$D$26))))/INDIRECT(SUBSTITUTE(ADDRESS(1,COLUMN($D$9),4),"1","")&amp;SUMPRODUCT(($B$10:$D$26=INDIRECT(SUBSTITUTE(ADDRESS(1,COLUMN()-1,4),"1","")&amp;ROW()-48))*ROW($B$10:$D$26)))*10+50</f>
        <v>#DIV/0!</v>
      </c>
      <c r="AG104" s="8"/>
      <c r="AH104" s="38"/>
      <c r="AI104" s="83" t="str">
        <f t="shared" si="68"/>
        <v/>
      </c>
      <c r="AJ104" s="15" t="str">
        <f>IF(AND(AH104&lt;&gt;"", AK104&lt;&gt;""), ROUND(100*(1-(AM103+AM104)/2/AN$56), $B$39), "")</f>
        <v/>
      </c>
      <c r="AK104" s="43"/>
      <c r="AL104" s="16" t="str">
        <f t="shared" si="99"/>
        <v/>
      </c>
      <c r="AM104" s="17" t="str">
        <f>IF(AND(AH104&lt;&gt;"", AK104&lt;&gt;""), SUM(AK$59:AK104), "")</f>
        <v/>
      </c>
      <c r="AN104" s="16" t="str">
        <f t="shared" si="100"/>
        <v/>
      </c>
      <c r="AO104" s="14"/>
      <c r="AP104" s="19">
        <v>4</v>
      </c>
      <c r="AQ104" s="20" t="e" cm="1">
        <f t="array" aca="1" ref="AQ104" ca="1">(AP104-INDIRECT(SUBSTITUTE(ADDRESS(1,COLUMN($C$9),4),"1","")&amp;SUMPRODUCT(($B$10:$D$26=INDIRECT(SUBSTITUTE(ADDRESS(1,COLUMN()-1,4),"1","")&amp;ROW()-48))*ROW($B$10:$D$26))))/INDIRECT(SUBSTITUTE(ADDRESS(1,COLUMN($D$9),4),"1","")&amp;SUMPRODUCT(($B$10:$D$26=INDIRECT(SUBSTITUTE(ADDRESS(1,COLUMN()-1,4),"1","")&amp;ROW()-48))*ROW($B$10:$D$26)))*10+50</f>
        <v>#DIV/0!</v>
      </c>
      <c r="AR104" s="8"/>
      <c r="AS104" s="38"/>
      <c r="AT104" s="83" t="str">
        <f t="shared" si="69"/>
        <v/>
      </c>
      <c r="AU104" s="15" t="str">
        <f>IF(AND(AS104&lt;&gt;"", AV104&lt;&gt;""), ROUND(100*(1-(AX103+AX104)/2/AY$56), $B$39), "")</f>
        <v/>
      </c>
      <c r="AV104" s="43"/>
      <c r="AW104" s="16" t="str">
        <f t="shared" si="101"/>
        <v/>
      </c>
      <c r="AX104" s="17" t="str">
        <f>IF(AND(AS104&lt;&gt;"", AV104&lt;&gt;""), SUM(AV$59:AV104), "")</f>
        <v/>
      </c>
      <c r="AY104" s="16" t="str">
        <f t="shared" si="102"/>
        <v/>
      </c>
      <c r="AZ104" s="14"/>
      <c r="BA104" s="19">
        <v>4</v>
      </c>
      <c r="BB104" s="20" t="e" cm="1">
        <f t="array" aca="1" ref="BB104" ca="1">(BA104-INDIRECT(SUBSTITUTE(ADDRESS(1,COLUMN($C$9),4),"1","")&amp;SUMPRODUCT(($B$10:$D$26=INDIRECT(SUBSTITUTE(ADDRESS(1,COLUMN()-1,4),"1","")&amp;ROW()-48))*ROW($B$10:$D$26))))/INDIRECT(SUBSTITUTE(ADDRESS(1,COLUMN($D$9),4),"1","")&amp;SUMPRODUCT(($B$10:$D$26=INDIRECT(SUBSTITUTE(ADDRESS(1,COLUMN()-1,4),"1","")&amp;ROW()-48))*ROW($B$10:$D$26)))*10+50</f>
        <v>#DIV/0!</v>
      </c>
      <c r="BC104" s="8"/>
      <c r="BD104" s="38"/>
      <c r="BE104" s="83" t="str">
        <f t="shared" si="70"/>
        <v/>
      </c>
      <c r="BF104" s="15" t="str">
        <f>IF(AND(BD104&lt;&gt;"", BG104&lt;&gt;""), ROUND(100*(1-(BI103+BI104)/2/BJ$56), $B$39), "")</f>
        <v/>
      </c>
      <c r="BG104" s="43"/>
      <c r="BH104" s="16" t="str">
        <f t="shared" si="103"/>
        <v/>
      </c>
      <c r="BI104" s="17" t="str">
        <f>IF(AND(BD104&lt;&gt;"", BG104&lt;&gt;""), SUM(BG$59:BG104), "")</f>
        <v/>
      </c>
      <c r="BJ104" s="16" t="str">
        <f t="shared" si="104"/>
        <v/>
      </c>
      <c r="BK104" s="14"/>
      <c r="BL104" s="27">
        <v>4</v>
      </c>
      <c r="BM104" s="20" t="e" cm="1">
        <f t="array" aca="1" ref="BM104" ca="1">(BL104-INDIRECT(SUBSTITUTE(ADDRESS(1,COLUMN($C$9),4),"1","")&amp;SUMPRODUCT(($B$10:$D$26=INDIRECT(SUBSTITUTE(ADDRESS(1,COLUMN()-1,4),"1","")&amp;ROW()-48))*ROW($B$10:$D$26))))/INDIRECT(SUBSTITUTE(ADDRESS(1,COLUMN($D$9),4),"1","")&amp;SUMPRODUCT(($B$10:$D$26=INDIRECT(SUBSTITUTE(ADDRESS(1,COLUMN()-1,4),"1","")&amp;ROW()-48))*ROW($B$10:$D$26)))*10+50</f>
        <v>#DIV/0!</v>
      </c>
      <c r="BN104" s="8"/>
      <c r="BO104" s="49">
        <v>36</v>
      </c>
      <c r="BP104" s="83">
        <f t="shared" si="71"/>
        <v>9</v>
      </c>
      <c r="BQ104" s="15">
        <f>IF(AND(BO104&lt;&gt;"", BR104&lt;&gt;""), ROUND(100*(1-(BT103+BT104)/2/BU$56), $B$39), "")</f>
        <v>1</v>
      </c>
      <c r="BR104" s="52">
        <v>24</v>
      </c>
      <c r="BS104" s="16">
        <f t="shared" si="105"/>
        <v>5.8997050147492625E-3</v>
      </c>
      <c r="BT104" s="17">
        <f>IF(AND(BO104&lt;&gt;"", BR104&lt;&gt;""), SUM(BR$59:BR104), "")</f>
        <v>4033</v>
      </c>
      <c r="BU104" s="16">
        <f t="shared" si="106"/>
        <v>0.99139626352015731</v>
      </c>
      <c r="BV104" s="14"/>
      <c r="BW104" s="27">
        <v>4</v>
      </c>
      <c r="BX104" s="20" t="e" cm="1">
        <f t="array" aca="1" ref="BX104" ca="1">(BW104-INDIRECT(SUBSTITUTE(ADDRESS(1,COLUMN($C$9),4),"1","")&amp;SUMPRODUCT(($B$10:$D$26=INDIRECT(SUBSTITUTE(ADDRESS(1,COLUMN()-1,4),"1","")&amp;ROW()-48))*ROW($B$10:$D$26))))/INDIRECT(SUBSTITUTE(ADDRESS(1,COLUMN($D$9),4),"1","")&amp;SUMPRODUCT(($B$10:$D$26=INDIRECT(SUBSTITUTE(ADDRESS(1,COLUMN()-1,4),"1","")&amp;ROW()-48))*ROW($B$10:$D$26)))*10+50</f>
        <v>#DIV/0!</v>
      </c>
      <c r="BY104" s="8"/>
      <c r="BZ104" s="38"/>
      <c r="CA104" s="83" t="str">
        <f t="shared" si="72"/>
        <v/>
      </c>
      <c r="CB104" s="15" t="str">
        <f>IF(AND(BZ104&lt;&gt;"", CC104&lt;&gt;""), ROUND(100*(1-(CE103+CE104)/2/CF$56), $B$39), "")</f>
        <v/>
      </c>
      <c r="CC104" s="43"/>
      <c r="CD104" s="16" t="str">
        <f t="shared" si="107"/>
        <v/>
      </c>
      <c r="CE104" s="17" t="str">
        <f>IF(AND(BZ104&lt;&gt;"", CC104&lt;&gt;""), SUM(CC$59:CC104), "")</f>
        <v/>
      </c>
      <c r="CF104" s="16" t="str">
        <f t="shared" si="108"/>
        <v/>
      </c>
      <c r="CG104" s="14"/>
      <c r="CH104" s="27">
        <v>4</v>
      </c>
      <c r="CI104" s="20" t="e" cm="1">
        <f t="array" aca="1" ref="CI104" ca="1">(CH104-INDIRECT(SUBSTITUTE(ADDRESS(1,COLUMN($C$9),4),"1","")&amp;SUMPRODUCT(($B$10:$D$26=INDIRECT(SUBSTITUTE(ADDRESS(1,COLUMN()-1,4),"1","")&amp;ROW()-48))*ROW($B$10:$D$26))))/INDIRECT(SUBSTITUTE(ADDRESS(1,COLUMN($D$9),4),"1","")&amp;SUMPRODUCT(($B$10:$D$26=INDIRECT(SUBSTITUTE(ADDRESS(1,COLUMN()-1,4),"1","")&amp;ROW()-48))*ROW($B$10:$D$26)))*10+50</f>
        <v>#DIV/0!</v>
      </c>
      <c r="CJ104" s="8"/>
      <c r="CK104" s="49"/>
      <c r="CL104" s="83" t="str">
        <f t="shared" si="73"/>
        <v/>
      </c>
      <c r="CM104" s="15" t="str">
        <f>IF(AND(CK104&lt;&gt;"", CN104&lt;&gt;""), ROUND(100*(1-(CP103+CP104)/2/CQ$56), $B$39), "")</f>
        <v/>
      </c>
      <c r="CN104" s="52"/>
      <c r="CO104" s="16" t="str">
        <f t="shared" si="113"/>
        <v/>
      </c>
      <c r="CP104" s="17" t="str">
        <f>IF(AND(CK104&lt;&gt;"", CN104&lt;&gt;""), SUM(CN$59:CN104), "")</f>
        <v/>
      </c>
      <c r="CQ104" s="16" t="str">
        <f t="shared" si="114"/>
        <v/>
      </c>
      <c r="CR104" s="14"/>
      <c r="CS104" s="27">
        <v>4</v>
      </c>
      <c r="CT104" s="20" t="e" cm="1">
        <f t="array" aca="1" ref="CT104" ca="1">(CS104-INDIRECT(SUBSTITUTE(ADDRESS(1,COLUMN($C$9),4),"1","")&amp;SUMPRODUCT(($B$10:$D$26=INDIRECT(SUBSTITUTE(ADDRESS(1,COLUMN()-1,4),"1","")&amp;ROW()-48))*ROW($B$10:$D$26))))/INDIRECT(SUBSTITUTE(ADDRESS(1,COLUMN($D$9),4),"1","")&amp;SUMPRODUCT(($B$10:$D$26=INDIRECT(SUBSTITUTE(ADDRESS(1,COLUMN()-1,4),"1","")&amp;ROW()-48))*ROW($B$10:$D$26)))*10+50</f>
        <v>#DIV/0!</v>
      </c>
      <c r="CU104" s="8"/>
      <c r="CV104" s="49">
        <v>33</v>
      </c>
      <c r="CW104" s="83">
        <f t="shared" si="74"/>
        <v>8</v>
      </c>
      <c r="CX104" s="15">
        <f>IF(AND(CV104&lt;&gt;"", CY104&lt;&gt;""), ROUND(100*(1-(DA103+DA104)/2/DB$56), $B$39), "")</f>
        <v>4</v>
      </c>
      <c r="CY104" s="52">
        <v>23</v>
      </c>
      <c r="CZ104" s="16">
        <f t="shared" si="109"/>
        <v>4.4044427422443508E-3</v>
      </c>
      <c r="DA104" s="17">
        <f>IF(AND(CV104&lt;&gt;"", CY104&lt;&gt;""), SUM(CY$59:CY104), "")</f>
        <v>5018</v>
      </c>
      <c r="DB104" s="16">
        <f t="shared" si="110"/>
        <v>0.96093450785139789</v>
      </c>
    </row>
    <row r="105" spans="1:106" ht="16" customHeight="1" x14ac:dyDescent="0.2">
      <c r="E105" s="1"/>
      <c r="F105" s="87"/>
      <c r="G105" s="69">
        <v>5</v>
      </c>
      <c r="H105" s="36"/>
      <c r="I105" s="86"/>
      <c r="J105" s="85">
        <v>5</v>
      </c>
      <c r="K105" s="70"/>
      <c r="L105" s="70"/>
      <c r="M105" s="70"/>
      <c r="N105"/>
      <c r="O105" s="41"/>
      <c r="P105" s="83" t="str">
        <f t="shared" si="81"/>
        <v/>
      </c>
      <c r="Q105" s="164" t="str">
        <f t="shared" si="79"/>
        <v/>
      </c>
      <c r="R105" s="43"/>
      <c r="S105" s="16" t="str">
        <f t="shared" si="115"/>
        <v/>
      </c>
      <c r="T105" s="17" t="str">
        <f>IF(AND(O105&lt;&gt;"", R105&lt;&gt;""), SUM(R$4:R105), "")</f>
        <v/>
      </c>
      <c r="U105" s="16" t="str">
        <f t="shared" si="116"/>
        <v/>
      </c>
      <c r="W105" s="42"/>
      <c r="X105" s="83" t="str">
        <f t="shared" si="82"/>
        <v/>
      </c>
      <c r="Y105" s="164" t="str">
        <f t="shared" si="80"/>
        <v/>
      </c>
      <c r="Z105" s="42"/>
      <c r="AA105" s="16" t="str">
        <f t="shared" si="117"/>
        <v/>
      </c>
      <c r="AB105" s="17" t="str">
        <f>IF(AND(W105&lt;&gt;"", Z105&lt;&gt;""), SUM(Z$4:Z105), "")</f>
        <v/>
      </c>
      <c r="AC105" s="16" t="str">
        <f t="shared" si="118"/>
        <v/>
      </c>
      <c r="AD105" s="1"/>
      <c r="AE105" s="19">
        <v>3</v>
      </c>
      <c r="AF105" s="20" t="e" cm="1">
        <f t="array" aca="1" ref="AF105" ca="1">(AE105-INDIRECT(SUBSTITUTE(ADDRESS(1,COLUMN($C$9),4),"1","")&amp;SUMPRODUCT(($B$10:$D$26=INDIRECT(SUBSTITUTE(ADDRESS(1,COLUMN()-1,4),"1","")&amp;ROW()-49))*ROW($B$10:$D$26))))/INDIRECT(SUBSTITUTE(ADDRESS(1,COLUMN($D$9),4),"1","")&amp;SUMPRODUCT(($B$10:$D$26=INDIRECT(SUBSTITUTE(ADDRESS(1,COLUMN()-1,4),"1","")&amp;ROW()-49))*ROW($B$10:$D$26)))*10+50</f>
        <v>#DIV/0!</v>
      </c>
      <c r="AG105" s="8"/>
      <c r="AH105" s="38"/>
      <c r="AI105" s="83" t="str">
        <f t="shared" si="68"/>
        <v/>
      </c>
      <c r="AJ105" s="15" t="str">
        <f>IF(AND(AH105&lt;&gt;"", AK105&lt;&gt;""), ROUND(100*(1-(AM104+AM105)/2/AN$56), $B$39), "")</f>
        <v/>
      </c>
      <c r="AK105" s="43"/>
      <c r="AL105" s="16" t="str">
        <f t="shared" si="99"/>
        <v/>
      </c>
      <c r="AM105" s="17" t="str">
        <f>IF(AND(AH105&lt;&gt;"", AK105&lt;&gt;""), SUM(AK$59:AK105), "")</f>
        <v/>
      </c>
      <c r="AN105" s="16" t="str">
        <f t="shared" si="100"/>
        <v/>
      </c>
      <c r="AO105" s="14"/>
      <c r="AP105" s="19">
        <v>3</v>
      </c>
      <c r="AQ105" s="20" t="e" cm="1">
        <f t="array" aca="1" ref="AQ105" ca="1">(AP105-INDIRECT(SUBSTITUTE(ADDRESS(1,COLUMN($C$9),4),"1","")&amp;SUMPRODUCT(($B$10:$D$26=INDIRECT(SUBSTITUTE(ADDRESS(1,COLUMN()-1,4),"1","")&amp;ROW()-49))*ROW($B$10:$D$26))))/INDIRECT(SUBSTITUTE(ADDRESS(1,COLUMN($D$9),4),"1","")&amp;SUMPRODUCT(($B$10:$D$26=INDIRECT(SUBSTITUTE(ADDRESS(1,COLUMN()-1,4),"1","")&amp;ROW()-49))*ROW($B$10:$D$26)))*10+50</f>
        <v>#DIV/0!</v>
      </c>
      <c r="AR105" s="8"/>
      <c r="AS105" s="38"/>
      <c r="AT105" s="83" t="str">
        <f t="shared" si="69"/>
        <v/>
      </c>
      <c r="AU105" s="15" t="str">
        <f>IF(AND(AS105&lt;&gt;"", AV105&lt;&gt;""), ROUND(100*(1-(AX104+AX105)/2/AY$56), $B$39), "")</f>
        <v/>
      </c>
      <c r="AV105" s="43"/>
      <c r="AW105" s="16" t="str">
        <f t="shared" si="101"/>
        <v/>
      </c>
      <c r="AX105" s="17" t="str">
        <f>IF(AND(AS105&lt;&gt;"", AV105&lt;&gt;""), SUM(AV$59:AV105), "")</f>
        <v/>
      </c>
      <c r="AY105" s="16" t="str">
        <f t="shared" si="102"/>
        <v/>
      </c>
      <c r="AZ105" s="14"/>
      <c r="BA105" s="19">
        <v>3</v>
      </c>
      <c r="BB105" s="20" t="e" cm="1">
        <f t="array" aca="1" ref="BB105" ca="1">(BA105-INDIRECT(SUBSTITUTE(ADDRESS(1,COLUMN($C$9),4),"1","")&amp;SUMPRODUCT(($B$10:$D$26=INDIRECT(SUBSTITUTE(ADDRESS(1,COLUMN()-1,4),"1","")&amp;ROW()-49))*ROW($B$10:$D$26))))/INDIRECT(SUBSTITUTE(ADDRESS(1,COLUMN($D$9),4),"1","")&amp;SUMPRODUCT(($B$10:$D$26=INDIRECT(SUBSTITUTE(ADDRESS(1,COLUMN()-1,4),"1","")&amp;ROW()-49))*ROW($B$10:$D$26)))*10+50</f>
        <v>#DIV/0!</v>
      </c>
      <c r="BC105" s="8"/>
      <c r="BD105" s="38"/>
      <c r="BE105" s="83" t="str">
        <f t="shared" si="70"/>
        <v/>
      </c>
      <c r="BF105" s="15" t="str">
        <f>IF(AND(BD105&lt;&gt;"", BG105&lt;&gt;""), ROUND(100*(1-(BI104+BI105)/2/BJ$56), $B$39), "")</f>
        <v/>
      </c>
      <c r="BG105" s="43"/>
      <c r="BH105" s="16" t="str">
        <f t="shared" si="103"/>
        <v/>
      </c>
      <c r="BI105" s="17" t="str">
        <f>IF(AND(BD105&lt;&gt;"", BG105&lt;&gt;""), SUM(BG$59:BG105), "")</f>
        <v/>
      </c>
      <c r="BJ105" s="16" t="str">
        <f t="shared" si="104"/>
        <v/>
      </c>
      <c r="BK105" s="14"/>
      <c r="BL105" s="27">
        <v>3</v>
      </c>
      <c r="BM105" s="20" t="e" cm="1">
        <f t="array" aca="1" ref="BM105" ca="1">(BL105-INDIRECT(SUBSTITUTE(ADDRESS(1,COLUMN($C$9),4),"1","")&amp;SUMPRODUCT(($B$10:$D$26=INDIRECT(SUBSTITUTE(ADDRESS(1,COLUMN()-1,4),"1","")&amp;ROW()-49))*ROW($B$10:$D$26))))/INDIRECT(SUBSTITUTE(ADDRESS(1,COLUMN($D$9),4),"1","")&amp;SUMPRODUCT(($B$10:$D$26=INDIRECT(SUBSTITUTE(ADDRESS(1,COLUMN()-1,4),"1","")&amp;ROW()-49))*ROW($B$10:$D$26)))*10+50</f>
        <v>#DIV/0!</v>
      </c>
      <c r="BN105" s="8"/>
      <c r="BO105" s="53">
        <v>34</v>
      </c>
      <c r="BP105" s="83">
        <f t="shared" si="71"/>
        <v>9</v>
      </c>
      <c r="BQ105" s="15">
        <f>IF(AND(BO105&lt;&gt;"", BR105&lt;&gt;""), ROUND(100*(1-(BT104+BT105)/2/BU$56), $B$39), "")</f>
        <v>0</v>
      </c>
      <c r="BR105" s="54">
        <v>35</v>
      </c>
      <c r="BS105" s="16">
        <f t="shared" si="105"/>
        <v>8.603736479842675E-3</v>
      </c>
      <c r="BT105" s="17">
        <f>IF(AND(BO105&lt;&gt;"", BR105&lt;&gt;""), SUM(BR$59:BR105), "")</f>
        <v>4068</v>
      </c>
      <c r="BU105" s="16">
        <f t="shared" si="106"/>
        <v>1</v>
      </c>
      <c r="BV105" s="14"/>
      <c r="BW105" s="27">
        <v>3</v>
      </c>
      <c r="BX105" s="20" t="e" cm="1">
        <f t="array" aca="1" ref="BX105" ca="1">(BW105-INDIRECT(SUBSTITUTE(ADDRESS(1,COLUMN($C$9),4),"1","")&amp;SUMPRODUCT(($B$10:$D$26=INDIRECT(SUBSTITUTE(ADDRESS(1,COLUMN()-1,4),"1","")&amp;ROW()-49))*ROW($B$10:$D$26))))/INDIRECT(SUBSTITUTE(ADDRESS(1,COLUMN($D$9),4),"1","")&amp;SUMPRODUCT(($B$10:$D$26=INDIRECT(SUBSTITUTE(ADDRESS(1,COLUMN()-1,4),"1","")&amp;ROW()-49))*ROW($B$10:$D$26)))*10+50</f>
        <v>#DIV/0!</v>
      </c>
      <c r="BY105" s="8"/>
      <c r="BZ105" s="38"/>
      <c r="CA105" s="83" t="str">
        <f t="shared" si="72"/>
        <v/>
      </c>
      <c r="CB105" s="15" t="str">
        <f>IF(AND(BZ105&lt;&gt;"", CC105&lt;&gt;""), ROUND(100*(1-(CE104+CE105)/2/CF$56), $B$39), "")</f>
        <v/>
      </c>
      <c r="CC105" s="43"/>
      <c r="CD105" s="16" t="str">
        <f t="shared" si="107"/>
        <v/>
      </c>
      <c r="CE105" s="17" t="str">
        <f>IF(AND(BZ105&lt;&gt;"", CC105&lt;&gt;""), SUM(CC$59:CC105), "")</f>
        <v/>
      </c>
      <c r="CF105" s="16" t="str">
        <f t="shared" si="108"/>
        <v/>
      </c>
      <c r="CG105" s="14"/>
      <c r="CH105" s="27">
        <v>3</v>
      </c>
      <c r="CI105" s="20" t="e" cm="1">
        <f t="array" aca="1" ref="CI105" ca="1">(CH105-INDIRECT(SUBSTITUTE(ADDRESS(1,COLUMN($C$9),4),"1","")&amp;SUMPRODUCT(($B$10:$D$26=INDIRECT(SUBSTITUTE(ADDRESS(1,COLUMN()-1,4),"1","")&amp;ROW()-49))*ROW($B$10:$D$26))))/INDIRECT(SUBSTITUTE(ADDRESS(1,COLUMN($D$9),4),"1","")&amp;SUMPRODUCT(($B$10:$D$26=INDIRECT(SUBSTITUTE(ADDRESS(1,COLUMN()-1,4),"1","")&amp;ROW()-49))*ROW($B$10:$D$26)))*10+50</f>
        <v>#DIV/0!</v>
      </c>
      <c r="CJ105" s="8"/>
      <c r="CK105" s="49"/>
      <c r="CL105" s="83" t="str">
        <f t="shared" si="73"/>
        <v/>
      </c>
      <c r="CM105" s="15" t="str">
        <f>IF(AND(CK105&lt;&gt;"", CN105&lt;&gt;""), ROUND(100*(1-(CP104+CP105)/2/CQ$56), $B$39), "")</f>
        <v/>
      </c>
      <c r="CN105" s="52"/>
      <c r="CO105" s="16" t="str">
        <f t="shared" si="113"/>
        <v/>
      </c>
      <c r="CP105" s="17" t="str">
        <f>IF(AND(CK105&lt;&gt;"", CN105&lt;&gt;""), SUM(CN$59:CN105), "")</f>
        <v/>
      </c>
      <c r="CQ105" s="16" t="str">
        <f t="shared" si="114"/>
        <v/>
      </c>
      <c r="CR105" s="14"/>
      <c r="CS105" s="27">
        <v>3</v>
      </c>
      <c r="CT105" s="20" t="e" cm="1">
        <f t="array" aca="1" ref="CT105" ca="1">(CS105-INDIRECT(SUBSTITUTE(ADDRESS(1,COLUMN($C$9),4),"1","")&amp;SUMPRODUCT(($B$10:$D$26=INDIRECT(SUBSTITUTE(ADDRESS(1,COLUMN()-1,4),"1","")&amp;ROW()-49))*ROW($B$10:$D$26))))/INDIRECT(SUBSTITUTE(ADDRESS(1,COLUMN($D$9),4),"1","")&amp;SUMPRODUCT(($B$10:$D$26=INDIRECT(SUBSTITUTE(ADDRESS(1,COLUMN()-1,4),"1","")&amp;ROW()-49))*ROW($B$10:$D$26)))*10+50</f>
        <v>#DIV/0!</v>
      </c>
      <c r="CU105" s="8"/>
      <c r="CV105" s="49">
        <v>39</v>
      </c>
      <c r="CW105" s="83">
        <f t="shared" si="74"/>
        <v>9</v>
      </c>
      <c r="CX105" s="15">
        <f>IF(AND(CV105&lt;&gt;"", CY105&lt;&gt;""), ROUND(100*(1-(DA104+DA105)/2/DB$56), $B$39), "")</f>
        <v>3</v>
      </c>
      <c r="CY105" s="52">
        <v>85</v>
      </c>
      <c r="CZ105" s="16">
        <f t="shared" si="109"/>
        <v>1.6277288395250861E-2</v>
      </c>
      <c r="DA105" s="17">
        <f>IF(AND(CV105&lt;&gt;"", CY105&lt;&gt;""), SUM(CY$59:CY105), "")</f>
        <v>5103</v>
      </c>
      <c r="DB105" s="16">
        <f t="shared" si="110"/>
        <v>0.97721179624664878</v>
      </c>
    </row>
    <row r="106" spans="1:106" ht="16" customHeight="1" x14ac:dyDescent="0.2">
      <c r="E106" s="1"/>
      <c r="F106" s="87"/>
      <c r="G106" s="69">
        <v>6</v>
      </c>
      <c r="H106" s="36"/>
      <c r="I106" s="86"/>
      <c r="J106" s="85">
        <v>6</v>
      </c>
      <c r="K106" s="70"/>
      <c r="L106" s="70"/>
      <c r="M106" s="70"/>
      <c r="N106"/>
      <c r="O106" s="42"/>
      <c r="P106" s="83" t="str">
        <f t="shared" si="81"/>
        <v/>
      </c>
      <c r="Q106" s="164" t="str">
        <f t="shared" si="79"/>
        <v/>
      </c>
      <c r="R106" s="43"/>
      <c r="S106" s="16" t="str">
        <f t="shared" si="115"/>
        <v/>
      </c>
      <c r="T106" s="17" t="str">
        <f>IF(AND(O106&lt;&gt;"", R106&lt;&gt;""), SUM(R$4:R106), "")</f>
        <v/>
      </c>
      <c r="U106" s="16" t="str">
        <f t="shared" si="116"/>
        <v/>
      </c>
      <c r="W106" s="42"/>
      <c r="X106" s="83" t="str">
        <f t="shared" si="82"/>
        <v/>
      </c>
      <c r="Y106" s="164" t="str">
        <f t="shared" si="80"/>
        <v/>
      </c>
      <c r="Z106" s="42"/>
      <c r="AA106" s="16" t="str">
        <f t="shared" si="117"/>
        <v/>
      </c>
      <c r="AB106" s="17" t="str">
        <f>IF(AND(W106&lt;&gt;"", Z106&lt;&gt;""), SUM(Z$4:Z106), "")</f>
        <v/>
      </c>
      <c r="AC106" s="16" t="str">
        <f t="shared" si="118"/>
        <v/>
      </c>
      <c r="AD106" s="1"/>
      <c r="AE106" s="19">
        <v>2</v>
      </c>
      <c r="AF106" s="20" t="e" cm="1">
        <f t="array" aca="1" ref="AF106" ca="1">(AE106-INDIRECT(SUBSTITUTE(ADDRESS(1,COLUMN($C$9),4),"1","")&amp;SUMPRODUCT(($B$10:$D$26=INDIRECT(SUBSTITUTE(ADDRESS(1,COLUMN()-1,4),"1","")&amp;ROW()-50))*ROW($B$10:$D$26))))/INDIRECT(SUBSTITUTE(ADDRESS(1,COLUMN($D$9),4),"1","")&amp;SUMPRODUCT(($B$10:$D$26=INDIRECT(SUBSTITUTE(ADDRESS(1,COLUMN()-1,4),"1","")&amp;ROW()-50))*ROW($B$10:$D$26)))*10+50</f>
        <v>#DIV/0!</v>
      </c>
      <c r="AG106" s="8"/>
      <c r="AH106" s="38"/>
      <c r="AI106" s="83" t="str">
        <f t="shared" si="68"/>
        <v/>
      </c>
      <c r="AJ106" s="15" t="str">
        <f>IF(AND(AH106&lt;&gt;"", AK106&lt;&gt;""), ROUND(100*(1-(AM105+AM106)/2/AN$56), $B$39), "")</f>
        <v/>
      </c>
      <c r="AK106" s="43"/>
      <c r="AL106" s="16" t="str">
        <f t="shared" si="99"/>
        <v/>
      </c>
      <c r="AM106" s="17" t="str">
        <f>IF(AND(AH106&lt;&gt;"", AK106&lt;&gt;""), SUM(AK$59:AK106), "")</f>
        <v/>
      </c>
      <c r="AN106" s="16" t="str">
        <f t="shared" si="100"/>
        <v/>
      </c>
      <c r="AO106" s="14"/>
      <c r="AP106" s="19">
        <v>2</v>
      </c>
      <c r="AQ106" s="20" t="e" cm="1">
        <f t="array" aca="1" ref="AQ106" ca="1">(AP106-INDIRECT(SUBSTITUTE(ADDRESS(1,COLUMN($C$9),4),"1","")&amp;SUMPRODUCT(($B$10:$D$26=INDIRECT(SUBSTITUTE(ADDRESS(1,COLUMN()-1,4),"1","")&amp;ROW()-50))*ROW($B$10:$D$26))))/INDIRECT(SUBSTITUTE(ADDRESS(1,COLUMN($D$9),4),"1","")&amp;SUMPRODUCT(($B$10:$D$26=INDIRECT(SUBSTITUTE(ADDRESS(1,COLUMN()-1,4),"1","")&amp;ROW()-50))*ROW($B$10:$D$26)))*10+50</f>
        <v>#DIV/0!</v>
      </c>
      <c r="AR106" s="8"/>
      <c r="AS106" s="38"/>
      <c r="AT106" s="83" t="str">
        <f t="shared" si="69"/>
        <v/>
      </c>
      <c r="AU106" s="15" t="str">
        <f>IF(AND(AS106&lt;&gt;"", AV106&lt;&gt;""), ROUND(100*(1-(AX105+AX106)/2/AY$56), $B$39), "")</f>
        <v/>
      </c>
      <c r="AV106" s="43"/>
      <c r="AW106" s="16" t="str">
        <f t="shared" si="101"/>
        <v/>
      </c>
      <c r="AX106" s="17" t="str">
        <f>IF(AND(AS106&lt;&gt;"", AV106&lt;&gt;""), SUM(AV$59:AV106), "")</f>
        <v/>
      </c>
      <c r="AY106" s="16" t="str">
        <f t="shared" si="102"/>
        <v/>
      </c>
      <c r="AZ106" s="14"/>
      <c r="BA106" s="19">
        <v>2</v>
      </c>
      <c r="BB106" s="20" t="e" cm="1">
        <f t="array" aca="1" ref="BB106" ca="1">(BA106-INDIRECT(SUBSTITUTE(ADDRESS(1,COLUMN($C$9),4),"1","")&amp;SUMPRODUCT(($B$10:$D$26=INDIRECT(SUBSTITUTE(ADDRESS(1,COLUMN()-1,4),"1","")&amp;ROW()-50))*ROW($B$10:$D$26))))/INDIRECT(SUBSTITUTE(ADDRESS(1,COLUMN($D$9),4),"1","")&amp;SUMPRODUCT(($B$10:$D$26=INDIRECT(SUBSTITUTE(ADDRESS(1,COLUMN()-1,4),"1","")&amp;ROW()-50))*ROW($B$10:$D$26)))*10+50</f>
        <v>#DIV/0!</v>
      </c>
      <c r="BC106" s="8"/>
      <c r="BD106" s="38"/>
      <c r="BE106" s="83" t="str">
        <f t="shared" si="70"/>
        <v/>
      </c>
      <c r="BF106" s="15" t="str">
        <f>IF(AND(BD106&lt;&gt;"", BG106&lt;&gt;""), ROUND(100*(1-(BI105+BI106)/2/BJ$56), $B$39), "")</f>
        <v/>
      </c>
      <c r="BG106" s="43"/>
      <c r="BH106" s="16" t="str">
        <f t="shared" si="103"/>
        <v/>
      </c>
      <c r="BI106" s="17" t="str">
        <f>IF(AND(BD106&lt;&gt;"", BG106&lt;&gt;""), SUM(BG$59:BG106), "")</f>
        <v/>
      </c>
      <c r="BJ106" s="16" t="str">
        <f t="shared" si="104"/>
        <v/>
      </c>
      <c r="BK106" s="14"/>
      <c r="BL106" s="27">
        <v>2</v>
      </c>
      <c r="BM106" s="32" t="e" cm="1">
        <f t="array" aca="1" ref="BM106" ca="1">(BL106-INDIRECT(SUBSTITUTE(ADDRESS(1,COLUMN($C$9),4),"1","")&amp;SUMPRODUCT(($B$10:$D$26=INDIRECT(SUBSTITUTE(ADDRESS(1,COLUMN()-1,4),"1","")&amp;ROW()-50))*ROW($B$10:$D$26))))/INDIRECT(SUBSTITUTE(ADDRESS(1,COLUMN($D$9),4),"1","")&amp;SUMPRODUCT(($B$10:$D$26=INDIRECT(SUBSTITUTE(ADDRESS(1,COLUMN()-1,4),"1","")&amp;ROW()-50))*ROW($B$10:$D$26)))*10+50</f>
        <v>#DIV/0!</v>
      </c>
      <c r="BN106" s="8"/>
      <c r="BO106" s="38"/>
      <c r="BP106" s="83" t="str">
        <f t="shared" si="71"/>
        <v/>
      </c>
      <c r="BQ106" s="15" t="str">
        <f>IF(AND(BO106&lt;&gt;"", BR106&lt;&gt;""), ROUND(100*(1-(BT105+BT106)/2/BU$56), $B$39), "")</f>
        <v/>
      </c>
      <c r="BR106" s="43"/>
      <c r="BS106" s="16" t="str">
        <f t="shared" si="105"/>
        <v/>
      </c>
      <c r="BT106" s="17" t="str">
        <f>IF(AND(BO106&lt;&gt;"", BR106&lt;&gt;""), SUM(BR$59:BR106), "")</f>
        <v/>
      </c>
      <c r="BU106" s="16" t="str">
        <f t="shared" si="106"/>
        <v/>
      </c>
      <c r="BV106" s="14"/>
      <c r="BW106" s="27">
        <v>2</v>
      </c>
      <c r="BX106" s="32" t="e" cm="1">
        <f t="array" aca="1" ref="BX106" ca="1">(BW106-INDIRECT(SUBSTITUTE(ADDRESS(1,COLUMN($C$9),4),"1","")&amp;SUMPRODUCT(($B$10:$D$26=INDIRECT(SUBSTITUTE(ADDRESS(1,COLUMN()-1,4),"1","")&amp;ROW()-50))*ROW($B$10:$D$26))))/INDIRECT(SUBSTITUTE(ADDRESS(1,COLUMN($D$9),4),"1","")&amp;SUMPRODUCT(($B$10:$D$26=INDIRECT(SUBSTITUTE(ADDRESS(1,COLUMN()-1,4),"1","")&amp;ROW()-50))*ROW($B$10:$D$26)))*10+50</f>
        <v>#DIV/0!</v>
      </c>
      <c r="BY106" s="8"/>
      <c r="BZ106" s="38"/>
      <c r="CA106" s="83" t="str">
        <f t="shared" si="72"/>
        <v/>
      </c>
      <c r="CB106" s="15" t="str">
        <f>IF(AND(BZ106&lt;&gt;"", CC106&lt;&gt;""), ROUND(100*(1-(CE105+CE106)/2/CF$56), $B$39), "")</f>
        <v/>
      </c>
      <c r="CC106" s="43"/>
      <c r="CD106" s="16" t="str">
        <f t="shared" si="107"/>
        <v/>
      </c>
      <c r="CE106" s="17" t="str">
        <f>IF(AND(BZ106&lt;&gt;"", CC106&lt;&gt;""), SUM(CC$59:CC106), "")</f>
        <v/>
      </c>
      <c r="CF106" s="16" t="str">
        <f t="shared" si="108"/>
        <v/>
      </c>
      <c r="CG106" s="14"/>
      <c r="CH106" s="27">
        <v>2</v>
      </c>
      <c r="CI106" s="32" t="e" cm="1">
        <f t="array" aca="1" ref="CI106" ca="1">(CH106-INDIRECT(SUBSTITUTE(ADDRESS(1,COLUMN($C$9),4),"1","")&amp;SUMPRODUCT(($B$10:$D$26=INDIRECT(SUBSTITUTE(ADDRESS(1,COLUMN()-1,4),"1","")&amp;ROW()-50))*ROW($B$10:$D$26))))/INDIRECT(SUBSTITUTE(ADDRESS(1,COLUMN($D$9),4),"1","")&amp;SUMPRODUCT(($B$10:$D$26=INDIRECT(SUBSTITUTE(ADDRESS(1,COLUMN()-1,4),"1","")&amp;ROW()-50))*ROW($B$10:$D$26)))*10+50</f>
        <v>#DIV/0!</v>
      </c>
      <c r="CJ106" s="8"/>
      <c r="CK106" s="49"/>
      <c r="CL106" s="83" t="str">
        <f t="shared" si="73"/>
        <v/>
      </c>
      <c r="CM106" s="15" t="str">
        <f>IF(AND(CK106&lt;&gt;"", CN106&lt;&gt;""), ROUND(100*(1-(CP105+CP106)/2/CQ$56), $B$39), "")</f>
        <v/>
      </c>
      <c r="CN106" s="52"/>
      <c r="CO106" s="16" t="str">
        <f t="shared" si="113"/>
        <v/>
      </c>
      <c r="CP106" s="17" t="str">
        <f>IF(AND(CK106&lt;&gt;"", CN106&lt;&gt;""), SUM(CN$59:CN106), "")</f>
        <v/>
      </c>
      <c r="CQ106" s="16" t="str">
        <f t="shared" si="114"/>
        <v/>
      </c>
      <c r="CR106" s="14"/>
      <c r="CS106" s="27">
        <v>2</v>
      </c>
      <c r="CT106" s="32" t="e" cm="1">
        <f t="array" aca="1" ref="CT106" ca="1">(CS106-INDIRECT(SUBSTITUTE(ADDRESS(1,COLUMN($C$9),4),"1","")&amp;SUMPRODUCT(($B$10:$D$26=INDIRECT(SUBSTITUTE(ADDRESS(1,COLUMN()-1,4),"1","")&amp;ROW()-50))*ROW($B$10:$D$26))))/INDIRECT(SUBSTITUTE(ADDRESS(1,COLUMN($D$9),4),"1","")&amp;SUMPRODUCT(($B$10:$D$26=INDIRECT(SUBSTITUTE(ADDRESS(1,COLUMN()-1,4),"1","")&amp;ROW()-50))*ROW($B$10:$D$26)))*10+50</f>
        <v>#DIV/0!</v>
      </c>
      <c r="CU106" s="8"/>
      <c r="CV106" s="49">
        <v>38</v>
      </c>
      <c r="CW106" s="83">
        <f t="shared" si="74"/>
        <v>9</v>
      </c>
      <c r="CX106" s="15">
        <f>IF(AND(CV106&lt;&gt;"", CY106&lt;&gt;""), ROUND(100*(1-(DA105+DA106)/2/DB$56), $B$39), "")</f>
        <v>2</v>
      </c>
      <c r="CY106" s="52">
        <v>69</v>
      </c>
      <c r="CZ106" s="16">
        <f t="shared" si="109"/>
        <v>1.3213328226733052E-2</v>
      </c>
      <c r="DA106" s="17">
        <f>IF(AND(CV106&lt;&gt;"", CY106&lt;&gt;""), SUM(CY$59:CY106), "")</f>
        <v>5172</v>
      </c>
      <c r="DB106" s="16">
        <f t="shared" si="110"/>
        <v>0.99042512447338182</v>
      </c>
    </row>
    <row r="107" spans="1:106" ht="16" customHeight="1" x14ac:dyDescent="0.2">
      <c r="E107" s="1"/>
      <c r="F107" s="87"/>
      <c r="G107" s="69">
        <v>7</v>
      </c>
      <c r="H107" s="36"/>
      <c r="I107" s="86"/>
      <c r="J107" s="85">
        <v>7</v>
      </c>
      <c r="K107" s="70"/>
      <c r="L107" s="70"/>
      <c r="M107" s="70"/>
      <c r="N107"/>
      <c r="O107" s="42"/>
      <c r="P107" s="83" t="str">
        <f t="shared" si="81"/>
        <v/>
      </c>
      <c r="Q107" s="164" t="str">
        <f t="shared" si="79"/>
        <v/>
      </c>
      <c r="R107" s="39"/>
      <c r="S107" s="16" t="str">
        <f t="shared" si="115"/>
        <v/>
      </c>
      <c r="T107" s="17" t="str">
        <f>IF(AND(O107&lt;&gt;"", R107&lt;&gt;""), SUM(R$4:R107), "")</f>
        <v/>
      </c>
      <c r="U107" s="16" t="str">
        <f t="shared" si="116"/>
        <v/>
      </c>
      <c r="W107" s="42"/>
      <c r="X107" s="83" t="str">
        <f t="shared" si="82"/>
        <v/>
      </c>
      <c r="Y107" s="164" t="str">
        <f t="shared" si="80"/>
        <v/>
      </c>
      <c r="Z107" s="42"/>
      <c r="AA107" s="16" t="str">
        <f t="shared" si="117"/>
        <v/>
      </c>
      <c r="AB107" s="17" t="str">
        <f>IF(AND(W107&lt;&gt;"", Z107&lt;&gt;""), SUM(Z$4:Z107), "")</f>
        <v/>
      </c>
      <c r="AC107" s="16" t="str">
        <f t="shared" si="118"/>
        <v/>
      </c>
      <c r="AD107" s="1"/>
      <c r="AE107" s="19">
        <v>0</v>
      </c>
      <c r="AF107" s="20" t="e" cm="1">
        <f t="array" aca="1" ref="AF107" ca="1">(AE107-INDIRECT(SUBSTITUTE(ADDRESS(1,COLUMN($C$9),4),"1","")&amp;SUMPRODUCT(($B$10:$D$26=INDIRECT(SUBSTITUTE(ADDRESS(1,COLUMN()-1,4),"1","")&amp;ROW()-51))*ROW($B$10:$D$26))))/INDIRECT(SUBSTITUTE(ADDRESS(1,COLUMN($D$9),4),"1","")&amp;SUMPRODUCT(($B$10:$D$26=INDIRECT(SUBSTITUTE(ADDRESS(1,COLUMN()-1,4),"1","")&amp;ROW()-51))*ROW($B$10:$D$26)))*10+50</f>
        <v>#DIV/0!</v>
      </c>
      <c r="AG107" s="8"/>
      <c r="AH107" s="38"/>
      <c r="AI107" s="83" t="str">
        <f t="shared" si="68"/>
        <v/>
      </c>
      <c r="AJ107" s="15" t="str">
        <f>IF(AND(AH107&lt;&gt;"", AK107&lt;&gt;""), ROUND(100*(1-(AM106+AM107)/2/AN$56), $B$39), "")</f>
        <v/>
      </c>
      <c r="AK107" s="43"/>
      <c r="AL107" s="16" t="str">
        <f t="shared" si="99"/>
        <v/>
      </c>
      <c r="AM107" s="17" t="str">
        <f>IF(AND(AH107&lt;&gt;"", AK107&lt;&gt;""), SUM(AK$59:AK107), "")</f>
        <v/>
      </c>
      <c r="AN107" s="16" t="str">
        <f t="shared" si="100"/>
        <v/>
      </c>
      <c r="AO107" s="9"/>
      <c r="AP107" s="19">
        <v>0</v>
      </c>
      <c r="AQ107" s="20" t="e" cm="1">
        <f t="array" aca="1" ref="AQ107" ca="1">(AP107-INDIRECT(SUBSTITUTE(ADDRESS(1,COLUMN($C$9),4),"1","")&amp;SUMPRODUCT(($B$10:$D$26=INDIRECT(SUBSTITUTE(ADDRESS(1,COLUMN()-1,4),"1","")&amp;ROW()-51))*ROW($B$10:$D$26))))/INDIRECT(SUBSTITUTE(ADDRESS(1,COLUMN($D$9),4),"1","")&amp;SUMPRODUCT(($B$10:$D$26=INDIRECT(SUBSTITUTE(ADDRESS(1,COLUMN()-1,4),"1","")&amp;ROW()-51))*ROW($B$10:$D$26)))*10+50</f>
        <v>#DIV/0!</v>
      </c>
      <c r="AR107" s="8"/>
      <c r="AS107" s="38"/>
      <c r="AT107" s="83" t="str">
        <f t="shared" si="69"/>
        <v/>
      </c>
      <c r="AU107" s="15" t="str">
        <f>IF(AND(AS107&lt;&gt;"", AV107&lt;&gt;""), ROUND(100*(1-(AX106+AX107)/2/AY$56), $B$39), "")</f>
        <v/>
      </c>
      <c r="AV107" s="43"/>
      <c r="AW107" s="16" t="str">
        <f t="shared" si="101"/>
        <v/>
      </c>
      <c r="AX107" s="17" t="str">
        <f>IF(AND(AS107&lt;&gt;"", AV107&lt;&gt;""), SUM(AV$59:AV107), "")</f>
        <v/>
      </c>
      <c r="AY107" s="16" t="str">
        <f t="shared" si="102"/>
        <v/>
      </c>
      <c r="AZ107" s="9"/>
      <c r="BA107" s="19">
        <v>0</v>
      </c>
      <c r="BB107" s="20" t="e" cm="1">
        <f t="array" aca="1" ref="BB107" ca="1">(BA107-INDIRECT(SUBSTITUTE(ADDRESS(1,COLUMN($C$9),4),"1","")&amp;SUMPRODUCT(($B$10:$D$26=INDIRECT(SUBSTITUTE(ADDRESS(1,COLUMN()-1,4),"1","")&amp;ROW()-51))*ROW($B$10:$D$26))))/INDIRECT(SUBSTITUTE(ADDRESS(1,COLUMN($D$9),4),"1","")&amp;SUMPRODUCT(($B$10:$D$26=INDIRECT(SUBSTITUTE(ADDRESS(1,COLUMN()-1,4),"1","")&amp;ROW()-51))*ROW($B$10:$D$26)))*10+50</f>
        <v>#DIV/0!</v>
      </c>
      <c r="BC107" s="8"/>
      <c r="BD107" s="38"/>
      <c r="BE107" s="83" t="str">
        <f t="shared" si="70"/>
        <v/>
      </c>
      <c r="BF107" s="15" t="str">
        <f>IF(AND(BD107&lt;&gt;"", BG107&lt;&gt;""), ROUND(100*(1-(BI106+BI107)/2/BJ$56), $B$39), "")</f>
        <v/>
      </c>
      <c r="BG107" s="43"/>
      <c r="BH107" s="16" t="str">
        <f t="shared" si="103"/>
        <v/>
      </c>
      <c r="BI107" s="17" t="str">
        <f>IF(AND(BD107&lt;&gt;"", BG107&lt;&gt;""), SUM(BG$59:BG107), "")</f>
        <v/>
      </c>
      <c r="BJ107" s="16" t="str">
        <f t="shared" si="104"/>
        <v/>
      </c>
      <c r="BK107" s="9"/>
      <c r="BL107" s="27">
        <v>0</v>
      </c>
      <c r="BM107" s="20" t="e" cm="1">
        <f t="array" aca="1" ref="BM107" ca="1">(BL107-INDIRECT(SUBSTITUTE(ADDRESS(1,COLUMN($C$9),4),"1","")&amp;SUMPRODUCT(($B$10:$D$26=INDIRECT(SUBSTITUTE(ADDRESS(1,COLUMN()-1,4),"1","")&amp;ROW()-51))*ROW($B$10:$D$26))))/INDIRECT(SUBSTITUTE(ADDRESS(1,COLUMN($D$9),4),"1","")&amp;SUMPRODUCT(($B$10:$D$26=INDIRECT(SUBSTITUTE(ADDRESS(1,COLUMN()-1,4),"1","")&amp;ROW()-51))*ROW($B$10:$D$26)))*10+50</f>
        <v>#DIV/0!</v>
      </c>
      <c r="BN107" s="8"/>
      <c r="BO107" s="38"/>
      <c r="BP107" s="83" t="str">
        <f t="shared" si="71"/>
        <v/>
      </c>
      <c r="BQ107" s="15" t="str">
        <f>IF(AND(BO107&lt;&gt;"", BR107&lt;&gt;""), ROUND(100*(1-(BT106+BT107)/2/BU$56), $B$39), "")</f>
        <v/>
      </c>
      <c r="BR107" s="43"/>
      <c r="BS107" s="16" t="str">
        <f t="shared" si="105"/>
        <v/>
      </c>
      <c r="BT107" s="17" t="str">
        <f>IF(AND(BO107&lt;&gt;"", BR107&lt;&gt;""), SUM(BR$59:BR107), "")</f>
        <v/>
      </c>
      <c r="BU107" s="16" t="str">
        <f t="shared" si="106"/>
        <v/>
      </c>
      <c r="BV107" s="9"/>
      <c r="BW107" s="27">
        <v>0</v>
      </c>
      <c r="BX107" s="20" t="e" cm="1">
        <f t="array" aca="1" ref="BX107" ca="1">(BW107-INDIRECT(SUBSTITUTE(ADDRESS(1,COLUMN($C$9),4),"1","")&amp;SUMPRODUCT(($B$10:$D$26=INDIRECT(SUBSTITUTE(ADDRESS(1,COLUMN()-1,4),"1","")&amp;ROW()-51))*ROW($B$10:$D$26))))/INDIRECT(SUBSTITUTE(ADDRESS(1,COLUMN($D$9),4),"1","")&amp;SUMPRODUCT(($B$10:$D$26=INDIRECT(SUBSTITUTE(ADDRESS(1,COLUMN()-1,4),"1","")&amp;ROW()-51))*ROW($B$10:$D$26)))*10+50</f>
        <v>#DIV/0!</v>
      </c>
      <c r="BY107" s="8"/>
      <c r="BZ107" s="38"/>
      <c r="CA107" s="83" t="str">
        <f t="shared" si="72"/>
        <v/>
      </c>
      <c r="CB107" s="15" t="str">
        <f>IF(AND(BZ107&lt;&gt;"", CC107&lt;&gt;""), ROUND(100*(1-(CE106+CE107)/2/CF$56), $B$39), "")</f>
        <v/>
      </c>
      <c r="CC107" s="43"/>
      <c r="CD107" s="16" t="str">
        <f t="shared" si="107"/>
        <v/>
      </c>
      <c r="CE107" s="17" t="str">
        <f>IF(AND(BZ107&lt;&gt;"", CC107&lt;&gt;""), SUM(CC$59:CC107), "")</f>
        <v/>
      </c>
      <c r="CF107" s="16" t="str">
        <f t="shared" si="108"/>
        <v/>
      </c>
      <c r="CG107" s="9"/>
      <c r="CH107" s="27">
        <v>0</v>
      </c>
      <c r="CI107" s="20" t="e" cm="1">
        <f t="array" aca="1" ref="CI107" ca="1">(CH107-INDIRECT(SUBSTITUTE(ADDRESS(1,COLUMN($C$9),4),"1","")&amp;SUMPRODUCT(($B$10:$D$26=INDIRECT(SUBSTITUTE(ADDRESS(1,COLUMN()-1,4),"1","")&amp;ROW()-51))*ROW($B$10:$D$26))))/INDIRECT(SUBSTITUTE(ADDRESS(1,COLUMN($D$9),4),"1","")&amp;SUMPRODUCT(($B$10:$D$26=INDIRECT(SUBSTITUTE(ADDRESS(1,COLUMN()-1,4),"1","")&amp;ROW()-51))*ROW($B$10:$D$26)))*10+50</f>
        <v>#DIV/0!</v>
      </c>
      <c r="CJ107" s="8"/>
      <c r="CK107" s="49"/>
      <c r="CL107" s="83" t="str">
        <f t="shared" si="73"/>
        <v/>
      </c>
      <c r="CM107" s="15" t="str">
        <f>IF(AND(CK107&lt;&gt;"", CN107&lt;&gt;""), ROUND(100*(1-(CP106+CP107)/2/CQ$56), $B$39), "")</f>
        <v/>
      </c>
      <c r="CN107" s="52"/>
      <c r="CO107" s="16" t="str">
        <f t="shared" si="113"/>
        <v/>
      </c>
      <c r="CP107" s="17" t="str">
        <f>IF(AND(CK107&lt;&gt;"", CN107&lt;&gt;""), SUM(CN$59:CN107), "")</f>
        <v/>
      </c>
      <c r="CQ107" s="16" t="str">
        <f t="shared" si="114"/>
        <v/>
      </c>
      <c r="CR107" s="9"/>
      <c r="CS107" s="27">
        <v>0</v>
      </c>
      <c r="CT107" s="20" t="e" cm="1">
        <f t="array" aca="1" ref="CT107" ca="1">(CS107-INDIRECT(SUBSTITUTE(ADDRESS(1,COLUMN($C$9),4),"1","")&amp;SUMPRODUCT(($B$10:$D$26=INDIRECT(SUBSTITUTE(ADDRESS(1,COLUMN()-1,4),"1","")&amp;ROW()-51))*ROW($B$10:$D$26))))/INDIRECT(SUBSTITUTE(ADDRESS(1,COLUMN($D$9),4),"1","")&amp;SUMPRODUCT(($B$10:$D$26=INDIRECT(SUBSTITUTE(ADDRESS(1,COLUMN()-1,4),"1","")&amp;ROW()-51))*ROW($B$10:$D$26)))*10+50</f>
        <v>#DIV/0!</v>
      </c>
      <c r="CU107" s="8"/>
      <c r="CV107" s="49">
        <v>36</v>
      </c>
      <c r="CW107" s="83">
        <f t="shared" si="74"/>
        <v>9</v>
      </c>
      <c r="CX107" s="15">
        <f>IF(AND(CV107&lt;&gt;"", CY107&lt;&gt;""), ROUND(100*(1-(DA106+DA107)/2/DB$56), $B$39), "")</f>
        <v>0</v>
      </c>
      <c r="CY107" s="52">
        <v>50</v>
      </c>
      <c r="CZ107" s="16">
        <f t="shared" si="109"/>
        <v>9.5748755266181537E-3</v>
      </c>
      <c r="DA107" s="17">
        <f>IF(AND(CV107&lt;&gt;"", CY107&lt;&gt;""), SUM(CY$59:CY107), "")</f>
        <v>5222</v>
      </c>
      <c r="DB107" s="16">
        <f t="shared" si="110"/>
        <v>1</v>
      </c>
    </row>
    <row r="108" spans="1:106" ht="16" customHeight="1" x14ac:dyDescent="0.2">
      <c r="E108" s="1"/>
      <c r="F108" s="87"/>
      <c r="G108" s="69">
        <v>8</v>
      </c>
      <c r="H108" s="36"/>
      <c r="I108" s="86"/>
      <c r="J108" s="85">
        <v>8</v>
      </c>
      <c r="K108" s="70"/>
      <c r="L108" s="70"/>
      <c r="M108" s="70"/>
      <c r="N108"/>
      <c r="O108" s="42"/>
      <c r="P108" s="83" t="str">
        <f t="shared" si="81"/>
        <v/>
      </c>
      <c r="Q108" s="164" t="str">
        <f t="shared" si="79"/>
        <v/>
      </c>
      <c r="R108" s="39"/>
      <c r="S108" s="16" t="str">
        <f t="shared" si="115"/>
        <v/>
      </c>
      <c r="T108" s="17" t="str">
        <f>IF(AND(O108&lt;&gt;"", R108&lt;&gt;""), SUM(R$4:R108), "")</f>
        <v/>
      </c>
      <c r="U108" s="16" t="str">
        <f t="shared" si="116"/>
        <v/>
      </c>
      <c r="W108" s="42"/>
      <c r="X108" s="83" t="str">
        <f t="shared" si="82"/>
        <v/>
      </c>
      <c r="Y108" s="164" t="str">
        <f t="shared" si="80"/>
        <v/>
      </c>
      <c r="Z108" s="42"/>
      <c r="AA108" s="16" t="str">
        <f t="shared" si="117"/>
        <v/>
      </c>
      <c r="AB108" s="17" t="str">
        <f>IF(AND(W108&lt;&gt;"", Z108&lt;&gt;""), SUM(Z$4:Z108), "")</f>
        <v/>
      </c>
      <c r="AC108" s="16" t="str">
        <f t="shared" si="118"/>
        <v/>
      </c>
      <c r="AD108" s="1"/>
      <c r="BK108" s="9"/>
    </row>
    <row r="109" spans="1:106" ht="16" customHeight="1" x14ac:dyDescent="0.2">
      <c r="E109" s="1"/>
      <c r="F109" s="87"/>
      <c r="G109" s="69">
        <v>9</v>
      </c>
      <c r="H109" s="36"/>
      <c r="I109" s="86"/>
      <c r="J109" s="85">
        <v>9</v>
      </c>
      <c r="K109" s="70"/>
      <c r="L109" s="70"/>
      <c r="M109" s="70"/>
      <c r="N109"/>
      <c r="O109" s="42"/>
      <c r="P109" s="83" t="str">
        <f t="shared" si="81"/>
        <v/>
      </c>
      <c r="Q109" s="164" t="str">
        <f t="shared" si="79"/>
        <v/>
      </c>
      <c r="R109" s="39"/>
      <c r="S109" s="16" t="str">
        <f t="shared" si="115"/>
        <v/>
      </c>
      <c r="T109" s="17" t="str">
        <f>IF(AND(O109&lt;&gt;"", R109&lt;&gt;""), SUM(R$4:R109), "")</f>
        <v/>
      </c>
      <c r="U109" s="16" t="str">
        <f t="shared" si="116"/>
        <v/>
      </c>
      <c r="W109" s="42"/>
      <c r="X109" s="83" t="str">
        <f t="shared" si="82"/>
        <v/>
      </c>
      <c r="Y109" s="164" t="str">
        <f t="shared" si="80"/>
        <v/>
      </c>
      <c r="Z109" s="42"/>
      <c r="AA109" s="16" t="str">
        <f t="shared" si="117"/>
        <v/>
      </c>
      <c r="AB109" s="17" t="str">
        <f>IF(AND(W109&lt;&gt;"", Z109&lt;&gt;""), SUM(Z$4:Z109), "")</f>
        <v/>
      </c>
      <c r="AC109" s="16" t="str">
        <f t="shared" si="118"/>
        <v/>
      </c>
      <c r="AD109" s="1"/>
      <c r="BK109" s="14"/>
    </row>
    <row r="110" spans="1:106" ht="16" customHeight="1" x14ac:dyDescent="0.2">
      <c r="E110" s="1"/>
      <c r="L110" s="36"/>
      <c r="M110" s="36"/>
      <c r="N110"/>
      <c r="O110" s="42"/>
      <c r="P110" s="83" t="str">
        <f t="shared" si="81"/>
        <v/>
      </c>
      <c r="Q110" s="164" t="str">
        <f t="shared" si="79"/>
        <v/>
      </c>
      <c r="R110" s="39"/>
      <c r="S110" s="16" t="str">
        <f t="shared" si="115"/>
        <v/>
      </c>
      <c r="T110" s="17" t="str">
        <f>IF(AND(O110&lt;&gt;"", R110&lt;&gt;""), SUM(R$4:R110), "")</f>
        <v/>
      </c>
      <c r="U110" s="16" t="str">
        <f t="shared" si="116"/>
        <v/>
      </c>
      <c r="W110" s="42"/>
      <c r="X110" s="83" t="str">
        <f t="shared" si="82"/>
        <v/>
      </c>
      <c r="Y110" s="164" t="str">
        <f t="shared" si="80"/>
        <v/>
      </c>
      <c r="Z110" s="42"/>
      <c r="AA110" s="16" t="str">
        <f t="shared" si="117"/>
        <v/>
      </c>
      <c r="AB110" s="17" t="str">
        <f>IF(AND(W110&lt;&gt;"", Z110&lt;&gt;""), SUM(Z$4:Z110), "")</f>
        <v/>
      </c>
      <c r="AC110" s="16" t="str">
        <f t="shared" si="118"/>
        <v/>
      </c>
      <c r="AD110" s="1"/>
      <c r="BK110" s="14"/>
    </row>
    <row r="111" spans="1:106" ht="16" customHeight="1" x14ac:dyDescent="0.2">
      <c r="E111" s="1"/>
      <c r="L111" s="36"/>
      <c r="M111" s="36"/>
      <c r="N111"/>
      <c r="O111" s="42"/>
      <c r="P111" s="83" t="str">
        <f t="shared" si="81"/>
        <v/>
      </c>
      <c r="Q111" s="164" t="str">
        <f t="shared" si="79"/>
        <v/>
      </c>
      <c r="R111" s="39"/>
      <c r="S111" s="16" t="str">
        <f t="shared" ref="S111:S145" si="119">IF(AND(O111&lt;&gt;"", R111&lt;&gt;""), R111/U$1, "")</f>
        <v/>
      </c>
      <c r="T111" s="17" t="str">
        <f>IF(AND(O111&lt;&gt;"", R111&lt;&gt;""), SUM(R$4:R111), "")</f>
        <v/>
      </c>
      <c r="U111" s="16" t="str">
        <f t="shared" ref="U111:U145" si="120">IF(AND(O111&lt;&gt;"", R111&lt;&gt;""), T111/U$1, "")</f>
        <v/>
      </c>
      <c r="W111" s="40"/>
      <c r="X111" s="83" t="str">
        <f t="shared" si="82"/>
        <v/>
      </c>
      <c r="Y111" s="164" t="str">
        <f t="shared" si="80"/>
        <v/>
      </c>
      <c r="Z111" s="40"/>
      <c r="AA111" s="16" t="str">
        <f t="shared" si="117"/>
        <v/>
      </c>
      <c r="AB111" s="17" t="str">
        <f>IF(AND(W111&lt;&gt;"", Z111&lt;&gt;""), SUM(Z$4:Z111), "")</f>
        <v/>
      </c>
      <c r="AC111" s="16" t="str">
        <f t="shared" si="118"/>
        <v/>
      </c>
      <c r="AD111" s="1"/>
      <c r="AE111" s="119" t="s">
        <v>24</v>
      </c>
      <c r="AF111" s="120"/>
      <c r="AG111" s="120"/>
      <c r="AH111" s="121"/>
      <c r="AI111" s="2" t="s">
        <v>2</v>
      </c>
      <c r="AJ111" s="5" cm="1">
        <f t="array" aca="1" ref="AJ111" ca="1">INDIRECT(SUBSTITUTE(ADDRESS(1,COLUMN($C$9),4),"1","")&amp;SUMPRODUCT(($B$10:$D$26=INDIRECT(SUBSTITUTE(ADDRESS(1,COLUMN()-5,4),"1","")&amp;ROW()))*ROW($B$10:$D$26)))</f>
        <v>0</v>
      </c>
      <c r="AK111" s="2" t="s">
        <v>3</v>
      </c>
      <c r="AL111" s="5" cm="1">
        <f t="array" aca="1" ref="AL111" ca="1">INDIRECT(SUBSTITUTE(ADDRESS(1,COLUMN($D$9),4),"1","")&amp;SUMPRODUCT(($B$10:$D$26=INDIRECT(SUBSTITUTE(ADDRESS(1,COLUMN()-7,4),"1","")&amp;ROW()))*ROW($B$10:$D$26)))</f>
        <v>0</v>
      </c>
      <c r="AM111" s="2" t="s">
        <v>34</v>
      </c>
      <c r="AN111" s="3">
        <f>SUM(AK114:AK161)</f>
        <v>26395</v>
      </c>
      <c r="AO111" s="6"/>
      <c r="AP111" s="119" t="s">
        <v>25</v>
      </c>
      <c r="AQ111" s="120"/>
      <c r="AR111" s="120"/>
      <c r="AS111" s="121"/>
      <c r="AT111" s="2" t="s">
        <v>2</v>
      </c>
      <c r="AU111" s="5" cm="1">
        <f t="array" aca="1" ref="AU111" ca="1">INDIRECT(SUBSTITUTE(ADDRESS(1,COLUMN($C$9),4),"1","")&amp;SUMPRODUCT(($B$10:$D$26=INDIRECT(SUBSTITUTE(ADDRESS(1,COLUMN()-5,4),"1","")&amp;ROW()))*ROW($B$10:$D$26)))</f>
        <v>0</v>
      </c>
      <c r="AV111" s="2" t="s">
        <v>3</v>
      </c>
      <c r="AW111" s="5" cm="1">
        <f t="array" aca="1" ref="AW111" ca="1">INDIRECT(SUBSTITUTE(ADDRESS(1,COLUMN($D$9),4),"1","")&amp;SUMPRODUCT(($B$10:$D$26=INDIRECT(SUBSTITUTE(ADDRESS(1,COLUMN()-7,4),"1","")&amp;ROW()))*ROW($B$10:$D$26)))</f>
        <v>0</v>
      </c>
      <c r="AX111" s="2" t="s">
        <v>34</v>
      </c>
      <c r="AY111" s="3">
        <f>SUM(AV114:AV162)</f>
        <v>6586</v>
      </c>
      <c r="AZ111" s="6"/>
      <c r="BA111" s="119" t="s">
        <v>26</v>
      </c>
      <c r="BB111" s="120"/>
      <c r="BC111" s="120"/>
      <c r="BD111" s="121"/>
      <c r="BE111" s="2" t="s">
        <v>2</v>
      </c>
      <c r="BF111" s="5" cm="1">
        <f t="array" aca="1" ref="BF111" ca="1">INDIRECT(SUBSTITUTE(ADDRESS(1,COLUMN($C$9),4),"1","")&amp;SUMPRODUCT(($B$10:$D$26=INDIRECT(SUBSTITUTE(ADDRESS(1,COLUMN()-5,4),"1","")&amp;ROW()))*ROW($B$10:$D$26)))</f>
        <v>0</v>
      </c>
      <c r="BG111" s="2" t="s">
        <v>3</v>
      </c>
      <c r="BH111" s="5" cm="1">
        <f t="array" aca="1" ref="BH111" ca="1">INDIRECT(SUBSTITUTE(ADDRESS(1,COLUMN($D$9),4),"1","")&amp;SUMPRODUCT(($B$10:$D$26=INDIRECT(SUBSTITUTE(ADDRESS(1,COLUMN()-7,4),"1","")&amp;ROW()))*ROW($B$10:$D$26)))</f>
        <v>0</v>
      </c>
      <c r="BI111" s="2" t="s">
        <v>34</v>
      </c>
      <c r="BJ111" s="3">
        <f>SUM(BG114:BG162)</f>
        <v>117808</v>
      </c>
      <c r="BK111" s="14"/>
    </row>
    <row r="112" spans="1:106" ht="16" customHeight="1" x14ac:dyDescent="0.2">
      <c r="E112" s="1"/>
      <c r="N112"/>
      <c r="O112" s="42"/>
      <c r="P112" s="83" t="str">
        <f t="shared" si="81"/>
        <v/>
      </c>
      <c r="Q112" s="164" t="str">
        <f t="shared" si="79"/>
        <v/>
      </c>
      <c r="R112" s="39"/>
      <c r="S112" s="16" t="str">
        <f t="shared" si="119"/>
        <v/>
      </c>
      <c r="T112" s="17" t="str">
        <f>IF(AND(O112&lt;&gt;"", R112&lt;&gt;""), SUM(R$4:R112), "")</f>
        <v/>
      </c>
      <c r="U112" s="16" t="str">
        <f t="shared" si="120"/>
        <v/>
      </c>
      <c r="W112" s="41"/>
      <c r="X112" s="83" t="str">
        <f t="shared" si="82"/>
        <v/>
      </c>
      <c r="Y112" s="164" t="str">
        <f t="shared" si="80"/>
        <v/>
      </c>
      <c r="Z112" s="41"/>
      <c r="AA112" s="16" t="str">
        <f t="shared" ref="AA112:AA142" si="121">IF(AND(W112&lt;&gt;"", Z112&lt;&gt;""), Z112/AC$1, "")</f>
        <v/>
      </c>
      <c r="AB112" s="17" t="str">
        <f>IF(AND(W112&lt;&gt;"", Z112&lt;&gt;""), SUM(Z$4:Z112), "")</f>
        <v/>
      </c>
      <c r="AC112" s="16" t="str">
        <f t="shared" ref="AC112:AC142" si="122">IF(AND(W112&lt;&gt;"", Z112&lt;&gt;""), AB112/AC$1, "")</f>
        <v/>
      </c>
      <c r="AD112" s="1"/>
      <c r="AG112" s="1"/>
      <c r="AO112" s="9"/>
      <c r="AZ112" s="9"/>
      <c r="BK112" s="14"/>
    </row>
    <row r="113" spans="5:63" ht="16" customHeight="1" x14ac:dyDescent="0.2">
      <c r="E113" s="1"/>
      <c r="N113"/>
      <c r="O113" s="42"/>
      <c r="P113" s="83" t="str">
        <f t="shared" si="81"/>
        <v/>
      </c>
      <c r="Q113" s="164" t="str">
        <f t="shared" si="79"/>
        <v/>
      </c>
      <c r="R113" s="39"/>
      <c r="S113" s="16" t="str">
        <f t="shared" si="119"/>
        <v/>
      </c>
      <c r="T113" s="17" t="str">
        <f>IF(AND(O113&lt;&gt;"", R113&lt;&gt;""), SUM(R$4:R113), "")</f>
        <v/>
      </c>
      <c r="U113" s="16" t="str">
        <f t="shared" si="120"/>
        <v/>
      </c>
      <c r="W113" s="42"/>
      <c r="X113" s="83" t="str">
        <f t="shared" si="82"/>
        <v/>
      </c>
      <c r="Y113" s="164" t="str">
        <f t="shared" si="80"/>
        <v/>
      </c>
      <c r="Z113" s="42"/>
      <c r="AA113" s="16" t="str">
        <f t="shared" si="121"/>
        <v/>
      </c>
      <c r="AB113" s="17" t="str">
        <f>IF(AND(W113&lt;&gt;"", Z113&lt;&gt;""), SUM(Z$4:Z113), "")</f>
        <v/>
      </c>
      <c r="AC113" s="16" t="str">
        <f t="shared" si="122"/>
        <v/>
      </c>
      <c r="AD113" s="1"/>
      <c r="AE113" s="13" t="s">
        <v>30</v>
      </c>
      <c r="AF113" s="13" t="s">
        <v>13</v>
      </c>
      <c r="AG113" s="1"/>
      <c r="AH113" s="11" t="s">
        <v>13</v>
      </c>
      <c r="AI113" s="11" t="s">
        <v>14</v>
      </c>
      <c r="AJ113" s="11" t="s">
        <v>15</v>
      </c>
      <c r="AK113" s="11" t="s">
        <v>16</v>
      </c>
      <c r="AL113" s="11" t="s">
        <v>17</v>
      </c>
      <c r="AM113" s="12" t="s">
        <v>18</v>
      </c>
      <c r="AN113" s="2" t="s">
        <v>19</v>
      </c>
      <c r="AO113" s="14"/>
      <c r="AP113" s="13" t="s">
        <v>30</v>
      </c>
      <c r="AQ113" s="13" t="s">
        <v>13</v>
      </c>
      <c r="AR113" s="1"/>
      <c r="AS113" s="11" t="s">
        <v>13</v>
      </c>
      <c r="AT113" s="11" t="s">
        <v>14</v>
      </c>
      <c r="AU113" s="11" t="s">
        <v>15</v>
      </c>
      <c r="AV113" s="11" t="s">
        <v>16</v>
      </c>
      <c r="AW113" s="11" t="s">
        <v>17</v>
      </c>
      <c r="AX113" s="12" t="s">
        <v>18</v>
      </c>
      <c r="AY113" s="2" t="s">
        <v>19</v>
      </c>
      <c r="AZ113" s="14"/>
      <c r="BA113" s="13" t="s">
        <v>30</v>
      </c>
      <c r="BB113" s="13" t="s">
        <v>13</v>
      </c>
      <c r="BC113" s="1"/>
      <c r="BD113" s="11" t="s">
        <v>13</v>
      </c>
      <c r="BE113" s="11" t="s">
        <v>14</v>
      </c>
      <c r="BF113" s="11" t="s">
        <v>15</v>
      </c>
      <c r="BG113" s="11" t="s">
        <v>16</v>
      </c>
      <c r="BH113" s="11" t="s">
        <v>17</v>
      </c>
      <c r="BI113" s="12" t="s">
        <v>18</v>
      </c>
      <c r="BJ113" s="2" t="s">
        <v>19</v>
      </c>
      <c r="BK113" s="14"/>
    </row>
    <row r="114" spans="5:63" ht="16" customHeight="1" x14ac:dyDescent="0.2">
      <c r="E114" s="1"/>
      <c r="N114"/>
      <c r="O114" s="42"/>
      <c r="P114" s="83" t="str">
        <f t="shared" si="81"/>
        <v/>
      </c>
      <c r="Q114" s="164" t="str">
        <f t="shared" si="79"/>
        <v/>
      </c>
      <c r="R114" s="39"/>
      <c r="S114" s="16" t="str">
        <f t="shared" si="119"/>
        <v/>
      </c>
      <c r="T114" s="17" t="str">
        <f>IF(AND(O114&lt;&gt;"", R114&lt;&gt;""), SUM(R$4:R114), "")</f>
        <v/>
      </c>
      <c r="U114" s="16" t="str">
        <f t="shared" si="120"/>
        <v/>
      </c>
      <c r="W114" s="42"/>
      <c r="X114" s="83" t="str">
        <f t="shared" si="82"/>
        <v/>
      </c>
      <c r="Y114" s="164" t="str">
        <f t="shared" si="80"/>
        <v/>
      </c>
      <c r="Z114" s="42"/>
      <c r="AA114" s="16" t="str">
        <f t="shared" si="121"/>
        <v/>
      </c>
      <c r="AB114" s="17" t="str">
        <f>IF(AND(W114&lt;&gt;"", Z114&lt;&gt;""), SUM(Z$4:Z114), "")</f>
        <v/>
      </c>
      <c r="AC114" s="16" t="str">
        <f t="shared" si="122"/>
        <v/>
      </c>
      <c r="AD114" s="1"/>
      <c r="AE114" s="19">
        <v>50</v>
      </c>
      <c r="AF114" s="20" t="e" cm="1">
        <f t="array" aca="1" ref="AF114" ca="1">(AE114-INDIRECT(SUBSTITUTE(ADDRESS(1,COLUMN($C$9),4),"1","")&amp;SUMPRODUCT(($B$10:$D$26=INDIRECT(SUBSTITUTE(ADDRESS(1,COLUMN()-1,4),"1","")&amp;ROW()-3))*ROW($B$10:$D$26))))/INDIRECT(SUBSTITUTE(ADDRESS(1,COLUMN($D$9),4),"1","")&amp;SUMPRODUCT(($B$10:$D$26=INDIRECT(SUBSTITUTE(ADDRESS(1,COLUMN()-1,4),"1","")&amp;ROW()-3))*ROW($B$10:$D$26)))*10+50</f>
        <v>#DIV/0!</v>
      </c>
      <c r="AG114" s="8"/>
      <c r="AH114" s="45">
        <v>71</v>
      </c>
      <c r="AI114" s="37">
        <f>IF(AND(AH114&lt;&gt;"", AK114&lt;&gt;""), 1, "")</f>
        <v>1</v>
      </c>
      <c r="AJ114" s="21">
        <f>IF(AND(AH114&lt;&gt;"", AK114&lt;&gt;""), ROUND(100*(1-(0+AM114)/2/AN$111), $B$39), "")</f>
        <v>99</v>
      </c>
      <c r="AK114" s="50">
        <v>315</v>
      </c>
      <c r="AL114" s="22">
        <f t="shared" ref="AL114:AL145" si="123">IF(AND(AH114&lt;&gt;"", AK114&lt;&gt;""), AK114/AN$111, "")</f>
        <v>1.1934078423943929E-2</v>
      </c>
      <c r="AM114" s="23">
        <f>IF(AND(AH114&lt;&gt;"", AK114&lt;&gt;""), SUM(AK$114:AK114), "")</f>
        <v>315</v>
      </c>
      <c r="AN114" s="22">
        <f t="shared" ref="AN114:AN145" si="124">IF(AND(AH114&lt;&gt;"", AK114&lt;&gt;""), AM114/AN$111, "")</f>
        <v>1.1934078423943929E-2</v>
      </c>
      <c r="AO114" s="14"/>
      <c r="AP114" s="10">
        <v>50</v>
      </c>
      <c r="AQ114" s="24" t="e" cm="1">
        <f t="array" aca="1" ref="AQ114" ca="1">(AP114-INDIRECT(SUBSTITUTE(ADDRESS(1,COLUMN($C$9),4),"1","")&amp;SUMPRODUCT(($B$10:$D$26=INDIRECT(SUBSTITUTE(ADDRESS(1,COLUMN()-1,4),"1","")&amp;ROW()-3))*ROW($B$10:$D$26))))/INDIRECT(SUBSTITUTE(ADDRESS(1,COLUMN($D$9),4),"1","")&amp;SUMPRODUCT(($B$10:$D$26=INDIRECT(SUBSTITUTE(ADDRESS(1,COLUMN()-1,4),"1","")&amp;ROW()-3))*ROW($B$10:$D$26)))*10+50</f>
        <v>#DIV/0!</v>
      </c>
      <c r="AR114" s="8"/>
      <c r="AS114" s="48">
        <v>74</v>
      </c>
      <c r="AT114" s="37">
        <f>IF(AND(AS114&lt;&gt;"", AV114&lt;&gt;""), 1, "")</f>
        <v>1</v>
      </c>
      <c r="AU114" s="25">
        <f>IF(AND(AS114&lt;&gt;"", AV114&lt;&gt;""), ROUND(100*(1-(0+AX114)/2/AY$111), $B$39), "")</f>
        <v>99</v>
      </c>
      <c r="AV114" s="51">
        <v>182</v>
      </c>
      <c r="AW114" s="18">
        <f t="shared" ref="AW114:AW145" si="125">IF(AND(AS114&lt;&gt;"", AV114&lt;&gt;""), AV114/AY$111, "")</f>
        <v>2.763437594898269E-2</v>
      </c>
      <c r="AX114" s="26">
        <f>IF(AND(AS114&lt;&gt;"", AV114&lt;&gt;""), SUM(AV$114:AV114), "")</f>
        <v>182</v>
      </c>
      <c r="AY114" s="18">
        <f t="shared" ref="AY114:AY145" si="126">IF(AND(AS114&lt;&gt;"", AV114&lt;&gt;""), AX114/AY$111, "")</f>
        <v>2.763437594898269E-2</v>
      </c>
      <c r="AZ114" s="14"/>
      <c r="BA114" s="10">
        <v>50</v>
      </c>
      <c r="BB114" s="24" t="e" cm="1">
        <f t="array" aca="1" ref="BB114" ca="1">(BA114-INDIRECT(SUBSTITUTE(ADDRESS(1,COLUMN($C$9),4),"1","")&amp;SUMPRODUCT(($B$10:$D$26=INDIRECT(SUBSTITUTE(ADDRESS(1,COLUMN()-1,4),"1","")&amp;ROW()-3))*ROW($B$10:$D$26))))/INDIRECT(SUBSTITUTE(ADDRESS(1,COLUMN($D$9),4),"1","")&amp;SUMPRODUCT(($B$10:$D$26=INDIRECT(SUBSTITUTE(ADDRESS(1,COLUMN()-1,4),"1","")&amp;ROW()-3))*ROW($B$10:$D$26)))*10+50</f>
        <v>#DIV/0!</v>
      </c>
      <c r="BC114" s="8"/>
      <c r="BD114" s="48">
        <v>67</v>
      </c>
      <c r="BE114" s="37">
        <f>IF(AND(BD114&lt;&gt;"", BG114&lt;&gt;""), 1, "")</f>
        <v>1</v>
      </c>
      <c r="BF114" s="25">
        <f>IF(AND(BD114&lt;&gt;"", BG114&lt;&gt;""), ROUND(100*(1-(0+BI114)/2/BJ$111), $B$39), "")</f>
        <v>99</v>
      </c>
      <c r="BG114" s="51">
        <v>2977</v>
      </c>
      <c r="BH114" s="18">
        <f t="shared" ref="BH114:BH145" si="127">IF(AND(BD114&lt;&gt;"", BG114&lt;&gt;""), BG114/BJ$111, "")</f>
        <v>2.5269930734754854E-2</v>
      </c>
      <c r="BI114" s="26">
        <f>IF(AND(BD114&lt;&gt;"", BG114&lt;&gt;""), SUM(BG$114:BG114), "")</f>
        <v>2977</v>
      </c>
      <c r="BJ114" s="18">
        <f t="shared" ref="BJ114:BJ145" si="128">IF(AND(BD114&lt;&gt;"", BG114&lt;&gt;""), BI114/BJ$111, "")</f>
        <v>2.5269930734754854E-2</v>
      </c>
      <c r="BK114" s="14"/>
    </row>
    <row r="115" spans="5:63" ht="16" customHeight="1" x14ac:dyDescent="0.2">
      <c r="E115" s="1"/>
      <c r="N115"/>
      <c r="O115" s="42"/>
      <c r="P115" s="83" t="str">
        <f t="shared" si="81"/>
        <v/>
      </c>
      <c r="Q115" s="164" t="str">
        <f t="shared" si="79"/>
        <v/>
      </c>
      <c r="R115" s="40"/>
      <c r="S115" s="16" t="str">
        <f t="shared" si="119"/>
        <v/>
      </c>
      <c r="T115" s="17" t="str">
        <f>IF(AND(O115&lt;&gt;"", R115&lt;&gt;""), SUM(R$4:R115), "")</f>
        <v/>
      </c>
      <c r="U115" s="16" t="str">
        <f t="shared" si="120"/>
        <v/>
      </c>
      <c r="W115" s="42"/>
      <c r="X115" s="83" t="str">
        <f t="shared" si="82"/>
        <v/>
      </c>
      <c r="Y115" s="164" t="str">
        <f t="shared" si="80"/>
        <v/>
      </c>
      <c r="Z115" s="42"/>
      <c r="AA115" s="16" t="str">
        <f t="shared" si="121"/>
        <v/>
      </c>
      <c r="AB115" s="17" t="str">
        <f>IF(AND(W115&lt;&gt;"", Z115&lt;&gt;""), SUM(Z$4:Z115), "")</f>
        <v/>
      </c>
      <c r="AC115" s="16" t="str">
        <f t="shared" si="122"/>
        <v/>
      </c>
      <c r="AD115" s="1"/>
      <c r="AE115" s="19">
        <v>48</v>
      </c>
      <c r="AF115" s="20" t="e" cm="1">
        <f t="array" aca="1" ref="AF115" ca="1">(AE115-INDIRECT(SUBSTITUTE(ADDRESS(1,COLUMN($C$9),4),"1","")&amp;SUMPRODUCT(($B$10:$D$26=INDIRECT(SUBSTITUTE(ADDRESS(1,COLUMN()-1,4),"1","")&amp;ROW()-4))*ROW($B$10:$D$26))))/INDIRECT(SUBSTITUTE(ADDRESS(1,COLUMN($D$9),4),"1","")&amp;SUMPRODUCT(($B$10:$D$26=INDIRECT(SUBSTITUTE(ADDRESS(1,COLUMN()-1,4),"1","")&amp;ROW()-4))*ROW($B$10:$D$26)))*10+50</f>
        <v>#DIV/0!</v>
      </c>
      <c r="AG115" s="8"/>
      <c r="AH115" s="48">
        <v>69</v>
      </c>
      <c r="AI115" s="83">
        <f>IF(AND(AH115&lt;&gt;"", AK115&lt;&gt;""), IF(AN114 &gt; $A$36, $B$37, IF(AN114 &gt; $A$35, $B$36, IF(AN114 &gt; $A$34, $B$35, IF(AN114 &gt; $A$33, $B$34, IF(AN114 &gt; $A$32, $B$33,IF(AN114 &gt; $A$31, $B$32, IF(AN114 &gt; $A$30, $B$31, IF(AN114 &gt; $A$29, $B$30, $B$29)))))))), "")</f>
        <v>1</v>
      </c>
      <c r="AJ115" s="25">
        <f>IF(AND(AH115&lt;&gt;"", AK115&lt;&gt;""), ROUND(100*(1-(AM114+AM115)/2/AN$111), $B$39), "")</f>
        <v>98</v>
      </c>
      <c r="AK115" s="51">
        <v>418</v>
      </c>
      <c r="AL115" s="18">
        <f t="shared" si="123"/>
        <v>1.583633263875734E-2</v>
      </c>
      <c r="AM115" s="26">
        <f>IF(AND(AH115&lt;&gt;"", AK115&lt;&gt;""), SUM(AK$114:AK115), "")</f>
        <v>733</v>
      </c>
      <c r="AN115" s="18">
        <f t="shared" si="124"/>
        <v>2.777041106270127E-2</v>
      </c>
      <c r="AO115" s="14"/>
      <c r="AP115" s="27">
        <v>48</v>
      </c>
      <c r="AQ115" s="20" t="e" cm="1">
        <f t="array" aca="1" ref="AQ115" ca="1">(AP115-INDIRECT(SUBSTITUTE(ADDRESS(1,COLUMN($C$9),4),"1","")&amp;SUMPRODUCT(($B$10:$D$26=INDIRECT(SUBSTITUTE(ADDRESS(1,COLUMN()-1,4),"1","")&amp;ROW()-4))*ROW($B$10:$D$26))))/INDIRECT(SUBSTITUTE(ADDRESS(1,COLUMN($D$9),4),"1","")&amp;SUMPRODUCT(($B$10:$D$26=INDIRECT(SUBSTITUTE(ADDRESS(1,COLUMN()-1,4),"1","")&amp;ROW()-4))*ROW($B$10:$D$26)))*10+50</f>
        <v>#DIV/0!</v>
      </c>
      <c r="AR115" s="8"/>
      <c r="AS115" s="49">
        <v>72</v>
      </c>
      <c r="AT115" s="83">
        <f>IF(AND(AS115&lt;&gt;"", AV115&lt;&gt;""), IF(AY114 &gt; $A$36, $B$37, IF(AY114 &gt; $A$35, $B$36, IF(AY114 &gt; $A$34, $B$35, IF(AY114 &gt; $A$33, $B$34, IF(AY114 &gt; $A$32, $B$33,IF(AY114 &gt; $A$31, $B$32, IF(AY114 &gt; $A$30, $B$31, IF(AY114 &gt; $A$29, $B$30, $B$29)))))))), "")</f>
        <v>1</v>
      </c>
      <c r="AU115" s="15">
        <f>IF(AND(AS115&lt;&gt;"", AV115&lt;&gt;""), ROUND(100*(1-(AX114+AX115)/2/AY$111), $B$39), "")</f>
        <v>96</v>
      </c>
      <c r="AV115" s="52">
        <v>159</v>
      </c>
      <c r="AW115" s="16">
        <f t="shared" si="125"/>
        <v>2.4142119647737624E-2</v>
      </c>
      <c r="AX115" s="17">
        <f>IF(AND(AS115&lt;&gt;"", AV115&lt;&gt;""), SUM(AV$114:AV115), "")</f>
        <v>341</v>
      </c>
      <c r="AY115" s="16">
        <f t="shared" si="126"/>
        <v>5.1776495596720318E-2</v>
      </c>
      <c r="AZ115" s="14"/>
      <c r="BA115" s="27">
        <v>48</v>
      </c>
      <c r="BB115" s="20" t="e" cm="1">
        <f t="array" aca="1" ref="BB115" ca="1">(BA115-INDIRECT(SUBSTITUTE(ADDRESS(1,COLUMN($C$9),4),"1","")&amp;SUMPRODUCT(($B$10:$D$26=INDIRECT(SUBSTITUTE(ADDRESS(1,COLUMN()-1,4),"1","")&amp;ROW()-4))*ROW($B$10:$D$26))))/INDIRECT(SUBSTITUTE(ADDRESS(1,COLUMN($D$9),4),"1","")&amp;SUMPRODUCT(($B$10:$D$26=INDIRECT(SUBSTITUTE(ADDRESS(1,COLUMN()-1,4),"1","")&amp;ROW()-4))*ROW($B$10:$D$26)))*10+50</f>
        <v>#DIV/0!</v>
      </c>
      <c r="BC115" s="8"/>
      <c r="BD115" s="49">
        <v>65</v>
      </c>
      <c r="BE115" s="83">
        <f>IF(AND(BD115&lt;&gt;"", BG115&lt;&gt;""), IF(BJ114 &gt; $A$36, $B$37, IF(BJ114 &gt; $A$35, $B$36, IF(BJ114 &gt; $A$34, $B$35, IF(BJ114 &gt; $A$33, $B$34, IF(BJ114 &gt; $A$32, $B$33,IF(BJ114 &gt; $A$31, $B$32, IF(BJ114 &gt; $A$30, $B$31, IF(BJ114 &gt; $A$29, $B$30, $B$29)))))))), "")</f>
        <v>1</v>
      </c>
      <c r="BF115" s="15">
        <f>IF(AND(BD115&lt;&gt;"", BG115&lt;&gt;""), ROUND(100*(1-(BI114+BI115)/2/BJ$111), $B$39), "")</f>
        <v>96</v>
      </c>
      <c r="BG115" s="52">
        <v>4531</v>
      </c>
      <c r="BH115" s="16">
        <f t="shared" si="127"/>
        <v>3.8460885508624205E-2</v>
      </c>
      <c r="BI115" s="17">
        <f>IF(AND(BD115&lt;&gt;"", BG115&lt;&gt;""), SUM(BG$114:BG115), "")</f>
        <v>7508</v>
      </c>
      <c r="BJ115" s="16">
        <f t="shared" si="128"/>
        <v>6.3730816243379063E-2</v>
      </c>
      <c r="BK115" s="14"/>
    </row>
    <row r="116" spans="5:63" ht="16" customHeight="1" x14ac:dyDescent="0.2">
      <c r="E116" s="1"/>
      <c r="N116"/>
      <c r="O116" s="42"/>
      <c r="P116" s="83" t="str">
        <f t="shared" si="81"/>
        <v/>
      </c>
      <c r="Q116" s="164" t="str">
        <f t="shared" si="79"/>
        <v/>
      </c>
      <c r="R116" s="41"/>
      <c r="S116" s="16" t="str">
        <f t="shared" si="119"/>
        <v/>
      </c>
      <c r="T116" s="17" t="str">
        <f>IF(AND(O116&lt;&gt;"", R116&lt;&gt;""), SUM(R$4:R116), "")</f>
        <v/>
      </c>
      <c r="U116" s="16" t="str">
        <f t="shared" si="120"/>
        <v/>
      </c>
      <c r="W116" s="42"/>
      <c r="X116" s="83" t="str">
        <f t="shared" si="82"/>
        <v/>
      </c>
      <c r="Y116" s="164" t="str">
        <f t="shared" si="80"/>
        <v/>
      </c>
      <c r="Z116" s="42"/>
      <c r="AA116" s="16" t="str">
        <f t="shared" si="121"/>
        <v/>
      </c>
      <c r="AB116" s="17" t="str">
        <f>IF(AND(W116&lt;&gt;"", Z116&lt;&gt;""), SUM(Z$4:Z116), "")</f>
        <v/>
      </c>
      <c r="AC116" s="16" t="str">
        <f t="shared" si="122"/>
        <v/>
      </c>
      <c r="AD116" s="1"/>
      <c r="AE116" s="19">
        <v>47</v>
      </c>
      <c r="AF116" s="20" t="e" cm="1">
        <f t="array" aca="1" ref="AF116" ca="1">(AE116-INDIRECT(SUBSTITUTE(ADDRESS(1,COLUMN($C$9),4),"1","")&amp;SUMPRODUCT(($B$10:$D$26=INDIRECT(SUBSTITUTE(ADDRESS(1,COLUMN()-1,4),"1","")&amp;ROW()-5))*ROW($B$10:$D$26))))/INDIRECT(SUBSTITUTE(ADDRESS(1,COLUMN($D$9),4),"1","")&amp;SUMPRODUCT(($B$10:$D$26=INDIRECT(SUBSTITUTE(ADDRESS(1,COLUMN()-1,4),"1","")&amp;ROW()-5))*ROW($B$10:$D$26)))*10+50</f>
        <v>#DIV/0!</v>
      </c>
      <c r="AG116" s="8"/>
      <c r="AH116" s="49">
        <v>68</v>
      </c>
      <c r="AI116" s="83">
        <f>IF(AND(AH116&lt;&gt;"", AK116&lt;&gt;""), IF(AN115 &gt; $A$36, $B$37, IF(AN115 &gt; $A$35, $B$36, IF(AN115 &gt; $A$34, $B$35, IF(AN115 &gt; $A$33, $B$34, IF(AN115 &gt; $A$32, $B$33,IF(AN115 &gt; $A$31, $B$32, IF(AN115 &gt; $A$30, $B$31, IF(AN115 &gt; $A$29, $B$30, $B$29)))))))), "")</f>
        <v>1</v>
      </c>
      <c r="AJ116" s="15">
        <f>IF(AND(AH116&lt;&gt;"", AK116&lt;&gt;""), ROUND(100*(1-(AM115+AM116)/2/AN$111), $B$39), "")</f>
        <v>96</v>
      </c>
      <c r="AK116" s="52">
        <v>603</v>
      </c>
      <c r="AL116" s="16">
        <f t="shared" si="123"/>
        <v>2.2845235840121235E-2</v>
      </c>
      <c r="AM116" s="17">
        <f>IF(AND(AH116&lt;&gt;"", AK116&lt;&gt;""), SUM(AK$114:AK116), "")</f>
        <v>1336</v>
      </c>
      <c r="AN116" s="16">
        <f t="shared" si="124"/>
        <v>5.0615646902822505E-2</v>
      </c>
      <c r="AO116" s="14"/>
      <c r="AP116" s="27">
        <v>47</v>
      </c>
      <c r="AQ116" s="20" t="e" cm="1">
        <f t="array" aca="1" ref="AQ116" ca="1">(AP116-INDIRECT(SUBSTITUTE(ADDRESS(1,COLUMN($C$9),4),"1","")&amp;SUMPRODUCT(($B$10:$D$26=INDIRECT(SUBSTITUTE(ADDRESS(1,COLUMN()-1,4),"1","")&amp;ROW()-5))*ROW($B$10:$D$26))))/INDIRECT(SUBSTITUTE(ADDRESS(1,COLUMN($D$9),4),"1","")&amp;SUMPRODUCT(($B$10:$D$26=INDIRECT(SUBSTITUTE(ADDRESS(1,COLUMN()-1,4),"1","")&amp;ROW()-5))*ROW($B$10:$D$26)))*10+50</f>
        <v>#DIV/0!</v>
      </c>
      <c r="AR116" s="8"/>
      <c r="AS116" s="49">
        <v>71</v>
      </c>
      <c r="AT116" s="83">
        <f>IF(AND(AS116&lt;&gt;"", AV116&lt;&gt;""), IF(AY115 &gt; $A$36, $B$37, IF(AY115 &gt; $A$35, $B$36, IF(AY115 &gt; $A$34, $B$35, IF(AY115 &gt; $A$33, $B$34, IF(AY115 &gt; $A$32, $B$33,IF(AY115 &gt; $A$31, $B$32, IF(AY115 &gt; $A$30, $B$31, IF(AY115 &gt; $A$29, $B$30, $B$29)))))))), "")</f>
        <v>2</v>
      </c>
      <c r="AU116" s="15">
        <f>IF(AND(AS116&lt;&gt;"", AV116&lt;&gt;""), ROUND(100*(1-(AX115+AX116)/2/AY$111), $B$39), "")</f>
        <v>95</v>
      </c>
      <c r="AV116" s="52">
        <v>15</v>
      </c>
      <c r="AW116" s="16">
        <f t="shared" si="125"/>
        <v>2.2775584573337384E-3</v>
      </c>
      <c r="AX116" s="17">
        <f>IF(AND(AS116&lt;&gt;"", AV116&lt;&gt;""), SUM(AV$114:AV116), "")</f>
        <v>356</v>
      </c>
      <c r="AY116" s="16">
        <f t="shared" si="126"/>
        <v>5.4054054054054057E-2</v>
      </c>
      <c r="AZ116" s="14"/>
      <c r="BA116" s="27">
        <v>47</v>
      </c>
      <c r="BB116" s="20" t="e" cm="1">
        <f t="array" aca="1" ref="BB116" ca="1">(BA116-INDIRECT(SUBSTITUTE(ADDRESS(1,COLUMN($C$9),4),"1","")&amp;SUMPRODUCT(($B$10:$D$26=INDIRECT(SUBSTITUTE(ADDRESS(1,COLUMN()-1,4),"1","")&amp;ROW()-5))*ROW($B$10:$D$26))))/INDIRECT(SUBSTITUTE(ADDRESS(1,COLUMN($D$9),4),"1","")&amp;SUMPRODUCT(($B$10:$D$26=INDIRECT(SUBSTITUTE(ADDRESS(1,COLUMN()-1,4),"1","")&amp;ROW()-5))*ROW($B$10:$D$26)))*10+50</f>
        <v>#DIV/0!</v>
      </c>
      <c r="BC116" s="8"/>
      <c r="BD116" s="49">
        <v>64</v>
      </c>
      <c r="BE116" s="83">
        <f>IF(AND(BD116&lt;&gt;"", BG116&lt;&gt;""), IF(BJ115 &gt; $A$36, $B$37, IF(BJ115 &gt; $A$35, $B$36, IF(BJ115 &gt; $A$34, $B$35, IF(BJ115 &gt; $A$33, $B$34, IF(BJ115 &gt; $A$32, $B$33,IF(BJ115 &gt; $A$31, $B$32, IF(BJ115 &gt; $A$30, $B$31, IF(BJ115 &gt; $A$29, $B$30, $B$29)))))))), "")</f>
        <v>2</v>
      </c>
      <c r="BF116" s="15">
        <f>IF(AND(BD116&lt;&gt;"", BG116&lt;&gt;""), ROUND(100*(1-(BI115+BI116)/2/BJ$111), $B$39), "")</f>
        <v>93</v>
      </c>
      <c r="BG116" s="52">
        <v>863</v>
      </c>
      <c r="BH116" s="16">
        <f t="shared" si="127"/>
        <v>7.3254787450767354E-3</v>
      </c>
      <c r="BI116" s="17">
        <f>IF(AND(BD116&lt;&gt;"", BG116&lt;&gt;""), SUM(BG$114:BG116), "")</f>
        <v>8371</v>
      </c>
      <c r="BJ116" s="16">
        <f t="shared" si="128"/>
        <v>7.1056294988455795E-2</v>
      </c>
      <c r="BK116" s="14"/>
    </row>
    <row r="117" spans="5:63" ht="16" customHeight="1" x14ac:dyDescent="0.2">
      <c r="E117" s="1"/>
      <c r="N117"/>
      <c r="O117" s="42"/>
      <c r="P117" s="83" t="str">
        <f t="shared" si="81"/>
        <v/>
      </c>
      <c r="Q117" s="164" t="str">
        <f t="shared" si="79"/>
        <v/>
      </c>
      <c r="R117" s="42"/>
      <c r="S117" s="16" t="str">
        <f t="shared" si="119"/>
        <v/>
      </c>
      <c r="T117" s="17" t="str">
        <f>IF(AND(O117&lt;&gt;"", R117&lt;&gt;""), SUM(R$4:R117), "")</f>
        <v/>
      </c>
      <c r="U117" s="16" t="str">
        <f t="shared" si="120"/>
        <v/>
      </c>
      <c r="W117" s="42"/>
      <c r="X117" s="83" t="str">
        <f t="shared" si="82"/>
        <v/>
      </c>
      <c r="Y117" s="164" t="str">
        <f t="shared" si="80"/>
        <v/>
      </c>
      <c r="Z117" s="42"/>
      <c r="AA117" s="16" t="str">
        <f t="shared" si="121"/>
        <v/>
      </c>
      <c r="AB117" s="17" t="str">
        <f>IF(AND(W117&lt;&gt;"", Z117&lt;&gt;""), SUM(Z$4:Z117), "")</f>
        <v/>
      </c>
      <c r="AC117" s="16" t="str">
        <f t="shared" si="122"/>
        <v/>
      </c>
      <c r="AD117" s="1"/>
      <c r="AE117" s="19">
        <v>46</v>
      </c>
      <c r="AF117" s="20" t="e" cm="1">
        <f t="array" aca="1" ref="AF117" ca="1">(AE117-INDIRECT(SUBSTITUTE(ADDRESS(1,COLUMN($C$9),4),"1","")&amp;SUMPRODUCT(($B$10:$D$26=INDIRECT(SUBSTITUTE(ADDRESS(1,COLUMN()-1,4),"1","")&amp;ROW()-6))*ROW($B$10:$D$26))))/INDIRECT(SUBSTITUTE(ADDRESS(1,COLUMN($D$9),4),"1","")&amp;SUMPRODUCT(($B$10:$D$26=INDIRECT(SUBSTITUTE(ADDRESS(1,COLUMN()-1,4),"1","")&amp;ROW()-6))*ROW($B$10:$D$26)))*10+50</f>
        <v>#DIV/0!</v>
      </c>
      <c r="AG117" s="8"/>
      <c r="AH117" s="49">
        <v>67</v>
      </c>
      <c r="AI117" s="83">
        <f t="shared" ref="AI117:AI162" si="129">IF(AND(AH117&lt;&gt;"", AK117&lt;&gt;""), IF(AN116 &gt; $A$36, $B$37, IF(AN116 &gt; $A$35, $B$36, IF(AN116 &gt; $A$34, $B$35, IF(AN116 &gt; $A$33, $B$34, IF(AN116 &gt; $A$32, $B$33,IF(AN116 &gt; $A$31, $B$32, IF(AN116 &gt; $A$30, $B$31, IF(AN116 &gt; $A$29, $B$30, $B$29)))))))), "")</f>
        <v>2</v>
      </c>
      <c r="AJ117" s="15">
        <f>IF(AND(AH117&lt;&gt;"", AK117&lt;&gt;""), ROUND(100*(1-(AM116+AM117)/2/AN$111), $B$39), "")</f>
        <v>94</v>
      </c>
      <c r="AK117" s="52">
        <v>607</v>
      </c>
      <c r="AL117" s="16">
        <f t="shared" si="123"/>
        <v>2.2996779693123699E-2</v>
      </c>
      <c r="AM117" s="17">
        <f>IF(AND(AH117&lt;&gt;"", AK117&lt;&gt;""), SUM(AK$114:AK117), "")</f>
        <v>1943</v>
      </c>
      <c r="AN117" s="16">
        <f t="shared" si="124"/>
        <v>7.3612426595946204E-2</v>
      </c>
      <c r="AO117" s="14"/>
      <c r="AP117" s="27">
        <v>46</v>
      </c>
      <c r="AQ117" s="20" t="e" cm="1">
        <f t="array" aca="1" ref="AQ117" ca="1">(AP117-INDIRECT(SUBSTITUTE(ADDRESS(1,COLUMN($C$9),4),"1","")&amp;SUMPRODUCT(($B$10:$D$26=INDIRECT(SUBSTITUTE(ADDRESS(1,COLUMN()-1,4),"1","")&amp;ROW()-6))*ROW($B$10:$D$26))))/INDIRECT(SUBSTITUTE(ADDRESS(1,COLUMN($D$9),4),"1","")&amp;SUMPRODUCT(($B$10:$D$26=INDIRECT(SUBSTITUTE(ADDRESS(1,COLUMN()-1,4),"1","")&amp;ROW()-6))*ROW($B$10:$D$26)))*10+50</f>
        <v>#DIV/0!</v>
      </c>
      <c r="AR117" s="8"/>
      <c r="AS117" s="49">
        <v>70</v>
      </c>
      <c r="AT117" s="83">
        <f t="shared" ref="AT117:AT162" si="130">IF(AND(AS117&lt;&gt;"", AV117&lt;&gt;""), IF(AY116 &gt; $A$36, $B$37, IF(AY116 &gt; $A$35, $B$36, IF(AY116 &gt; $A$34, $B$35, IF(AY116 &gt; $A$33, $B$34, IF(AY116 &gt; $A$32, $B$33,IF(AY116 &gt; $A$31, $B$32, IF(AY116 &gt; $A$30, $B$31, IF(AY116 &gt; $A$29, $B$30, $B$29)))))))), "")</f>
        <v>2</v>
      </c>
      <c r="AU117" s="15">
        <f>IF(AND(AS117&lt;&gt;"", AV117&lt;&gt;""), ROUND(100*(1-(AX116+AX117)/2/AY$111), $B$39), "")</f>
        <v>94</v>
      </c>
      <c r="AV117" s="52">
        <v>68</v>
      </c>
      <c r="AW117" s="16">
        <f t="shared" si="125"/>
        <v>1.0324931673246281E-2</v>
      </c>
      <c r="AX117" s="17">
        <f>IF(AND(AS117&lt;&gt;"", AV117&lt;&gt;""), SUM(AV$114:AV117), "")</f>
        <v>424</v>
      </c>
      <c r="AY117" s="16">
        <f t="shared" si="126"/>
        <v>6.4378985727300331E-2</v>
      </c>
      <c r="AZ117" s="14"/>
      <c r="BA117" s="27">
        <v>46</v>
      </c>
      <c r="BB117" s="20" t="e" cm="1">
        <f t="array" aca="1" ref="BB117" ca="1">(BA117-INDIRECT(SUBSTITUTE(ADDRESS(1,COLUMN($C$9),4),"1","")&amp;SUMPRODUCT(($B$10:$D$26=INDIRECT(SUBSTITUTE(ADDRESS(1,COLUMN()-1,4),"1","")&amp;ROW()-6))*ROW($B$10:$D$26))))/INDIRECT(SUBSTITUTE(ADDRESS(1,COLUMN($D$9),4),"1","")&amp;SUMPRODUCT(($B$10:$D$26=INDIRECT(SUBSTITUTE(ADDRESS(1,COLUMN()-1,4),"1","")&amp;ROW()-6))*ROW($B$10:$D$26)))*10+50</f>
        <v>#DIV/0!</v>
      </c>
      <c r="BC117" s="8"/>
      <c r="BD117" s="49">
        <v>63</v>
      </c>
      <c r="BE117" s="83">
        <f t="shared" ref="BE117:BE162" si="131">IF(AND(BD117&lt;&gt;"", BG117&lt;&gt;""), IF(BJ116 &gt; $A$36, $B$37, IF(BJ116 &gt; $A$35, $B$36, IF(BJ116 &gt; $A$34, $B$35, IF(BJ116 &gt; $A$33, $B$34, IF(BJ116 &gt; $A$32, $B$33,IF(BJ116 &gt; $A$31, $B$32, IF(BJ116 &gt; $A$30, $B$31, IF(BJ116 &gt; $A$29, $B$30, $B$29)))))))), "")</f>
        <v>2</v>
      </c>
      <c r="BF117" s="15">
        <f>IF(AND(BD117&lt;&gt;"", BG117&lt;&gt;""), ROUND(100*(1-(BI116+BI117)/2/BJ$111), $B$39), "")</f>
        <v>91</v>
      </c>
      <c r="BG117" s="52">
        <v>3617</v>
      </c>
      <c r="BH117" s="16">
        <f t="shared" si="127"/>
        <v>3.0702498981393454E-2</v>
      </c>
      <c r="BI117" s="17">
        <f>IF(AND(BD117&lt;&gt;"", BG117&lt;&gt;""), SUM(BG$114:BG117), "")</f>
        <v>11988</v>
      </c>
      <c r="BJ117" s="16">
        <f t="shared" si="128"/>
        <v>0.10175879396984924</v>
      </c>
      <c r="BK117" s="14"/>
    </row>
    <row r="118" spans="5:63" ht="16" customHeight="1" x14ac:dyDescent="0.2">
      <c r="E118" s="1"/>
      <c r="N118"/>
      <c r="O118" s="42"/>
      <c r="P118" s="83" t="str">
        <f t="shared" si="81"/>
        <v/>
      </c>
      <c r="Q118" s="164" t="str">
        <f t="shared" si="79"/>
        <v/>
      </c>
      <c r="R118" s="42"/>
      <c r="S118" s="16" t="str">
        <f t="shared" si="119"/>
        <v/>
      </c>
      <c r="T118" s="17" t="str">
        <f>IF(AND(O118&lt;&gt;"", R118&lt;&gt;""), SUM(R$4:R118), "")</f>
        <v/>
      </c>
      <c r="U118" s="16" t="str">
        <f t="shared" si="120"/>
        <v/>
      </c>
      <c r="W118" s="42"/>
      <c r="X118" s="83" t="str">
        <f t="shared" si="82"/>
        <v/>
      </c>
      <c r="Y118" s="164" t="str">
        <f t="shared" si="80"/>
        <v/>
      </c>
      <c r="Z118" s="42"/>
      <c r="AA118" s="16" t="str">
        <f t="shared" si="121"/>
        <v/>
      </c>
      <c r="AB118" s="17" t="str">
        <f>IF(AND(W118&lt;&gt;"", Z118&lt;&gt;""), SUM(Z$4:Z118), "")</f>
        <v/>
      </c>
      <c r="AC118" s="16" t="str">
        <f t="shared" si="122"/>
        <v/>
      </c>
      <c r="AD118" s="1"/>
      <c r="AE118" s="19">
        <v>45</v>
      </c>
      <c r="AF118" s="20" t="e" cm="1">
        <f t="array" aca="1" ref="AF118" ca="1">(AE118-INDIRECT(SUBSTITUTE(ADDRESS(1,COLUMN($C$9),4),"1","")&amp;SUMPRODUCT(($B$10:$D$26=INDIRECT(SUBSTITUTE(ADDRESS(1,COLUMN()-1,4),"1","")&amp;ROW()-7))*ROW($B$10:$D$26))))/INDIRECT(SUBSTITUTE(ADDRESS(1,COLUMN($D$9),4),"1","")&amp;SUMPRODUCT(($B$10:$D$26=INDIRECT(SUBSTITUTE(ADDRESS(1,COLUMN()-1,4),"1","")&amp;ROW()-7))*ROW($B$10:$D$26)))*10+50</f>
        <v>#DIV/0!</v>
      </c>
      <c r="AG118" s="8"/>
      <c r="AH118" s="49">
        <v>66</v>
      </c>
      <c r="AI118" s="83">
        <f t="shared" si="129"/>
        <v>2</v>
      </c>
      <c r="AJ118" s="15">
        <f>IF(AND(AH118&lt;&gt;"", AK118&lt;&gt;""), ROUND(100*(1-(AM117+AM118)/2/AN$111), $B$39), "")</f>
        <v>92</v>
      </c>
      <c r="AK118" s="52">
        <v>211</v>
      </c>
      <c r="AL118" s="16">
        <f t="shared" si="123"/>
        <v>7.9939382458799023E-3</v>
      </c>
      <c r="AM118" s="17">
        <f>IF(AND(AH118&lt;&gt;"", AK118&lt;&gt;""), SUM(AK$114:AK118), "")</f>
        <v>2154</v>
      </c>
      <c r="AN118" s="16">
        <f t="shared" si="124"/>
        <v>8.160636484182611E-2</v>
      </c>
      <c r="AO118" s="14"/>
      <c r="AP118" s="27">
        <v>45</v>
      </c>
      <c r="AQ118" s="20" t="e" cm="1">
        <f t="array" aca="1" ref="AQ118" ca="1">(AP118-INDIRECT(SUBSTITUTE(ADDRESS(1,COLUMN($C$9),4),"1","")&amp;SUMPRODUCT(($B$10:$D$26=INDIRECT(SUBSTITUTE(ADDRESS(1,COLUMN()-1,4),"1","")&amp;ROW()-7))*ROW($B$10:$D$26))))/INDIRECT(SUBSTITUTE(ADDRESS(1,COLUMN($D$9),4),"1","")&amp;SUMPRODUCT(($B$10:$D$26=INDIRECT(SUBSTITUTE(ADDRESS(1,COLUMN()-1,4),"1","")&amp;ROW()-7))*ROW($B$10:$D$26)))*10+50</f>
        <v>#DIV/0!</v>
      </c>
      <c r="AR118" s="8"/>
      <c r="AS118" s="49">
        <v>69</v>
      </c>
      <c r="AT118" s="83">
        <f t="shared" si="130"/>
        <v>2</v>
      </c>
      <c r="AU118" s="15">
        <f>IF(AND(AS118&lt;&gt;"", AV118&lt;&gt;""), ROUND(100*(1-(AX117+AX118)/2/AY$111), $B$39), "")</f>
        <v>93</v>
      </c>
      <c r="AV118" s="52">
        <v>68</v>
      </c>
      <c r="AW118" s="16">
        <f t="shared" si="125"/>
        <v>1.0324931673246281E-2</v>
      </c>
      <c r="AX118" s="17">
        <f>IF(AND(AS118&lt;&gt;"", AV118&lt;&gt;""), SUM(AV$114:AV118), "")</f>
        <v>492</v>
      </c>
      <c r="AY118" s="16">
        <f t="shared" si="126"/>
        <v>7.4703917400546618E-2</v>
      </c>
      <c r="AZ118" s="14"/>
      <c r="BA118" s="27">
        <v>45</v>
      </c>
      <c r="BB118" s="20" t="e" cm="1">
        <f t="array" aca="1" ref="BB118" ca="1">(BA118-INDIRECT(SUBSTITUTE(ADDRESS(1,COLUMN($C$9),4),"1","")&amp;SUMPRODUCT(($B$10:$D$26=INDIRECT(SUBSTITUTE(ADDRESS(1,COLUMN()-1,4),"1","")&amp;ROW()-7))*ROW($B$10:$D$26))))/INDIRECT(SUBSTITUTE(ADDRESS(1,COLUMN($D$9),4),"1","")&amp;SUMPRODUCT(($B$10:$D$26=INDIRECT(SUBSTITUTE(ADDRESS(1,COLUMN()-1,4),"1","")&amp;ROW()-7))*ROW($B$10:$D$26)))*10+50</f>
        <v>#DIV/0!</v>
      </c>
      <c r="BC118" s="8"/>
      <c r="BD118" s="49">
        <v>62</v>
      </c>
      <c r="BE118" s="83">
        <f t="shared" si="131"/>
        <v>2</v>
      </c>
      <c r="BF118" s="15">
        <f>IF(AND(BD118&lt;&gt;"", BG118&lt;&gt;""), ROUND(100*(1-(BI117+BI118)/2/BJ$111), $B$39), "")</f>
        <v>88</v>
      </c>
      <c r="BG118" s="52">
        <v>4955</v>
      </c>
      <c r="BH118" s="16">
        <f t="shared" si="127"/>
        <v>4.2059961972022275E-2</v>
      </c>
      <c r="BI118" s="17">
        <f>IF(AND(BD118&lt;&gt;"", BG118&lt;&gt;""), SUM(BG$114:BG118), "")</f>
        <v>16943</v>
      </c>
      <c r="BJ118" s="16">
        <f t="shared" si="128"/>
        <v>0.14381875594187152</v>
      </c>
      <c r="BK118" s="14"/>
    </row>
    <row r="119" spans="5:63" ht="16" customHeight="1" x14ac:dyDescent="0.2">
      <c r="E119" s="1"/>
      <c r="N119"/>
      <c r="O119" s="42"/>
      <c r="P119" s="83" t="str">
        <f t="shared" si="81"/>
        <v/>
      </c>
      <c r="Q119" s="164" t="str">
        <f t="shared" si="79"/>
        <v/>
      </c>
      <c r="R119" s="42"/>
      <c r="S119" s="16" t="str">
        <f t="shared" si="119"/>
        <v/>
      </c>
      <c r="T119" s="17" t="str">
        <f>IF(AND(O119&lt;&gt;"", R119&lt;&gt;""), SUM(R$4:R119), "")</f>
        <v/>
      </c>
      <c r="U119" s="16" t="str">
        <f t="shared" si="120"/>
        <v/>
      </c>
      <c r="W119" s="42"/>
      <c r="X119" s="83" t="str">
        <f t="shared" si="82"/>
        <v/>
      </c>
      <c r="Y119" s="164" t="str">
        <f t="shared" si="80"/>
        <v/>
      </c>
      <c r="Z119" s="42"/>
      <c r="AA119" s="16" t="str">
        <f t="shared" si="121"/>
        <v/>
      </c>
      <c r="AB119" s="17" t="str">
        <f>IF(AND(W119&lt;&gt;"", Z119&lt;&gt;""), SUM(Z$4:Z119), "")</f>
        <v/>
      </c>
      <c r="AC119" s="16" t="str">
        <f t="shared" si="122"/>
        <v/>
      </c>
      <c r="AD119" s="1"/>
      <c r="AE119" s="19">
        <v>44</v>
      </c>
      <c r="AF119" s="20" t="e" cm="1">
        <f t="array" aca="1" ref="AF119" ca="1">(AE119-INDIRECT(SUBSTITUTE(ADDRESS(1,COLUMN($C$9),4),"1","")&amp;SUMPRODUCT(($B$10:$D$26=INDIRECT(SUBSTITUTE(ADDRESS(1,COLUMN()-1,4),"1","")&amp;ROW()-8))*ROW($B$10:$D$26))))/INDIRECT(SUBSTITUTE(ADDRESS(1,COLUMN($D$9),4),"1","")&amp;SUMPRODUCT(($B$10:$D$26=INDIRECT(SUBSTITUTE(ADDRESS(1,COLUMN()-1,4),"1","")&amp;ROW()-8))*ROW($B$10:$D$26)))*10+50</f>
        <v>#DIV/0!</v>
      </c>
      <c r="AG119" s="8"/>
      <c r="AH119" s="49">
        <v>65</v>
      </c>
      <c r="AI119" s="83">
        <f t="shared" si="129"/>
        <v>2</v>
      </c>
      <c r="AJ119" s="15">
        <f>IF(AND(AH119&lt;&gt;"", AK119&lt;&gt;""), ROUND(100*(1-(AM118+AM119)/2/AN$111), $B$39), "")</f>
        <v>90</v>
      </c>
      <c r="AK119" s="52">
        <v>859</v>
      </c>
      <c r="AL119" s="16">
        <f t="shared" si="123"/>
        <v>3.254404243227884E-2</v>
      </c>
      <c r="AM119" s="17">
        <f>IF(AND(AH119&lt;&gt;"", AK119&lt;&gt;""), SUM(AK$114:AK119), "")</f>
        <v>3013</v>
      </c>
      <c r="AN119" s="16">
        <f t="shared" si="124"/>
        <v>0.11415040727410494</v>
      </c>
      <c r="AO119" s="14"/>
      <c r="AP119" s="27">
        <v>44</v>
      </c>
      <c r="AQ119" s="20" t="e" cm="1">
        <f t="array" aca="1" ref="AQ119" ca="1">(AP119-INDIRECT(SUBSTITUTE(ADDRESS(1,COLUMN($C$9),4),"1","")&amp;SUMPRODUCT(($B$10:$D$26=INDIRECT(SUBSTITUTE(ADDRESS(1,COLUMN()-1,4),"1","")&amp;ROW()-8))*ROW($B$10:$D$26))))/INDIRECT(SUBSTITUTE(ADDRESS(1,COLUMN($D$9),4),"1","")&amp;SUMPRODUCT(($B$10:$D$26=INDIRECT(SUBSTITUTE(ADDRESS(1,COLUMN()-1,4),"1","")&amp;ROW()-8))*ROW($B$10:$D$26)))*10+50</f>
        <v>#DIV/0!</v>
      </c>
      <c r="AR119" s="8"/>
      <c r="AS119" s="49">
        <v>68</v>
      </c>
      <c r="AT119" s="83">
        <f t="shared" si="130"/>
        <v>2</v>
      </c>
      <c r="AU119" s="15">
        <f>IF(AND(AS119&lt;&gt;"", AV119&lt;&gt;""), ROUND(100*(1-(AX118+AX119)/2/AY$111), $B$39), "")</f>
        <v>92</v>
      </c>
      <c r="AV119" s="52">
        <v>98</v>
      </c>
      <c r="AW119" s="16">
        <f t="shared" si="125"/>
        <v>1.4880048587913756E-2</v>
      </c>
      <c r="AX119" s="17">
        <f>IF(AND(AS119&lt;&gt;"", AV119&lt;&gt;""), SUM(AV$114:AV119), "")</f>
        <v>590</v>
      </c>
      <c r="AY119" s="16">
        <f t="shared" si="126"/>
        <v>8.9583965988460371E-2</v>
      </c>
      <c r="AZ119" s="14"/>
      <c r="BA119" s="27">
        <v>44</v>
      </c>
      <c r="BB119" s="20" t="e" cm="1">
        <f t="array" aca="1" ref="BB119" ca="1">(BA119-INDIRECT(SUBSTITUTE(ADDRESS(1,COLUMN($C$9),4),"1","")&amp;SUMPRODUCT(($B$10:$D$26=INDIRECT(SUBSTITUTE(ADDRESS(1,COLUMN()-1,4),"1","")&amp;ROW()-8))*ROW($B$10:$D$26))))/INDIRECT(SUBSTITUTE(ADDRESS(1,COLUMN($D$9),4),"1","")&amp;SUMPRODUCT(($B$10:$D$26=INDIRECT(SUBSTITUTE(ADDRESS(1,COLUMN()-1,4),"1","")&amp;ROW()-8))*ROW($B$10:$D$26)))*10+50</f>
        <v>#DIV/0!</v>
      </c>
      <c r="BC119" s="8"/>
      <c r="BD119" s="49">
        <v>61</v>
      </c>
      <c r="BE119" s="83">
        <f t="shared" si="131"/>
        <v>3</v>
      </c>
      <c r="BF119" s="15">
        <f>IF(AND(BD119&lt;&gt;"", BG119&lt;&gt;""), ROUND(100*(1-(BI118+BI119)/2/BJ$111), $B$39), "")</f>
        <v>84</v>
      </c>
      <c r="BG119" s="52">
        <v>3955</v>
      </c>
      <c r="BH119" s="16">
        <f t="shared" si="127"/>
        <v>3.3571574086649465E-2</v>
      </c>
      <c r="BI119" s="17">
        <f>IF(AND(BD119&lt;&gt;"", BG119&lt;&gt;""), SUM(BG$114:BG119), "")</f>
        <v>20898</v>
      </c>
      <c r="BJ119" s="16">
        <f t="shared" si="128"/>
        <v>0.17739033002852098</v>
      </c>
      <c r="BK119" s="14"/>
    </row>
    <row r="120" spans="5:63" ht="16" customHeight="1" x14ac:dyDescent="0.2">
      <c r="E120" s="1"/>
      <c r="N120"/>
      <c r="O120" s="42"/>
      <c r="P120" s="83" t="str">
        <f t="shared" si="81"/>
        <v/>
      </c>
      <c r="Q120" s="164" t="str">
        <f t="shared" si="79"/>
        <v/>
      </c>
      <c r="R120" s="42"/>
      <c r="S120" s="16" t="str">
        <f t="shared" si="119"/>
        <v/>
      </c>
      <c r="T120" s="17" t="str">
        <f>IF(AND(O120&lt;&gt;"", R120&lt;&gt;""), SUM(R$4:R120), "")</f>
        <v/>
      </c>
      <c r="U120" s="16" t="str">
        <f t="shared" si="120"/>
        <v/>
      </c>
      <c r="W120" s="42"/>
      <c r="X120" s="83" t="str">
        <f t="shared" si="82"/>
        <v/>
      </c>
      <c r="Y120" s="164" t="str">
        <f t="shared" si="80"/>
        <v/>
      </c>
      <c r="Z120" s="42"/>
      <c r="AA120" s="16" t="str">
        <f t="shared" si="121"/>
        <v/>
      </c>
      <c r="AB120" s="17" t="str">
        <f>IF(AND(W120&lt;&gt;"", Z120&lt;&gt;""), SUM(Z$4:Z120), "")</f>
        <v/>
      </c>
      <c r="AC120" s="16" t="str">
        <f t="shared" si="122"/>
        <v/>
      </c>
      <c r="AD120" s="1"/>
      <c r="AE120" s="19">
        <v>43</v>
      </c>
      <c r="AF120" s="20" t="e" cm="1">
        <f t="array" aca="1" ref="AF120" ca="1">(AE120-INDIRECT(SUBSTITUTE(ADDRESS(1,COLUMN($C$9),4),"1","")&amp;SUMPRODUCT(($B$10:$D$26=INDIRECT(SUBSTITUTE(ADDRESS(1,COLUMN()-1,4),"1","")&amp;ROW()-9))*ROW($B$10:$D$26))))/INDIRECT(SUBSTITUTE(ADDRESS(1,COLUMN($D$9),4),"1","")&amp;SUMPRODUCT(($B$10:$D$26=INDIRECT(SUBSTITUTE(ADDRESS(1,COLUMN()-1,4),"1","")&amp;ROW()-9))*ROW($B$10:$D$26)))*10+50</f>
        <v>#DIV/0!</v>
      </c>
      <c r="AG120" s="8"/>
      <c r="AH120" s="49">
        <v>64</v>
      </c>
      <c r="AI120" s="83">
        <f t="shared" si="129"/>
        <v>3</v>
      </c>
      <c r="AJ120" s="15">
        <f>IF(AND(AH120&lt;&gt;"", AK120&lt;&gt;""), ROUND(100*(1-(AM119+AM120)/2/AN$111), $B$39), "")</f>
        <v>88</v>
      </c>
      <c r="AK120" s="52">
        <v>304</v>
      </c>
      <c r="AL120" s="16">
        <f t="shared" si="123"/>
        <v>1.1517332828187156E-2</v>
      </c>
      <c r="AM120" s="17">
        <f>IF(AND(AH120&lt;&gt;"", AK120&lt;&gt;""), SUM(AK$114:AK120), "")</f>
        <v>3317</v>
      </c>
      <c r="AN120" s="16">
        <f t="shared" si="124"/>
        <v>0.12566774010229209</v>
      </c>
      <c r="AO120" s="14"/>
      <c r="AP120" s="27">
        <v>43</v>
      </c>
      <c r="AQ120" s="20" t="e" cm="1">
        <f t="array" aca="1" ref="AQ120" ca="1">(AP120-INDIRECT(SUBSTITUTE(ADDRESS(1,COLUMN($C$9),4),"1","")&amp;SUMPRODUCT(($B$10:$D$26=INDIRECT(SUBSTITUTE(ADDRESS(1,COLUMN()-1,4),"1","")&amp;ROW()-9))*ROW($B$10:$D$26))))/INDIRECT(SUBSTITUTE(ADDRESS(1,COLUMN($D$9),4),"1","")&amp;SUMPRODUCT(($B$10:$D$26=INDIRECT(SUBSTITUTE(ADDRESS(1,COLUMN()-1,4),"1","")&amp;ROW()-9))*ROW($B$10:$D$26)))*10+50</f>
        <v>#DIV/0!</v>
      </c>
      <c r="AR120" s="8"/>
      <c r="AS120" s="49">
        <v>67</v>
      </c>
      <c r="AT120" s="83">
        <f t="shared" si="130"/>
        <v>2</v>
      </c>
      <c r="AU120" s="15">
        <f>IF(AND(AS120&lt;&gt;"", AV120&lt;&gt;""), ROUND(100*(1-(AX119+AX120)/2/AY$111), $B$39), "")</f>
        <v>91</v>
      </c>
      <c r="AV120" s="52">
        <v>38</v>
      </c>
      <c r="AW120" s="16">
        <f t="shared" si="125"/>
        <v>5.7698147585788038E-3</v>
      </c>
      <c r="AX120" s="17">
        <f>IF(AND(AS120&lt;&gt;"", AV120&lt;&gt;""), SUM(AV$114:AV120), "")</f>
        <v>628</v>
      </c>
      <c r="AY120" s="16">
        <f t="shared" si="126"/>
        <v>9.535378074703918E-2</v>
      </c>
      <c r="AZ120" s="14"/>
      <c r="BA120" s="27">
        <v>43</v>
      </c>
      <c r="BB120" s="20" t="e" cm="1">
        <f t="array" aca="1" ref="BB120" ca="1">(BA120-INDIRECT(SUBSTITUTE(ADDRESS(1,COLUMN($C$9),4),"1","")&amp;SUMPRODUCT(($B$10:$D$26=INDIRECT(SUBSTITUTE(ADDRESS(1,COLUMN()-1,4),"1","")&amp;ROW()-9))*ROW($B$10:$D$26))))/INDIRECT(SUBSTITUTE(ADDRESS(1,COLUMN($D$9),4),"1","")&amp;SUMPRODUCT(($B$10:$D$26=INDIRECT(SUBSTITUTE(ADDRESS(1,COLUMN()-1,4),"1","")&amp;ROW()-9))*ROW($B$10:$D$26)))*10+50</f>
        <v>#DIV/0!</v>
      </c>
      <c r="BC120" s="8"/>
      <c r="BD120" s="49">
        <v>60</v>
      </c>
      <c r="BE120" s="83">
        <f t="shared" si="131"/>
        <v>3</v>
      </c>
      <c r="BF120" s="15">
        <f>IF(AND(BD120&lt;&gt;"", BG120&lt;&gt;""), ROUND(100*(1-(BI119+BI120)/2/BJ$111), $B$39), "")</f>
        <v>81</v>
      </c>
      <c r="BG120" s="52">
        <v>2318</v>
      </c>
      <c r="BH120" s="16">
        <f t="shared" si="127"/>
        <v>1.9676083118294174E-2</v>
      </c>
      <c r="BI120" s="17">
        <f>IF(AND(BD120&lt;&gt;"", BG120&lt;&gt;""), SUM(BG$114:BG120), "")</f>
        <v>23216</v>
      </c>
      <c r="BJ120" s="16">
        <f t="shared" si="128"/>
        <v>0.19706641314681517</v>
      </c>
      <c r="BK120" s="14"/>
    </row>
    <row r="121" spans="5:63" ht="16" customHeight="1" x14ac:dyDescent="0.2">
      <c r="E121" s="1"/>
      <c r="N121"/>
      <c r="O121" s="42"/>
      <c r="P121" s="83" t="str">
        <f t="shared" si="81"/>
        <v/>
      </c>
      <c r="Q121" s="164" t="str">
        <f t="shared" si="79"/>
        <v/>
      </c>
      <c r="R121" s="42"/>
      <c r="S121" s="16" t="str">
        <f t="shared" si="119"/>
        <v/>
      </c>
      <c r="T121" s="17" t="str">
        <f>IF(AND(O121&lt;&gt;"", R121&lt;&gt;""), SUM(R$4:R121), "")</f>
        <v/>
      </c>
      <c r="U121" s="16" t="str">
        <f t="shared" si="120"/>
        <v/>
      </c>
      <c r="W121" s="42"/>
      <c r="X121" s="83" t="str">
        <f t="shared" si="82"/>
        <v/>
      </c>
      <c r="Y121" s="164" t="str">
        <f t="shared" si="80"/>
        <v/>
      </c>
      <c r="Z121" s="42"/>
      <c r="AA121" s="16" t="str">
        <f t="shared" si="121"/>
        <v/>
      </c>
      <c r="AB121" s="17" t="str">
        <f>IF(AND(W121&lt;&gt;"", Z121&lt;&gt;""), SUM(Z$4:Z121), "")</f>
        <v/>
      </c>
      <c r="AC121" s="16" t="str">
        <f t="shared" si="122"/>
        <v/>
      </c>
      <c r="AD121" s="1"/>
      <c r="AE121" s="19">
        <v>42</v>
      </c>
      <c r="AF121" s="20" t="e" cm="1">
        <f t="array" aca="1" ref="AF121" ca="1">(AE121-INDIRECT(SUBSTITUTE(ADDRESS(1,COLUMN($C$9),4),"1","")&amp;SUMPRODUCT(($B$10:$D$26=INDIRECT(SUBSTITUTE(ADDRESS(1,COLUMN()-1,4),"1","")&amp;ROW()-10))*ROW($B$10:$D$26))))/INDIRECT(SUBSTITUTE(ADDRESS(1,COLUMN($D$9),4),"1","")&amp;SUMPRODUCT(($B$10:$D$26=INDIRECT(SUBSTITUTE(ADDRESS(1,COLUMN()-1,4),"1","")&amp;ROW()-10))*ROW($B$10:$D$26)))*10+50</f>
        <v>#DIV/0!</v>
      </c>
      <c r="AG121" s="8"/>
      <c r="AH121" s="49">
        <v>63</v>
      </c>
      <c r="AI121" s="83">
        <f t="shared" si="129"/>
        <v>3</v>
      </c>
      <c r="AJ121" s="15">
        <f>IF(AND(AH121&lt;&gt;"", AK121&lt;&gt;""), ROUND(100*(1-(AM120+AM121)/2/AN$111), $B$39), "")</f>
        <v>86</v>
      </c>
      <c r="AK121" s="52">
        <v>514</v>
      </c>
      <c r="AL121" s="16">
        <f t="shared" si="123"/>
        <v>1.9473385110816442E-2</v>
      </c>
      <c r="AM121" s="17">
        <f>IF(AND(AH121&lt;&gt;"", AK121&lt;&gt;""), SUM(AK$114:AK121), "")</f>
        <v>3831</v>
      </c>
      <c r="AN121" s="16">
        <f t="shared" si="124"/>
        <v>0.14514112521310854</v>
      </c>
      <c r="AO121" s="14"/>
      <c r="AP121" s="27">
        <v>42</v>
      </c>
      <c r="AQ121" s="20" t="e" cm="1">
        <f t="array" aca="1" ref="AQ121" ca="1">(AP121-INDIRECT(SUBSTITUTE(ADDRESS(1,COLUMN($C$9),4),"1","")&amp;SUMPRODUCT(($B$10:$D$26=INDIRECT(SUBSTITUTE(ADDRESS(1,COLUMN()-1,4),"1","")&amp;ROW()-10))*ROW($B$10:$D$26))))/INDIRECT(SUBSTITUTE(ADDRESS(1,COLUMN($D$9),4),"1","")&amp;SUMPRODUCT(($B$10:$D$26=INDIRECT(SUBSTITUTE(ADDRESS(1,COLUMN()-1,4),"1","")&amp;ROW()-10))*ROW($B$10:$D$26)))*10+50</f>
        <v>#DIV/0!</v>
      </c>
      <c r="AR121" s="8"/>
      <c r="AS121" s="49">
        <v>66</v>
      </c>
      <c r="AT121" s="83">
        <f t="shared" si="130"/>
        <v>2</v>
      </c>
      <c r="AU121" s="15">
        <f>IF(AND(AS121&lt;&gt;"", AV121&lt;&gt;""), ROUND(100*(1-(AX120+AX121)/2/AY$111), $B$39), "")</f>
        <v>90</v>
      </c>
      <c r="AV121" s="52">
        <v>37</v>
      </c>
      <c r="AW121" s="16">
        <f t="shared" si="125"/>
        <v>5.6179775280898875E-3</v>
      </c>
      <c r="AX121" s="17">
        <f>IF(AND(AS121&lt;&gt;"", AV121&lt;&gt;""), SUM(AV$114:AV121), "")</f>
        <v>665</v>
      </c>
      <c r="AY121" s="16">
        <f t="shared" si="126"/>
        <v>0.10097175827512907</v>
      </c>
      <c r="AZ121" s="14"/>
      <c r="BA121" s="27">
        <v>42</v>
      </c>
      <c r="BB121" s="20" t="e" cm="1">
        <f t="array" aca="1" ref="BB121" ca="1">(BA121-INDIRECT(SUBSTITUTE(ADDRESS(1,COLUMN($C$9),4),"1","")&amp;SUMPRODUCT(($B$10:$D$26=INDIRECT(SUBSTITUTE(ADDRESS(1,COLUMN()-1,4),"1","")&amp;ROW()-10))*ROW($B$10:$D$26))))/INDIRECT(SUBSTITUTE(ADDRESS(1,COLUMN($D$9),4),"1","")&amp;SUMPRODUCT(($B$10:$D$26=INDIRECT(SUBSTITUTE(ADDRESS(1,COLUMN()-1,4),"1","")&amp;ROW()-10))*ROW($B$10:$D$26)))*10+50</f>
        <v>#DIV/0!</v>
      </c>
      <c r="BC121" s="8"/>
      <c r="BD121" s="49">
        <v>59</v>
      </c>
      <c r="BE121" s="83">
        <f t="shared" si="131"/>
        <v>3</v>
      </c>
      <c r="BF121" s="15">
        <f>IF(AND(BD121&lt;&gt;"", BG121&lt;&gt;""), ROUND(100*(1-(BI120+BI121)/2/BJ$111), $B$39), "")</f>
        <v>77</v>
      </c>
      <c r="BG121" s="52">
        <v>7362</v>
      </c>
      <c r="BH121" s="16">
        <f t="shared" si="127"/>
        <v>6.2491511612114629E-2</v>
      </c>
      <c r="BI121" s="17">
        <f>IF(AND(BD121&lt;&gt;"", BG121&lt;&gt;""), SUM(BG$114:BG121), "")</f>
        <v>30578</v>
      </c>
      <c r="BJ121" s="16">
        <f t="shared" si="128"/>
        <v>0.2595579247589298</v>
      </c>
      <c r="BK121" s="14"/>
    </row>
    <row r="122" spans="5:63" ht="16" customHeight="1" x14ac:dyDescent="0.2">
      <c r="E122" s="1"/>
      <c r="N122"/>
      <c r="O122" s="42"/>
      <c r="P122" s="83" t="str">
        <f t="shared" si="81"/>
        <v/>
      </c>
      <c r="Q122" s="164" t="str">
        <f t="shared" si="79"/>
        <v/>
      </c>
      <c r="R122" s="42"/>
      <c r="S122" s="16" t="str">
        <f t="shared" si="119"/>
        <v/>
      </c>
      <c r="T122" s="17" t="str">
        <f>IF(AND(O122&lt;&gt;"", R122&lt;&gt;""), SUM(R$4:R122), "")</f>
        <v/>
      </c>
      <c r="U122" s="16" t="str">
        <f t="shared" si="120"/>
        <v/>
      </c>
      <c r="W122" s="42"/>
      <c r="X122" s="83" t="str">
        <f t="shared" si="82"/>
        <v/>
      </c>
      <c r="Y122" s="164" t="str">
        <f t="shared" si="80"/>
        <v/>
      </c>
      <c r="Z122" s="42"/>
      <c r="AA122" s="16" t="str">
        <f t="shared" si="121"/>
        <v/>
      </c>
      <c r="AB122" s="17" t="str">
        <f>IF(AND(W122&lt;&gt;"", Z122&lt;&gt;""), SUM(Z$4:Z122), "")</f>
        <v/>
      </c>
      <c r="AC122" s="16" t="str">
        <f t="shared" si="122"/>
        <v/>
      </c>
      <c r="AD122" s="1"/>
      <c r="AE122" s="19">
        <v>41</v>
      </c>
      <c r="AF122" s="20" t="e" cm="1">
        <f t="array" aca="1" ref="AF122" ca="1">(AE122-INDIRECT(SUBSTITUTE(ADDRESS(1,COLUMN($C$9),4),"1","")&amp;SUMPRODUCT(($B$10:$D$26=INDIRECT(SUBSTITUTE(ADDRESS(1,COLUMN()-1,4),"1","")&amp;ROW()-11))*ROW($B$10:$D$26))))/INDIRECT(SUBSTITUTE(ADDRESS(1,COLUMN($D$9),4),"1","")&amp;SUMPRODUCT(($B$10:$D$26=INDIRECT(SUBSTITUTE(ADDRESS(1,COLUMN()-1,4),"1","")&amp;ROW()-11))*ROW($B$10:$D$26)))*10+50</f>
        <v>#DIV/0!</v>
      </c>
      <c r="AG122" s="8"/>
      <c r="AH122" s="49">
        <v>62</v>
      </c>
      <c r="AI122" s="83">
        <f t="shared" si="129"/>
        <v>3</v>
      </c>
      <c r="AJ122" s="15">
        <f>IF(AND(AH122&lt;&gt;"", AK122&lt;&gt;""), ROUND(100*(1-(AM121+AM122)/2/AN$111), $B$39), "")</f>
        <v>85</v>
      </c>
      <c r="AK122" s="52">
        <v>325</v>
      </c>
      <c r="AL122" s="16">
        <f t="shared" si="123"/>
        <v>1.2312938056450085E-2</v>
      </c>
      <c r="AM122" s="17">
        <f>IF(AND(AH122&lt;&gt;"", AK122&lt;&gt;""), SUM(AK$114:AK122), "")</f>
        <v>4156</v>
      </c>
      <c r="AN122" s="16">
        <f t="shared" si="124"/>
        <v>0.15745406326955863</v>
      </c>
      <c r="AO122" s="14"/>
      <c r="AP122" s="27">
        <v>41</v>
      </c>
      <c r="AQ122" s="20" t="e" cm="1">
        <f t="array" aca="1" ref="AQ122" ca="1">(AP122-INDIRECT(SUBSTITUTE(ADDRESS(1,COLUMN($C$9),4),"1","")&amp;SUMPRODUCT(($B$10:$D$26=INDIRECT(SUBSTITUTE(ADDRESS(1,COLUMN()-1,4),"1","")&amp;ROW()-11))*ROW($B$10:$D$26))))/INDIRECT(SUBSTITUTE(ADDRESS(1,COLUMN($D$9),4),"1","")&amp;SUMPRODUCT(($B$10:$D$26=INDIRECT(SUBSTITUTE(ADDRESS(1,COLUMN()-1,4),"1","")&amp;ROW()-11))*ROW($B$10:$D$26)))*10+50</f>
        <v>#DIV/0!</v>
      </c>
      <c r="AR122" s="8"/>
      <c r="AS122" s="49">
        <v>65</v>
      </c>
      <c r="AT122" s="83">
        <f t="shared" si="130"/>
        <v>2</v>
      </c>
      <c r="AU122" s="15">
        <f>IF(AND(AS122&lt;&gt;"", AV122&lt;&gt;""), ROUND(100*(1-(AX121+AX122)/2/AY$111), $B$39), "")</f>
        <v>89</v>
      </c>
      <c r="AV122" s="52">
        <v>63</v>
      </c>
      <c r="AW122" s="16">
        <f t="shared" si="125"/>
        <v>9.5657455208017009E-3</v>
      </c>
      <c r="AX122" s="17">
        <f>IF(AND(AS122&lt;&gt;"", AV122&lt;&gt;""), SUM(AV$114:AV122), "")</f>
        <v>728</v>
      </c>
      <c r="AY122" s="16">
        <f t="shared" si="126"/>
        <v>0.11053750379593076</v>
      </c>
      <c r="AZ122" s="14"/>
      <c r="BA122" s="27">
        <v>41</v>
      </c>
      <c r="BB122" s="20" t="e" cm="1">
        <f t="array" aca="1" ref="BB122" ca="1">(BA122-INDIRECT(SUBSTITUTE(ADDRESS(1,COLUMN($C$9),4),"1","")&amp;SUMPRODUCT(($B$10:$D$26=INDIRECT(SUBSTITUTE(ADDRESS(1,COLUMN()-1,4),"1","")&amp;ROW()-11))*ROW($B$10:$D$26))))/INDIRECT(SUBSTITUTE(ADDRESS(1,COLUMN($D$9),4),"1","")&amp;SUMPRODUCT(($B$10:$D$26=INDIRECT(SUBSTITUTE(ADDRESS(1,COLUMN()-1,4),"1","")&amp;ROW()-11))*ROW($B$10:$D$26)))*10+50</f>
        <v>#DIV/0!</v>
      </c>
      <c r="BC122" s="8"/>
      <c r="BD122" s="49">
        <v>58</v>
      </c>
      <c r="BE122" s="83">
        <f t="shared" si="131"/>
        <v>4</v>
      </c>
      <c r="BF122" s="15">
        <f>IF(AND(BD122&lt;&gt;"", BG122&lt;&gt;""), ROUND(100*(1-(BI121+BI122)/2/BJ$111), $B$39), "")</f>
        <v>73</v>
      </c>
      <c r="BG122" s="52">
        <v>3480</v>
      </c>
      <c r="BH122" s="16">
        <f t="shared" si="127"/>
        <v>2.9539589841097377E-2</v>
      </c>
      <c r="BI122" s="17">
        <f>IF(AND(BD122&lt;&gt;"", BG122&lt;&gt;""), SUM(BG$114:BG122), "")</f>
        <v>34058</v>
      </c>
      <c r="BJ122" s="16">
        <f t="shared" si="128"/>
        <v>0.28909751460002714</v>
      </c>
      <c r="BK122" s="14"/>
    </row>
    <row r="123" spans="5:63" ht="16" customHeight="1" x14ac:dyDescent="0.2">
      <c r="E123" s="1"/>
      <c r="N123"/>
      <c r="O123" s="42"/>
      <c r="P123" s="83" t="str">
        <f t="shared" si="81"/>
        <v/>
      </c>
      <c r="Q123" s="164" t="str">
        <f t="shared" si="79"/>
        <v/>
      </c>
      <c r="R123" s="42"/>
      <c r="S123" s="16" t="str">
        <f t="shared" si="119"/>
        <v/>
      </c>
      <c r="T123" s="17" t="str">
        <f>IF(AND(O123&lt;&gt;"", R123&lt;&gt;""), SUM(R$4:R123), "")</f>
        <v/>
      </c>
      <c r="U123" s="16" t="str">
        <f t="shared" si="120"/>
        <v/>
      </c>
      <c r="W123" s="40"/>
      <c r="X123" s="83" t="str">
        <f t="shared" si="82"/>
        <v/>
      </c>
      <c r="Y123" s="164" t="str">
        <f t="shared" si="80"/>
        <v/>
      </c>
      <c r="Z123" s="40"/>
      <c r="AA123" s="16" t="str">
        <f t="shared" si="121"/>
        <v/>
      </c>
      <c r="AB123" s="17" t="str">
        <f>IF(AND(W123&lt;&gt;"", Z123&lt;&gt;""), SUM(Z$4:Z123), "")</f>
        <v/>
      </c>
      <c r="AC123" s="16" t="str">
        <f t="shared" si="122"/>
        <v/>
      </c>
      <c r="AD123" s="1"/>
      <c r="AE123" s="19">
        <v>40</v>
      </c>
      <c r="AF123" s="20" t="e" cm="1">
        <f t="array" aca="1" ref="AF123" ca="1">(AE123-INDIRECT(SUBSTITUTE(ADDRESS(1,COLUMN($C$9),4),"1","")&amp;SUMPRODUCT(($B$10:$D$26=INDIRECT(SUBSTITUTE(ADDRESS(1,COLUMN()-1,4),"1","")&amp;ROW()-12))*ROW($B$10:$D$26))))/INDIRECT(SUBSTITUTE(ADDRESS(1,COLUMN($D$9),4),"1","")&amp;SUMPRODUCT(($B$10:$D$26=INDIRECT(SUBSTITUTE(ADDRESS(1,COLUMN()-1,4),"1","")&amp;ROW()-12))*ROW($B$10:$D$26)))*10+50</f>
        <v>#DIV/0!</v>
      </c>
      <c r="AG123" s="8"/>
      <c r="AH123" s="49">
        <v>61</v>
      </c>
      <c r="AI123" s="83">
        <f t="shared" si="129"/>
        <v>3</v>
      </c>
      <c r="AJ123" s="15">
        <f>IF(AND(AH123&lt;&gt;"", AK123&lt;&gt;""), ROUND(100*(1-(AM122+AM123)/2/AN$111), $B$39), "")</f>
        <v>83</v>
      </c>
      <c r="AK123" s="52">
        <v>864</v>
      </c>
      <c r="AL123" s="16">
        <f t="shared" si="123"/>
        <v>3.2733472248531917E-2</v>
      </c>
      <c r="AM123" s="17">
        <f>IF(AND(AH123&lt;&gt;"", AK123&lt;&gt;""), SUM(AK$114:AK123), "")</f>
        <v>5020</v>
      </c>
      <c r="AN123" s="16">
        <f t="shared" si="124"/>
        <v>0.19018753551809053</v>
      </c>
      <c r="AO123" s="14"/>
      <c r="AP123" s="27">
        <v>40</v>
      </c>
      <c r="AQ123" s="20" t="e" cm="1">
        <f t="array" aca="1" ref="AQ123" ca="1">(AP123-INDIRECT(SUBSTITUTE(ADDRESS(1,COLUMN($C$9),4),"1","")&amp;SUMPRODUCT(($B$10:$D$26=INDIRECT(SUBSTITUTE(ADDRESS(1,COLUMN()-1,4),"1","")&amp;ROW()-12))*ROW($B$10:$D$26))))/INDIRECT(SUBSTITUTE(ADDRESS(1,COLUMN($D$9),4),"1","")&amp;SUMPRODUCT(($B$10:$D$26=INDIRECT(SUBSTITUTE(ADDRESS(1,COLUMN()-1,4),"1","")&amp;ROW()-12))*ROW($B$10:$D$26)))*10+50</f>
        <v>#DIV/0!</v>
      </c>
      <c r="AR123" s="8"/>
      <c r="AS123" s="49">
        <v>64</v>
      </c>
      <c r="AT123" s="83">
        <f t="shared" si="130"/>
        <v>3</v>
      </c>
      <c r="AU123" s="15">
        <f>IF(AND(AS123&lt;&gt;"", AV123&lt;&gt;""), ROUND(100*(1-(AX122+AX123)/2/AY$111), $B$39), "")</f>
        <v>88</v>
      </c>
      <c r="AV123" s="52">
        <v>120</v>
      </c>
      <c r="AW123" s="16">
        <f t="shared" si="125"/>
        <v>1.8220467658669907E-2</v>
      </c>
      <c r="AX123" s="17">
        <f>IF(AND(AS123&lt;&gt;"", AV123&lt;&gt;""), SUM(AV$114:AV123), "")</f>
        <v>848</v>
      </c>
      <c r="AY123" s="16">
        <f t="shared" si="126"/>
        <v>0.12875797145460066</v>
      </c>
      <c r="AZ123" s="14"/>
      <c r="BA123" s="27">
        <v>40</v>
      </c>
      <c r="BB123" s="20" t="e" cm="1">
        <f t="array" aca="1" ref="BB123" ca="1">(BA123-INDIRECT(SUBSTITUTE(ADDRESS(1,COLUMN($C$9),4),"1","")&amp;SUMPRODUCT(($B$10:$D$26=INDIRECT(SUBSTITUTE(ADDRESS(1,COLUMN()-1,4),"1","")&amp;ROW()-12))*ROW($B$10:$D$26))))/INDIRECT(SUBSTITUTE(ADDRESS(1,COLUMN($D$9),4),"1","")&amp;SUMPRODUCT(($B$10:$D$26=INDIRECT(SUBSTITUTE(ADDRESS(1,COLUMN()-1,4),"1","")&amp;ROW()-12))*ROW($B$10:$D$26)))*10+50</f>
        <v>#DIV/0!</v>
      </c>
      <c r="BC123" s="8"/>
      <c r="BD123" s="49">
        <v>57</v>
      </c>
      <c r="BE123" s="83">
        <f t="shared" si="131"/>
        <v>4</v>
      </c>
      <c r="BF123" s="15">
        <f>IF(AND(BD123&lt;&gt;"", BG123&lt;&gt;""), ROUND(100*(1-(BI122+BI123)/2/BJ$111), $B$39), "")</f>
        <v>70</v>
      </c>
      <c r="BG123" s="52">
        <v>3612</v>
      </c>
      <c r="BH123" s="16">
        <f t="shared" si="127"/>
        <v>3.0660057041966591E-2</v>
      </c>
      <c r="BI123" s="17">
        <f>IF(AND(BD123&lt;&gt;"", BG123&lt;&gt;""), SUM(BG$114:BG123), "")</f>
        <v>37670</v>
      </c>
      <c r="BJ123" s="16">
        <f t="shared" si="128"/>
        <v>0.31975757164199375</v>
      </c>
      <c r="BK123" s="14"/>
    </row>
    <row r="124" spans="5:63" ht="16" customHeight="1" x14ac:dyDescent="0.2">
      <c r="E124" s="1"/>
      <c r="N124"/>
      <c r="O124" s="42"/>
      <c r="P124" s="83" t="str">
        <f t="shared" si="81"/>
        <v/>
      </c>
      <c r="Q124" s="164" t="str">
        <f t="shared" si="79"/>
        <v/>
      </c>
      <c r="R124" s="42"/>
      <c r="S124" s="16" t="str">
        <f t="shared" si="119"/>
        <v/>
      </c>
      <c r="T124" s="17" t="str">
        <f>IF(AND(O124&lt;&gt;"", R124&lt;&gt;""), SUM(R$4:R124), "")</f>
        <v/>
      </c>
      <c r="U124" s="16" t="str">
        <f t="shared" si="120"/>
        <v/>
      </c>
      <c r="W124" s="41"/>
      <c r="X124" s="83" t="str">
        <f t="shared" si="82"/>
        <v/>
      </c>
      <c r="Y124" s="164" t="str">
        <f t="shared" si="80"/>
        <v/>
      </c>
      <c r="Z124" s="41"/>
      <c r="AA124" s="16" t="str">
        <f t="shared" si="121"/>
        <v/>
      </c>
      <c r="AB124" s="17" t="str">
        <f>IF(AND(W124&lt;&gt;"", Z124&lt;&gt;""), SUM(Z$4:Z124), "")</f>
        <v/>
      </c>
      <c r="AC124" s="16" t="str">
        <f t="shared" si="122"/>
        <v/>
      </c>
      <c r="AD124" s="1"/>
      <c r="AE124" s="19">
        <v>39</v>
      </c>
      <c r="AF124" s="20" t="e" cm="1">
        <f t="array" aca="1" ref="AF124" ca="1">(AE124-INDIRECT(SUBSTITUTE(ADDRESS(1,COLUMN($C$9),4),"1","")&amp;SUMPRODUCT(($B$10:$D$26=INDIRECT(SUBSTITUTE(ADDRESS(1,COLUMN()-1,4),"1","")&amp;ROW()-13))*ROW($B$10:$D$26))))/INDIRECT(SUBSTITUTE(ADDRESS(1,COLUMN($D$9),4),"1","")&amp;SUMPRODUCT(($B$10:$D$26=INDIRECT(SUBSTITUTE(ADDRESS(1,COLUMN()-1,4),"1","")&amp;ROW()-13))*ROW($B$10:$D$26)))*10+50</f>
        <v>#DIV/0!</v>
      </c>
      <c r="AG124" s="8"/>
      <c r="AH124" s="49">
        <v>60</v>
      </c>
      <c r="AI124" s="83">
        <f t="shared" si="129"/>
        <v>3</v>
      </c>
      <c r="AJ124" s="15">
        <f>IF(AND(AH124&lt;&gt;"", AK124&lt;&gt;""), ROUND(100*(1-(AM123+AM124)/2/AN$111), $B$39), "")</f>
        <v>80</v>
      </c>
      <c r="AK124" s="52">
        <v>354</v>
      </c>
      <c r="AL124" s="16">
        <f t="shared" si="123"/>
        <v>1.3411630990717939E-2</v>
      </c>
      <c r="AM124" s="17">
        <f>IF(AND(AH124&lt;&gt;"", AK124&lt;&gt;""), SUM(AK$114:AK124), "")</f>
        <v>5374</v>
      </c>
      <c r="AN124" s="16">
        <f t="shared" si="124"/>
        <v>0.20359916650880849</v>
      </c>
      <c r="AO124" s="14"/>
      <c r="AP124" s="27">
        <v>39</v>
      </c>
      <c r="AQ124" s="20" t="e" cm="1">
        <f t="array" aca="1" ref="AQ124" ca="1">(AP124-INDIRECT(SUBSTITUTE(ADDRESS(1,COLUMN($C$9),4),"1","")&amp;SUMPRODUCT(($B$10:$D$26=INDIRECT(SUBSTITUTE(ADDRESS(1,COLUMN()-1,4),"1","")&amp;ROW()-13))*ROW($B$10:$D$26))))/INDIRECT(SUBSTITUTE(ADDRESS(1,COLUMN($D$9),4),"1","")&amp;SUMPRODUCT(($B$10:$D$26=INDIRECT(SUBSTITUTE(ADDRESS(1,COLUMN()-1,4),"1","")&amp;ROW()-13))*ROW($B$10:$D$26)))*10+50</f>
        <v>#DIV/0!</v>
      </c>
      <c r="AR124" s="8"/>
      <c r="AS124" s="49">
        <v>63</v>
      </c>
      <c r="AT124" s="83">
        <f t="shared" si="130"/>
        <v>3</v>
      </c>
      <c r="AU124" s="15">
        <f>IF(AND(AS124&lt;&gt;"", AV124&lt;&gt;""), ROUND(100*(1-(AX123+AX124)/2/AY$111), $B$39), "")</f>
        <v>87</v>
      </c>
      <c r="AV124" s="52">
        <v>60</v>
      </c>
      <c r="AW124" s="16">
        <f t="shared" si="125"/>
        <v>9.1102338293349537E-3</v>
      </c>
      <c r="AX124" s="17">
        <f>IF(AND(AS124&lt;&gt;"", AV124&lt;&gt;""), SUM(AV$114:AV124), "")</f>
        <v>908</v>
      </c>
      <c r="AY124" s="16">
        <f t="shared" si="126"/>
        <v>0.13786820528393562</v>
      </c>
      <c r="AZ124" s="14"/>
      <c r="BA124" s="27">
        <v>39</v>
      </c>
      <c r="BB124" s="20" t="e" cm="1">
        <f t="array" aca="1" ref="BB124" ca="1">(BA124-INDIRECT(SUBSTITUTE(ADDRESS(1,COLUMN($C$9),4),"1","")&amp;SUMPRODUCT(($B$10:$D$26=INDIRECT(SUBSTITUTE(ADDRESS(1,COLUMN()-1,4),"1","")&amp;ROW()-13))*ROW($B$10:$D$26))))/INDIRECT(SUBSTITUTE(ADDRESS(1,COLUMN($D$9),4),"1","")&amp;SUMPRODUCT(($B$10:$D$26=INDIRECT(SUBSTITUTE(ADDRESS(1,COLUMN()-1,4),"1","")&amp;ROW()-13))*ROW($B$10:$D$26)))*10+50</f>
        <v>#DIV/0!</v>
      </c>
      <c r="BC124" s="8"/>
      <c r="BD124" s="49">
        <v>56</v>
      </c>
      <c r="BE124" s="83">
        <f t="shared" si="131"/>
        <v>4</v>
      </c>
      <c r="BF124" s="15">
        <f>IF(AND(BD124&lt;&gt;"", BG124&lt;&gt;""), ROUND(100*(1-(BI123+BI124)/2/BJ$111), $B$39), "")</f>
        <v>67</v>
      </c>
      <c r="BG124" s="52">
        <v>2722</v>
      </c>
      <c r="BH124" s="16">
        <f t="shared" si="127"/>
        <v>2.310539182398479E-2</v>
      </c>
      <c r="BI124" s="17">
        <f>IF(AND(BD124&lt;&gt;"", BG124&lt;&gt;""), SUM(BG$114:BG124), "")</f>
        <v>40392</v>
      </c>
      <c r="BJ124" s="16">
        <f t="shared" si="128"/>
        <v>0.34286296346597855</v>
      </c>
      <c r="BK124" s="14"/>
    </row>
    <row r="125" spans="5:63" ht="16" customHeight="1" x14ac:dyDescent="0.2">
      <c r="E125" s="1"/>
      <c r="N125"/>
      <c r="O125" s="42"/>
      <c r="P125" s="83" t="str">
        <f t="shared" si="81"/>
        <v/>
      </c>
      <c r="Q125" s="164" t="str">
        <f t="shared" si="79"/>
        <v/>
      </c>
      <c r="R125" s="42"/>
      <c r="S125" s="16" t="str">
        <f t="shared" si="119"/>
        <v/>
      </c>
      <c r="T125" s="17" t="str">
        <f>IF(AND(O125&lt;&gt;"", R125&lt;&gt;""), SUM(R$4:R125), "")</f>
        <v/>
      </c>
      <c r="U125" s="16" t="str">
        <f t="shared" si="120"/>
        <v/>
      </c>
      <c r="W125" s="42"/>
      <c r="X125" s="83" t="str">
        <f t="shared" si="82"/>
        <v/>
      </c>
      <c r="Y125" s="164" t="str">
        <f t="shared" si="80"/>
        <v/>
      </c>
      <c r="Z125" s="42"/>
      <c r="AA125" s="16" t="str">
        <f t="shared" si="121"/>
        <v/>
      </c>
      <c r="AB125" s="17" t="str">
        <f>IF(AND(W125&lt;&gt;"", Z125&lt;&gt;""), SUM(Z$4:Z125), "")</f>
        <v/>
      </c>
      <c r="AC125" s="16" t="str">
        <f t="shared" si="122"/>
        <v/>
      </c>
      <c r="AD125" s="1"/>
      <c r="AE125" s="19">
        <v>38</v>
      </c>
      <c r="AF125" s="20" t="e" cm="1">
        <f t="array" aca="1" ref="AF125" ca="1">(AE125-INDIRECT(SUBSTITUTE(ADDRESS(1,COLUMN($C$9),4),"1","")&amp;SUMPRODUCT(($B$10:$D$26=INDIRECT(SUBSTITUTE(ADDRESS(1,COLUMN()-1,4),"1","")&amp;ROW()-14))*ROW($B$10:$D$26))))/INDIRECT(SUBSTITUTE(ADDRESS(1,COLUMN($D$9),4),"1","")&amp;SUMPRODUCT(($B$10:$D$26=INDIRECT(SUBSTITUTE(ADDRESS(1,COLUMN()-1,4),"1","")&amp;ROW()-14))*ROW($B$10:$D$26)))*10+50</f>
        <v>#DIV/0!</v>
      </c>
      <c r="AG125" s="8"/>
      <c r="AH125" s="49">
        <v>59</v>
      </c>
      <c r="AI125" s="83">
        <f t="shared" si="129"/>
        <v>3</v>
      </c>
      <c r="AJ125" s="15">
        <f>IF(AND(AH125&lt;&gt;"", AK125&lt;&gt;""), ROUND(100*(1-(AM124+AM125)/2/AN$111), $B$39), "")</f>
        <v>79</v>
      </c>
      <c r="AK125" s="52">
        <v>457</v>
      </c>
      <c r="AL125" s="16">
        <f t="shared" si="123"/>
        <v>1.731388520553135E-2</v>
      </c>
      <c r="AM125" s="17">
        <f>IF(AND(AH125&lt;&gt;"", AK125&lt;&gt;""), SUM(AK$114:AK125), "")</f>
        <v>5831</v>
      </c>
      <c r="AN125" s="16">
        <f t="shared" si="124"/>
        <v>0.22091305171433984</v>
      </c>
      <c r="AO125" s="14"/>
      <c r="AP125" s="27">
        <v>38</v>
      </c>
      <c r="AQ125" s="20" t="e" cm="1">
        <f t="array" aca="1" ref="AQ125" ca="1">(AP125-INDIRECT(SUBSTITUTE(ADDRESS(1,COLUMN($C$9),4),"1","")&amp;SUMPRODUCT(($B$10:$D$26=INDIRECT(SUBSTITUTE(ADDRESS(1,COLUMN()-1,4),"1","")&amp;ROW()-14))*ROW($B$10:$D$26))))/INDIRECT(SUBSTITUTE(ADDRESS(1,COLUMN($D$9),4),"1","")&amp;SUMPRODUCT(($B$10:$D$26=INDIRECT(SUBSTITUTE(ADDRESS(1,COLUMN()-1,4),"1","")&amp;ROW()-14))*ROW($B$10:$D$26)))*10+50</f>
        <v>#DIV/0!</v>
      </c>
      <c r="AR125" s="8"/>
      <c r="AS125" s="49">
        <v>62</v>
      </c>
      <c r="AT125" s="83">
        <f t="shared" si="130"/>
        <v>3</v>
      </c>
      <c r="AU125" s="15">
        <f>IF(AND(AS125&lt;&gt;"", AV125&lt;&gt;""), ROUND(100*(1-(AX124+AX125)/2/AY$111), $B$39), "")</f>
        <v>86</v>
      </c>
      <c r="AV125" s="52">
        <v>37</v>
      </c>
      <c r="AW125" s="16">
        <f t="shared" si="125"/>
        <v>5.6179775280898875E-3</v>
      </c>
      <c r="AX125" s="17">
        <f>IF(AND(AS125&lt;&gt;"", AV125&lt;&gt;""), SUM(AV$114:AV125), "")</f>
        <v>945</v>
      </c>
      <c r="AY125" s="16">
        <f t="shared" si="126"/>
        <v>0.14348618281202552</v>
      </c>
      <c r="AZ125" s="14"/>
      <c r="BA125" s="27">
        <v>38</v>
      </c>
      <c r="BB125" s="20" t="e" cm="1">
        <f t="array" aca="1" ref="BB125" ca="1">(BA125-INDIRECT(SUBSTITUTE(ADDRESS(1,COLUMN($C$9),4),"1","")&amp;SUMPRODUCT(($B$10:$D$26=INDIRECT(SUBSTITUTE(ADDRESS(1,COLUMN()-1,4),"1","")&amp;ROW()-14))*ROW($B$10:$D$26))))/INDIRECT(SUBSTITUTE(ADDRESS(1,COLUMN($D$9),4),"1","")&amp;SUMPRODUCT(($B$10:$D$26=INDIRECT(SUBSTITUTE(ADDRESS(1,COLUMN()-1,4),"1","")&amp;ROW()-14))*ROW($B$10:$D$26)))*10+50</f>
        <v>#DIV/0!</v>
      </c>
      <c r="BC125" s="8"/>
      <c r="BD125" s="49">
        <v>55</v>
      </c>
      <c r="BE125" s="83">
        <f t="shared" si="131"/>
        <v>4</v>
      </c>
      <c r="BF125" s="15">
        <f>IF(AND(BD125&lt;&gt;"", BG125&lt;&gt;""), ROUND(100*(1-(BI124+BI125)/2/BJ$111), $B$39), "")</f>
        <v>63</v>
      </c>
      <c r="BG125" s="52">
        <v>6274</v>
      </c>
      <c r="BH125" s="16">
        <f t="shared" si="127"/>
        <v>5.3256145592829013E-2</v>
      </c>
      <c r="BI125" s="17">
        <f>IF(AND(BD125&lt;&gt;"", BG125&lt;&gt;""), SUM(BG$114:BG125), "")</f>
        <v>46666</v>
      </c>
      <c r="BJ125" s="16">
        <f t="shared" si="128"/>
        <v>0.39611910905880754</v>
      </c>
      <c r="BK125" s="14"/>
    </row>
    <row r="126" spans="5:63" ht="16" customHeight="1" x14ac:dyDescent="0.2">
      <c r="E126" s="1"/>
      <c r="N126"/>
      <c r="O126" s="42"/>
      <c r="P126" s="83" t="str">
        <f t="shared" si="81"/>
        <v/>
      </c>
      <c r="Q126" s="164" t="str">
        <f t="shared" si="79"/>
        <v/>
      </c>
      <c r="R126" s="42"/>
      <c r="S126" s="16" t="str">
        <f t="shared" si="119"/>
        <v/>
      </c>
      <c r="T126" s="17" t="str">
        <f>IF(AND(O126&lt;&gt;"", R126&lt;&gt;""), SUM(R$4:R126), "")</f>
        <v/>
      </c>
      <c r="U126" s="16" t="str">
        <f t="shared" si="120"/>
        <v/>
      </c>
      <c r="W126" s="42"/>
      <c r="X126" s="83" t="str">
        <f t="shared" si="82"/>
        <v/>
      </c>
      <c r="Y126" s="164" t="str">
        <f t="shared" si="80"/>
        <v/>
      </c>
      <c r="Z126" s="42"/>
      <c r="AA126" s="16" t="str">
        <f t="shared" si="121"/>
        <v/>
      </c>
      <c r="AB126" s="17" t="str">
        <f>IF(AND(W126&lt;&gt;"", Z126&lt;&gt;""), SUM(Z$4:Z126), "")</f>
        <v/>
      </c>
      <c r="AC126" s="16" t="str">
        <f t="shared" si="122"/>
        <v/>
      </c>
      <c r="AD126" s="1"/>
      <c r="AE126" s="19">
        <v>37</v>
      </c>
      <c r="AF126" s="20" t="e" cm="1">
        <f t="array" aca="1" ref="AF126" ca="1">(AE126-INDIRECT(SUBSTITUTE(ADDRESS(1,COLUMN($C$9),4),"1","")&amp;SUMPRODUCT(($B$10:$D$26=INDIRECT(SUBSTITUTE(ADDRESS(1,COLUMN()-1,4),"1","")&amp;ROW()-15))*ROW($B$10:$D$26))))/INDIRECT(SUBSTITUTE(ADDRESS(1,COLUMN($D$9),4),"1","")&amp;SUMPRODUCT(($B$10:$D$26=INDIRECT(SUBSTITUTE(ADDRESS(1,COLUMN()-1,4),"1","")&amp;ROW()-15))*ROW($B$10:$D$26)))*10+50</f>
        <v>#DIV/0!</v>
      </c>
      <c r="AG126" s="8"/>
      <c r="AH126" s="49">
        <v>58</v>
      </c>
      <c r="AI126" s="83">
        <f t="shared" si="129"/>
        <v>3</v>
      </c>
      <c r="AJ126" s="15">
        <f>IF(AND(AH126&lt;&gt;"", AK126&lt;&gt;""), ROUND(100*(1-(AM125+AM126)/2/AN$111), $B$39), "")</f>
        <v>76</v>
      </c>
      <c r="AK126" s="52">
        <v>911</v>
      </c>
      <c r="AL126" s="16">
        <f t="shared" si="123"/>
        <v>3.4514112521310855E-2</v>
      </c>
      <c r="AM126" s="17">
        <f>IF(AND(AH126&lt;&gt;"", AK126&lt;&gt;""), SUM(AK$114:AK126), "")</f>
        <v>6742</v>
      </c>
      <c r="AN126" s="16">
        <f t="shared" si="124"/>
        <v>0.25542716423565071</v>
      </c>
      <c r="AO126" s="14"/>
      <c r="AP126" s="27">
        <v>37</v>
      </c>
      <c r="AQ126" s="20" t="e" cm="1">
        <f t="array" aca="1" ref="AQ126" ca="1">(AP126-INDIRECT(SUBSTITUTE(ADDRESS(1,COLUMN($C$9),4),"1","")&amp;SUMPRODUCT(($B$10:$D$26=INDIRECT(SUBSTITUTE(ADDRESS(1,COLUMN()-1,4),"1","")&amp;ROW()-15))*ROW($B$10:$D$26))))/INDIRECT(SUBSTITUTE(ADDRESS(1,COLUMN($D$9),4),"1","")&amp;SUMPRODUCT(($B$10:$D$26=INDIRECT(SUBSTITUTE(ADDRESS(1,COLUMN()-1,4),"1","")&amp;ROW()-15))*ROW($B$10:$D$26)))*10+50</f>
        <v>#DIV/0!</v>
      </c>
      <c r="AR126" s="8"/>
      <c r="AS126" s="49">
        <v>61</v>
      </c>
      <c r="AT126" s="83">
        <f t="shared" si="130"/>
        <v>3</v>
      </c>
      <c r="AU126" s="15">
        <f>IF(AND(AS126&lt;&gt;"", AV126&lt;&gt;""), ROUND(100*(1-(AX125+AX126)/2/AY$111), $B$39), "")</f>
        <v>85</v>
      </c>
      <c r="AV126" s="52">
        <v>80</v>
      </c>
      <c r="AW126" s="16">
        <f t="shared" si="125"/>
        <v>1.2146978439113271E-2</v>
      </c>
      <c r="AX126" s="17">
        <f>IF(AND(AS126&lt;&gt;"", AV126&lt;&gt;""), SUM(AV$114:AV126), "")</f>
        <v>1025</v>
      </c>
      <c r="AY126" s="16">
        <f t="shared" si="126"/>
        <v>0.15563316125113877</v>
      </c>
      <c r="AZ126" s="14"/>
      <c r="BA126" s="27">
        <v>37</v>
      </c>
      <c r="BB126" s="20" t="e" cm="1">
        <f t="array" aca="1" ref="BB126" ca="1">(BA126-INDIRECT(SUBSTITUTE(ADDRESS(1,COLUMN($C$9),4),"1","")&amp;SUMPRODUCT(($B$10:$D$26=INDIRECT(SUBSTITUTE(ADDRESS(1,COLUMN()-1,4),"1","")&amp;ROW()-15))*ROW($B$10:$D$26))))/INDIRECT(SUBSTITUTE(ADDRESS(1,COLUMN($D$9),4),"1","")&amp;SUMPRODUCT(($B$10:$D$26=INDIRECT(SUBSTITUTE(ADDRESS(1,COLUMN()-1,4),"1","")&amp;ROW()-15))*ROW($B$10:$D$26)))*10+50</f>
        <v>#DIV/0!</v>
      </c>
      <c r="BC126" s="8"/>
      <c r="BD126" s="49">
        <v>54</v>
      </c>
      <c r="BE126" s="83">
        <f t="shared" si="131"/>
        <v>4</v>
      </c>
      <c r="BF126" s="15">
        <f>IF(AND(BD126&lt;&gt;"", BG126&lt;&gt;""), ROUND(100*(1-(BI125+BI126)/2/BJ$111), $B$39), "")</f>
        <v>59</v>
      </c>
      <c r="BG126" s="52">
        <v>3135</v>
      </c>
      <c r="BH126" s="16">
        <f t="shared" si="127"/>
        <v>2.6611096020643758E-2</v>
      </c>
      <c r="BI126" s="17">
        <f>IF(AND(BD126&lt;&gt;"", BG126&lt;&gt;""), SUM(BG$114:BG126), "")</f>
        <v>49801</v>
      </c>
      <c r="BJ126" s="16">
        <f t="shared" si="128"/>
        <v>0.4227302050794513</v>
      </c>
      <c r="BK126" s="14"/>
    </row>
    <row r="127" spans="5:63" ht="16" customHeight="1" x14ac:dyDescent="0.2">
      <c r="E127" s="1"/>
      <c r="N127"/>
      <c r="O127" s="42"/>
      <c r="P127" s="83" t="str">
        <f t="shared" si="81"/>
        <v/>
      </c>
      <c r="Q127" s="164" t="str">
        <f t="shared" si="79"/>
        <v/>
      </c>
      <c r="R127" s="42"/>
      <c r="S127" s="16" t="str">
        <f t="shared" si="119"/>
        <v/>
      </c>
      <c r="T127" s="17" t="str">
        <f>IF(AND(O127&lt;&gt;"", R127&lt;&gt;""), SUM(R$4:R127), "")</f>
        <v/>
      </c>
      <c r="U127" s="16" t="str">
        <f t="shared" si="120"/>
        <v/>
      </c>
      <c r="W127" s="42"/>
      <c r="X127" s="83" t="str">
        <f t="shared" si="82"/>
        <v/>
      </c>
      <c r="Y127" s="164" t="str">
        <f t="shared" si="80"/>
        <v/>
      </c>
      <c r="Z127" s="42"/>
      <c r="AA127" s="16" t="str">
        <f t="shared" si="121"/>
        <v/>
      </c>
      <c r="AB127" s="17" t="str">
        <f>IF(AND(W127&lt;&gt;"", Z127&lt;&gt;""), SUM(Z$4:Z127), "")</f>
        <v/>
      </c>
      <c r="AC127" s="16" t="str">
        <f t="shared" si="122"/>
        <v/>
      </c>
      <c r="AD127" s="1"/>
      <c r="AE127" s="19">
        <v>36</v>
      </c>
      <c r="AF127" s="20" t="e" cm="1">
        <f t="array" aca="1" ref="AF127" ca="1">(AE127-INDIRECT(SUBSTITUTE(ADDRESS(1,COLUMN($C$9),4),"1","")&amp;SUMPRODUCT(($B$10:$D$26=INDIRECT(SUBSTITUTE(ADDRESS(1,COLUMN()-1,4),"1","")&amp;ROW()-16))*ROW($B$10:$D$26))))/INDIRECT(SUBSTITUTE(ADDRESS(1,COLUMN($D$9),4),"1","")&amp;SUMPRODUCT(($B$10:$D$26=INDIRECT(SUBSTITUTE(ADDRESS(1,COLUMN()-1,4),"1","")&amp;ROW()-16))*ROW($B$10:$D$26)))*10+50</f>
        <v>#DIV/0!</v>
      </c>
      <c r="AG127" s="8"/>
      <c r="AH127" s="49">
        <v>57</v>
      </c>
      <c r="AI127" s="83">
        <f t="shared" si="129"/>
        <v>4</v>
      </c>
      <c r="AJ127" s="15">
        <f>IF(AND(AH127&lt;&gt;"", AK127&lt;&gt;""), ROUND(100*(1-(AM126+AM127)/2/AN$111), $B$39), "")</f>
        <v>73</v>
      </c>
      <c r="AK127" s="52">
        <v>517</v>
      </c>
      <c r="AL127" s="16">
        <f t="shared" si="123"/>
        <v>1.958704300056829E-2</v>
      </c>
      <c r="AM127" s="17">
        <f>IF(AND(AH127&lt;&gt;"", AK127&lt;&gt;""), SUM(AK$114:AK127), "")</f>
        <v>7259</v>
      </c>
      <c r="AN127" s="16">
        <f t="shared" si="124"/>
        <v>0.275014207236219</v>
      </c>
      <c r="AO127" s="14"/>
      <c r="AP127" s="27">
        <v>36</v>
      </c>
      <c r="AQ127" s="20" t="e" cm="1">
        <f t="array" aca="1" ref="AQ127" ca="1">(AP127-INDIRECT(SUBSTITUTE(ADDRESS(1,COLUMN($C$9),4),"1","")&amp;SUMPRODUCT(($B$10:$D$26=INDIRECT(SUBSTITUTE(ADDRESS(1,COLUMN()-1,4),"1","")&amp;ROW()-16))*ROW($B$10:$D$26))))/INDIRECT(SUBSTITUTE(ADDRESS(1,COLUMN($D$9),4),"1","")&amp;SUMPRODUCT(($B$10:$D$26=INDIRECT(SUBSTITUTE(ADDRESS(1,COLUMN()-1,4),"1","")&amp;ROW()-16))*ROW($B$10:$D$26)))*10+50</f>
        <v>#DIV/0!</v>
      </c>
      <c r="AR127" s="8"/>
      <c r="AS127" s="49">
        <v>60</v>
      </c>
      <c r="AT127" s="83">
        <f t="shared" si="130"/>
        <v>3</v>
      </c>
      <c r="AU127" s="15">
        <f>IF(AND(AS127&lt;&gt;"", AV127&lt;&gt;""), ROUND(100*(1-(AX126+AX127)/2/AY$111), $B$39), "")</f>
        <v>83</v>
      </c>
      <c r="AV127" s="52">
        <v>126</v>
      </c>
      <c r="AW127" s="16">
        <f t="shared" si="125"/>
        <v>1.9131491041603402E-2</v>
      </c>
      <c r="AX127" s="17">
        <f>IF(AND(AS127&lt;&gt;"", AV127&lt;&gt;""), SUM(AV$114:AV127), "")</f>
        <v>1151</v>
      </c>
      <c r="AY127" s="16">
        <f t="shared" si="126"/>
        <v>0.17476465229274218</v>
      </c>
      <c r="AZ127" s="14"/>
      <c r="BA127" s="27">
        <v>36</v>
      </c>
      <c r="BB127" s="20" t="e" cm="1">
        <f t="array" aca="1" ref="BB127" ca="1">(BA127-INDIRECT(SUBSTITUTE(ADDRESS(1,COLUMN($C$9),4),"1","")&amp;SUMPRODUCT(($B$10:$D$26=INDIRECT(SUBSTITUTE(ADDRESS(1,COLUMN()-1,4),"1","")&amp;ROW()-16))*ROW($B$10:$D$26))))/INDIRECT(SUBSTITUTE(ADDRESS(1,COLUMN($D$9),4),"1","")&amp;SUMPRODUCT(($B$10:$D$26=INDIRECT(SUBSTITUTE(ADDRESS(1,COLUMN()-1,4),"1","")&amp;ROW()-16))*ROW($B$10:$D$26)))*10+50</f>
        <v>#DIV/0!</v>
      </c>
      <c r="BC127" s="8"/>
      <c r="BD127" s="49">
        <v>53</v>
      </c>
      <c r="BE127" s="83">
        <f t="shared" si="131"/>
        <v>5</v>
      </c>
      <c r="BF127" s="15">
        <f>IF(AND(BD127&lt;&gt;"", BG127&lt;&gt;""), ROUND(100*(1-(BI126+BI127)/2/BJ$111), $B$39), "")</f>
        <v>56</v>
      </c>
      <c r="BG127" s="52">
        <v>2995</v>
      </c>
      <c r="BH127" s="16">
        <f t="shared" si="127"/>
        <v>2.5422721716691566E-2</v>
      </c>
      <c r="BI127" s="17">
        <f>IF(AND(BD127&lt;&gt;"", BG127&lt;&gt;""), SUM(BG$114:BG127), "")</f>
        <v>52796</v>
      </c>
      <c r="BJ127" s="16">
        <f t="shared" si="128"/>
        <v>0.44815292679614288</v>
      </c>
      <c r="BK127" s="14"/>
    </row>
    <row r="128" spans="5:63" ht="16" customHeight="1" x14ac:dyDescent="0.2">
      <c r="E128" s="1"/>
      <c r="N128"/>
      <c r="O128" s="42"/>
      <c r="P128" s="83" t="str">
        <f t="shared" si="81"/>
        <v/>
      </c>
      <c r="Q128" s="164" t="str">
        <f t="shared" si="79"/>
        <v/>
      </c>
      <c r="R128" s="42"/>
      <c r="S128" s="16" t="str">
        <f t="shared" si="119"/>
        <v/>
      </c>
      <c r="T128" s="17" t="str">
        <f>IF(AND(O128&lt;&gt;"", R128&lt;&gt;""), SUM(R$4:R128), "")</f>
        <v/>
      </c>
      <c r="U128" s="16" t="str">
        <f t="shared" si="120"/>
        <v/>
      </c>
      <c r="W128" s="42"/>
      <c r="X128" s="83" t="str">
        <f t="shared" si="82"/>
        <v/>
      </c>
      <c r="Y128" s="164" t="str">
        <f t="shared" si="80"/>
        <v/>
      </c>
      <c r="Z128" s="42"/>
      <c r="AA128" s="16" t="str">
        <f t="shared" si="121"/>
        <v/>
      </c>
      <c r="AB128" s="17" t="str">
        <f>IF(AND(W128&lt;&gt;"", Z128&lt;&gt;""), SUM(Z$4:Z128), "")</f>
        <v/>
      </c>
      <c r="AC128" s="16" t="str">
        <f t="shared" si="122"/>
        <v/>
      </c>
      <c r="AD128" s="1"/>
      <c r="AE128" s="19">
        <v>35</v>
      </c>
      <c r="AF128" s="20" t="e" cm="1">
        <f t="array" aca="1" ref="AF128" ca="1">(AE128-INDIRECT(SUBSTITUTE(ADDRESS(1,COLUMN($C$9),4),"1","")&amp;SUMPRODUCT(($B$10:$D$26=INDIRECT(SUBSTITUTE(ADDRESS(1,COLUMN()-1,4),"1","")&amp;ROW()-17))*ROW($B$10:$D$26))))/INDIRECT(SUBSTITUTE(ADDRESS(1,COLUMN($D$9),4),"1","")&amp;SUMPRODUCT(($B$10:$D$26=INDIRECT(SUBSTITUTE(ADDRESS(1,COLUMN()-1,4),"1","")&amp;ROW()-17))*ROW($B$10:$D$26)))*10+50</f>
        <v>#DIV/0!</v>
      </c>
      <c r="AG128" s="8"/>
      <c r="AH128" s="49">
        <v>56</v>
      </c>
      <c r="AI128" s="83">
        <f t="shared" si="129"/>
        <v>4</v>
      </c>
      <c r="AJ128" s="15">
        <f>IF(AND(AH128&lt;&gt;"", AK128&lt;&gt;""), ROUND(100*(1-(AM127+AM128)/2/AN$111), $B$39), "")</f>
        <v>72</v>
      </c>
      <c r="AK128" s="52">
        <v>470</v>
      </c>
      <c r="AL128" s="16">
        <f t="shared" si="123"/>
        <v>1.7806402727789356E-2</v>
      </c>
      <c r="AM128" s="17">
        <f>IF(AND(AH128&lt;&gt;"", AK128&lt;&gt;""), SUM(AK$114:AK128), "")</f>
        <v>7729</v>
      </c>
      <c r="AN128" s="16">
        <f t="shared" si="124"/>
        <v>0.29282060996400833</v>
      </c>
      <c r="AO128" s="14"/>
      <c r="AP128" s="27">
        <v>35</v>
      </c>
      <c r="AQ128" s="20" t="e" cm="1">
        <f t="array" aca="1" ref="AQ128" ca="1">(AP128-INDIRECT(SUBSTITUTE(ADDRESS(1,COLUMN($C$9),4),"1","")&amp;SUMPRODUCT(($B$10:$D$26=INDIRECT(SUBSTITUTE(ADDRESS(1,COLUMN()-1,4),"1","")&amp;ROW()-17))*ROW($B$10:$D$26))))/INDIRECT(SUBSTITUTE(ADDRESS(1,COLUMN($D$9),4),"1","")&amp;SUMPRODUCT(($B$10:$D$26=INDIRECT(SUBSTITUTE(ADDRESS(1,COLUMN()-1,4),"1","")&amp;ROW()-17))*ROW($B$10:$D$26)))*10+50</f>
        <v>#DIV/0!</v>
      </c>
      <c r="AR128" s="8"/>
      <c r="AS128" s="49">
        <v>59</v>
      </c>
      <c r="AT128" s="83">
        <f t="shared" si="130"/>
        <v>3</v>
      </c>
      <c r="AU128" s="15">
        <f>IF(AND(AS128&lt;&gt;"", AV128&lt;&gt;""), ROUND(100*(1-(AX127+AX128)/2/AY$111), $B$39), "")</f>
        <v>82</v>
      </c>
      <c r="AV128" s="52">
        <v>80</v>
      </c>
      <c r="AW128" s="16">
        <f t="shared" si="125"/>
        <v>1.2146978439113271E-2</v>
      </c>
      <c r="AX128" s="17">
        <f>IF(AND(AS128&lt;&gt;"", AV128&lt;&gt;""), SUM(AV$114:AV128), "")</f>
        <v>1231</v>
      </c>
      <c r="AY128" s="16">
        <f t="shared" si="126"/>
        <v>0.18691163073185546</v>
      </c>
      <c r="AZ128" s="14"/>
      <c r="BA128" s="27">
        <v>35</v>
      </c>
      <c r="BB128" s="20" t="e" cm="1">
        <f t="array" aca="1" ref="BB128" ca="1">(BA128-INDIRECT(SUBSTITUTE(ADDRESS(1,COLUMN($C$9),4),"1","")&amp;SUMPRODUCT(($B$10:$D$26=INDIRECT(SUBSTITUTE(ADDRESS(1,COLUMN()-1,4),"1","")&amp;ROW()-17))*ROW($B$10:$D$26))))/INDIRECT(SUBSTITUTE(ADDRESS(1,COLUMN($D$9),4),"1","")&amp;SUMPRODUCT(($B$10:$D$26=INDIRECT(SUBSTITUTE(ADDRESS(1,COLUMN()-1,4),"1","")&amp;ROW()-17))*ROW($B$10:$D$26)))*10+50</f>
        <v>#DIV/0!</v>
      </c>
      <c r="BC128" s="8"/>
      <c r="BD128" s="49">
        <v>52</v>
      </c>
      <c r="BE128" s="83">
        <f t="shared" si="131"/>
        <v>5</v>
      </c>
      <c r="BF128" s="15">
        <f>IF(AND(BD128&lt;&gt;"", BG128&lt;&gt;""), ROUND(100*(1-(BI127+BI128)/2/BJ$111), $B$39), "")</f>
        <v>53</v>
      </c>
      <c r="BG128" s="52">
        <v>5333</v>
      </c>
      <c r="BH128" s="16">
        <f t="shared" si="127"/>
        <v>4.5268572592693193E-2</v>
      </c>
      <c r="BI128" s="17">
        <f>IF(AND(BD128&lt;&gt;"", BG128&lt;&gt;""), SUM(BG$114:BG128), "")</f>
        <v>58129</v>
      </c>
      <c r="BJ128" s="16">
        <f t="shared" si="128"/>
        <v>0.49342149938883606</v>
      </c>
      <c r="BK128" s="14"/>
    </row>
    <row r="129" spans="1:63" ht="16" customHeight="1" x14ac:dyDescent="0.2">
      <c r="E129" s="1"/>
      <c r="N129"/>
      <c r="O129" s="42"/>
      <c r="P129" s="83" t="str">
        <f t="shared" si="81"/>
        <v/>
      </c>
      <c r="Q129" s="164" t="str">
        <f t="shared" si="79"/>
        <v/>
      </c>
      <c r="R129" s="42"/>
      <c r="S129" s="16" t="str">
        <f t="shared" si="119"/>
        <v/>
      </c>
      <c r="T129" s="17" t="str">
        <f>IF(AND(O129&lt;&gt;"", R129&lt;&gt;""), SUM(R$4:R129), "")</f>
        <v/>
      </c>
      <c r="U129" s="16" t="str">
        <f t="shared" si="120"/>
        <v/>
      </c>
      <c r="W129" s="42"/>
      <c r="X129" s="83" t="str">
        <f t="shared" si="82"/>
        <v/>
      </c>
      <c r="Y129" s="164" t="str">
        <f t="shared" si="80"/>
        <v/>
      </c>
      <c r="Z129" s="42"/>
      <c r="AA129" s="16" t="str">
        <f t="shared" si="121"/>
        <v/>
      </c>
      <c r="AB129" s="17" t="str">
        <f>IF(AND(W129&lt;&gt;"", Z129&lt;&gt;""), SUM(Z$4:Z129), "")</f>
        <v/>
      </c>
      <c r="AC129" s="16" t="str">
        <f t="shared" si="122"/>
        <v/>
      </c>
      <c r="AD129" s="1"/>
      <c r="AE129" s="19">
        <v>34</v>
      </c>
      <c r="AF129" s="20" t="e" cm="1">
        <f t="array" aca="1" ref="AF129" ca="1">(AE129-INDIRECT(SUBSTITUTE(ADDRESS(1,COLUMN($C$9),4),"1","")&amp;SUMPRODUCT(($B$10:$D$26=INDIRECT(SUBSTITUTE(ADDRESS(1,COLUMN()-1,4),"1","")&amp;ROW()-18))*ROW($B$10:$D$26))))/INDIRECT(SUBSTITUTE(ADDRESS(1,COLUMN($D$9),4),"1","")&amp;SUMPRODUCT(($B$10:$D$26=INDIRECT(SUBSTITUTE(ADDRESS(1,COLUMN()-1,4),"1","")&amp;ROW()-18))*ROW($B$10:$D$26)))*10+50</f>
        <v>#DIV/0!</v>
      </c>
      <c r="AG129" s="8"/>
      <c r="AH129" s="49">
        <v>55</v>
      </c>
      <c r="AI129" s="83">
        <f t="shared" si="129"/>
        <v>4</v>
      </c>
      <c r="AJ129" s="15">
        <f>IF(AND(AH129&lt;&gt;"", AK129&lt;&gt;""), ROUND(100*(1-(AM128+AM129)/2/AN$111), $B$39), "")</f>
        <v>70</v>
      </c>
      <c r="AK129" s="52">
        <v>536</v>
      </c>
      <c r="AL129" s="16">
        <f t="shared" si="123"/>
        <v>2.0306876302329985E-2</v>
      </c>
      <c r="AM129" s="17">
        <f>IF(AND(AH129&lt;&gt;"", AK129&lt;&gt;""), SUM(AK$114:AK129), "")</f>
        <v>8265</v>
      </c>
      <c r="AN129" s="16">
        <f t="shared" si="124"/>
        <v>0.3131274862663383</v>
      </c>
      <c r="AO129" s="14"/>
      <c r="AP129" s="27">
        <v>34</v>
      </c>
      <c r="AQ129" s="20" t="e" cm="1">
        <f t="array" aca="1" ref="AQ129" ca="1">(AP129-INDIRECT(SUBSTITUTE(ADDRESS(1,COLUMN($C$9),4),"1","")&amp;SUMPRODUCT(($B$10:$D$26=INDIRECT(SUBSTITUTE(ADDRESS(1,COLUMN()-1,4),"1","")&amp;ROW()-18))*ROW($B$10:$D$26))))/INDIRECT(SUBSTITUTE(ADDRESS(1,COLUMN($D$9),4),"1","")&amp;SUMPRODUCT(($B$10:$D$26=INDIRECT(SUBSTITUTE(ADDRESS(1,COLUMN()-1,4),"1","")&amp;ROW()-18))*ROW($B$10:$D$26)))*10+50</f>
        <v>#DIV/0!</v>
      </c>
      <c r="AR129" s="8"/>
      <c r="AS129" s="49">
        <v>58</v>
      </c>
      <c r="AT129" s="83">
        <f t="shared" si="130"/>
        <v>3</v>
      </c>
      <c r="AU129" s="15">
        <f>IF(AND(AS129&lt;&gt;"", AV129&lt;&gt;""), ROUND(100*(1-(AX128+AX129)/2/AY$111), $B$39), "")</f>
        <v>81</v>
      </c>
      <c r="AV129" s="52">
        <v>73</v>
      </c>
      <c r="AW129" s="16">
        <f t="shared" si="125"/>
        <v>1.1084117825690859E-2</v>
      </c>
      <c r="AX129" s="17">
        <f>IF(AND(AS129&lt;&gt;"", AV129&lt;&gt;""), SUM(AV$114:AV129), "")</f>
        <v>1304</v>
      </c>
      <c r="AY129" s="16">
        <f t="shared" si="126"/>
        <v>0.19799574855754631</v>
      </c>
      <c r="AZ129" s="14"/>
      <c r="BA129" s="27">
        <v>34</v>
      </c>
      <c r="BB129" s="20" t="e" cm="1">
        <f t="array" aca="1" ref="BB129" ca="1">(BA129-INDIRECT(SUBSTITUTE(ADDRESS(1,COLUMN($C$9),4),"1","")&amp;SUMPRODUCT(($B$10:$D$26=INDIRECT(SUBSTITUTE(ADDRESS(1,COLUMN()-1,4),"1","")&amp;ROW()-18))*ROW($B$10:$D$26))))/INDIRECT(SUBSTITUTE(ADDRESS(1,COLUMN($D$9),4),"1","")&amp;SUMPRODUCT(($B$10:$D$26=INDIRECT(SUBSTITUTE(ADDRESS(1,COLUMN()-1,4),"1","")&amp;ROW()-18))*ROW($B$10:$D$26)))*10+50</f>
        <v>#DIV/0!</v>
      </c>
      <c r="BC129" s="8"/>
      <c r="BD129" s="49">
        <v>51</v>
      </c>
      <c r="BE129" s="83">
        <f t="shared" si="131"/>
        <v>5</v>
      </c>
      <c r="BF129" s="15">
        <f>IF(AND(BD129&lt;&gt;"", BG129&lt;&gt;""), ROUND(100*(1-(BI128+BI129)/2/BJ$111), $B$39), "")</f>
        <v>50</v>
      </c>
      <c r="BG129" s="52">
        <v>2319</v>
      </c>
      <c r="BH129" s="16">
        <f t="shared" si="127"/>
        <v>1.9684571506179548E-2</v>
      </c>
      <c r="BI129" s="17">
        <f>IF(AND(BD129&lt;&gt;"", BG129&lt;&gt;""), SUM(BG$114:BG129), "")</f>
        <v>60448</v>
      </c>
      <c r="BJ129" s="16">
        <f t="shared" si="128"/>
        <v>0.51310607089501559</v>
      </c>
      <c r="BK129" s="14"/>
    </row>
    <row r="130" spans="1:63" ht="16" customHeight="1" x14ac:dyDescent="0.2">
      <c r="E130" s="1"/>
      <c r="N130"/>
      <c r="O130" s="42"/>
      <c r="P130" s="83" t="str">
        <f t="shared" si="81"/>
        <v/>
      </c>
      <c r="Q130" s="164" t="str">
        <f t="shared" si="79"/>
        <v/>
      </c>
      <c r="R130" s="42"/>
      <c r="S130" s="16" t="str">
        <f t="shared" si="119"/>
        <v/>
      </c>
      <c r="T130" s="17" t="str">
        <f>IF(AND(O130&lt;&gt;"", R130&lt;&gt;""), SUM(R$4:R130), "")</f>
        <v/>
      </c>
      <c r="U130" s="16" t="str">
        <f t="shared" si="120"/>
        <v/>
      </c>
      <c r="W130" s="42"/>
      <c r="X130" s="83" t="str">
        <f t="shared" si="82"/>
        <v/>
      </c>
      <c r="Y130" s="164" t="str">
        <f t="shared" si="80"/>
        <v/>
      </c>
      <c r="Z130" s="42"/>
      <c r="AA130" s="16" t="str">
        <f t="shared" si="121"/>
        <v/>
      </c>
      <c r="AB130" s="17" t="str">
        <f>IF(AND(W130&lt;&gt;"", Z130&lt;&gt;""), SUM(Z$4:Z130), "")</f>
        <v/>
      </c>
      <c r="AC130" s="16" t="str">
        <f t="shared" si="122"/>
        <v/>
      </c>
      <c r="AD130" s="1"/>
      <c r="AE130" s="19">
        <v>33</v>
      </c>
      <c r="AF130" s="20" t="e" cm="1">
        <f t="array" aca="1" ref="AF130" ca="1">(AE130-INDIRECT(SUBSTITUTE(ADDRESS(1,COLUMN($C$9),4),"1","")&amp;SUMPRODUCT(($B$10:$D$26=INDIRECT(SUBSTITUTE(ADDRESS(1,COLUMN()-1,4),"1","")&amp;ROW()-19))*ROW($B$10:$D$26))))/INDIRECT(SUBSTITUTE(ADDRESS(1,COLUMN($D$9),4),"1","")&amp;SUMPRODUCT(($B$10:$D$26=INDIRECT(SUBSTITUTE(ADDRESS(1,COLUMN()-1,4),"1","")&amp;ROW()-19))*ROW($B$10:$D$26)))*10+50</f>
        <v>#DIV/0!</v>
      </c>
      <c r="AG130" s="8"/>
      <c r="AH130" s="49">
        <v>54</v>
      </c>
      <c r="AI130" s="83">
        <f t="shared" si="129"/>
        <v>4</v>
      </c>
      <c r="AJ130" s="15">
        <f>IF(AND(AH130&lt;&gt;"", AK130&lt;&gt;""), ROUND(100*(1-(AM129+AM130)/2/AN$111), $B$39), "")</f>
        <v>67</v>
      </c>
      <c r="AK130" s="52">
        <v>1061</v>
      </c>
      <c r="AL130" s="16">
        <f t="shared" si="123"/>
        <v>4.0197007008903204E-2</v>
      </c>
      <c r="AM130" s="17">
        <f>IF(AND(AH130&lt;&gt;"", AK130&lt;&gt;""), SUM(AK$114:AK130), "")</f>
        <v>9326</v>
      </c>
      <c r="AN130" s="16">
        <f t="shared" si="124"/>
        <v>0.35332449327524151</v>
      </c>
      <c r="AO130" s="14"/>
      <c r="AP130" s="27">
        <v>33</v>
      </c>
      <c r="AQ130" s="20" t="e" cm="1">
        <f t="array" aca="1" ref="AQ130" ca="1">(AP130-INDIRECT(SUBSTITUTE(ADDRESS(1,COLUMN($C$9),4),"1","")&amp;SUMPRODUCT(($B$10:$D$26=INDIRECT(SUBSTITUTE(ADDRESS(1,COLUMN()-1,4),"1","")&amp;ROW()-19))*ROW($B$10:$D$26))))/INDIRECT(SUBSTITUTE(ADDRESS(1,COLUMN($D$9),4),"1","")&amp;SUMPRODUCT(($B$10:$D$26=INDIRECT(SUBSTITUTE(ADDRESS(1,COLUMN()-1,4),"1","")&amp;ROW()-19))*ROW($B$10:$D$26)))*10+50</f>
        <v>#DIV/0!</v>
      </c>
      <c r="AR130" s="8"/>
      <c r="AS130" s="49">
        <v>57</v>
      </c>
      <c r="AT130" s="83">
        <f t="shared" si="130"/>
        <v>3</v>
      </c>
      <c r="AU130" s="15">
        <f>IF(AND(AS130&lt;&gt;"", AV130&lt;&gt;""), ROUND(100*(1-(AX129+AX130)/2/AY$111), $B$39), "")</f>
        <v>80</v>
      </c>
      <c r="AV130" s="52">
        <v>83</v>
      </c>
      <c r="AW130" s="16">
        <f t="shared" si="125"/>
        <v>1.2602490130580018E-2</v>
      </c>
      <c r="AX130" s="17">
        <f>IF(AND(AS130&lt;&gt;"", AV130&lt;&gt;""), SUM(AV$114:AV130), "")</f>
        <v>1387</v>
      </c>
      <c r="AY130" s="16">
        <f t="shared" si="126"/>
        <v>0.21059823868812633</v>
      </c>
      <c r="AZ130" s="14"/>
      <c r="BA130" s="27">
        <v>33</v>
      </c>
      <c r="BB130" s="20" t="e" cm="1">
        <f t="array" aca="1" ref="BB130" ca="1">(BA130-INDIRECT(SUBSTITUTE(ADDRESS(1,COLUMN($C$9),4),"1","")&amp;SUMPRODUCT(($B$10:$D$26=INDIRECT(SUBSTITUTE(ADDRESS(1,COLUMN()-1,4),"1","")&amp;ROW()-19))*ROW($B$10:$D$26))))/INDIRECT(SUBSTITUTE(ADDRESS(1,COLUMN($D$9),4),"1","")&amp;SUMPRODUCT(($B$10:$D$26=INDIRECT(SUBSTITUTE(ADDRESS(1,COLUMN()-1,4),"1","")&amp;ROW()-19))*ROW($B$10:$D$26)))*10+50</f>
        <v>#DIV/0!</v>
      </c>
      <c r="BC130" s="8"/>
      <c r="BD130" s="49">
        <v>50</v>
      </c>
      <c r="BE130" s="83">
        <f t="shared" si="131"/>
        <v>5</v>
      </c>
      <c r="BF130" s="15">
        <f>IF(AND(BD130&lt;&gt;"", BG130&lt;&gt;""), ROUND(100*(1-(BI129+BI130)/2/BJ$111), $B$39), "")</f>
        <v>48</v>
      </c>
      <c r="BG130" s="52">
        <v>2478</v>
      </c>
      <c r="BH130" s="16">
        <f t="shared" si="127"/>
        <v>2.1034225179953823E-2</v>
      </c>
      <c r="BI130" s="17">
        <f>IF(AND(BD130&lt;&gt;"", BG130&lt;&gt;""), SUM(BG$114:BG130), "")</f>
        <v>62926</v>
      </c>
      <c r="BJ130" s="16">
        <f t="shared" si="128"/>
        <v>0.53414029607496949</v>
      </c>
      <c r="BK130" s="14"/>
    </row>
    <row r="131" spans="1:63" ht="16" customHeight="1" x14ac:dyDescent="0.2">
      <c r="E131" s="1"/>
      <c r="N131"/>
      <c r="O131" s="42"/>
      <c r="P131" s="83" t="str">
        <f t="shared" si="81"/>
        <v/>
      </c>
      <c r="Q131" s="164" t="str">
        <f t="shared" si="79"/>
        <v/>
      </c>
      <c r="R131" s="42"/>
      <c r="S131" s="16" t="str">
        <f t="shared" si="119"/>
        <v/>
      </c>
      <c r="T131" s="17" t="str">
        <f>IF(AND(O131&lt;&gt;"", R131&lt;&gt;""), SUM(R$4:R131), "")</f>
        <v/>
      </c>
      <c r="U131" s="16" t="str">
        <f t="shared" si="120"/>
        <v/>
      </c>
      <c r="W131" s="42"/>
      <c r="X131" s="83" t="str">
        <f t="shared" si="82"/>
        <v/>
      </c>
      <c r="Y131" s="164" t="str">
        <f t="shared" si="80"/>
        <v/>
      </c>
      <c r="Z131" s="42"/>
      <c r="AA131" s="16" t="str">
        <f t="shared" si="121"/>
        <v/>
      </c>
      <c r="AB131" s="17" t="str">
        <f>IF(AND(W131&lt;&gt;"", Z131&lt;&gt;""), SUM(Z$4:Z131), "")</f>
        <v/>
      </c>
      <c r="AC131" s="16" t="str">
        <f t="shared" si="122"/>
        <v/>
      </c>
      <c r="AD131" s="1"/>
      <c r="AE131" s="19">
        <v>32</v>
      </c>
      <c r="AF131" s="20" t="e" cm="1">
        <f t="array" aca="1" ref="AF131" ca="1">(AE131-INDIRECT(SUBSTITUTE(ADDRESS(1,COLUMN($C$9),4),"1","")&amp;SUMPRODUCT(($B$10:$D$26=INDIRECT(SUBSTITUTE(ADDRESS(1,COLUMN()-1,4),"1","")&amp;ROW()-20))*ROW($B$10:$D$26))))/INDIRECT(SUBSTITUTE(ADDRESS(1,COLUMN($D$9),4),"1","")&amp;SUMPRODUCT(($B$10:$D$26=INDIRECT(SUBSTITUTE(ADDRESS(1,COLUMN()-1,4),"1","")&amp;ROW()-20))*ROW($B$10:$D$26)))*10+50</f>
        <v>#DIV/0!</v>
      </c>
      <c r="AG131" s="8"/>
      <c r="AH131" s="49">
        <v>53</v>
      </c>
      <c r="AI131" s="83">
        <f t="shared" si="129"/>
        <v>4</v>
      </c>
      <c r="AJ131" s="15">
        <f>IF(AND(AH131&lt;&gt;"", AK131&lt;&gt;""), ROUND(100*(1-(AM130+AM131)/2/AN$111), $B$39), "")</f>
        <v>64</v>
      </c>
      <c r="AK131" s="52">
        <v>515</v>
      </c>
      <c r="AL131" s="16">
        <f t="shared" si="123"/>
        <v>1.9511271074067058E-2</v>
      </c>
      <c r="AM131" s="17">
        <f>IF(AND(AH131&lt;&gt;"", AK131&lt;&gt;""), SUM(AK$114:AK131), "")</f>
        <v>9841</v>
      </c>
      <c r="AN131" s="16">
        <f t="shared" si="124"/>
        <v>0.3728357643493086</v>
      </c>
      <c r="AO131" s="14"/>
      <c r="AP131" s="27">
        <v>32</v>
      </c>
      <c r="AQ131" s="20" t="e" cm="1">
        <f t="array" aca="1" ref="AQ131" ca="1">(AP131-INDIRECT(SUBSTITUTE(ADDRESS(1,COLUMN($C$9),4),"1","")&amp;SUMPRODUCT(($B$10:$D$26=INDIRECT(SUBSTITUTE(ADDRESS(1,COLUMN()-1,4),"1","")&amp;ROW()-20))*ROW($B$10:$D$26))))/INDIRECT(SUBSTITUTE(ADDRESS(1,COLUMN($D$9),4),"1","")&amp;SUMPRODUCT(($B$10:$D$26=INDIRECT(SUBSTITUTE(ADDRESS(1,COLUMN()-1,4),"1","")&amp;ROW()-20))*ROW($B$10:$D$26)))*10+50</f>
        <v>#DIV/0!</v>
      </c>
      <c r="AR131" s="8"/>
      <c r="AS131" s="49">
        <v>56</v>
      </c>
      <c r="AT131" s="83">
        <f t="shared" si="130"/>
        <v>3</v>
      </c>
      <c r="AU131" s="15">
        <f>IF(AND(AS131&lt;&gt;"", AV131&lt;&gt;""), ROUND(100*(1-(AX130+AX131)/2/AY$111), $B$39), "")</f>
        <v>78</v>
      </c>
      <c r="AV131" s="52">
        <v>188</v>
      </c>
      <c r="AW131" s="16">
        <f t="shared" si="125"/>
        <v>2.8545399331916185E-2</v>
      </c>
      <c r="AX131" s="17">
        <f>IF(AND(AS131&lt;&gt;"", AV131&lt;&gt;""), SUM(AV$114:AV131), "")</f>
        <v>1575</v>
      </c>
      <c r="AY131" s="16">
        <f t="shared" si="126"/>
        <v>0.23914363802004251</v>
      </c>
      <c r="AZ131" s="14"/>
      <c r="BA131" s="27">
        <v>32</v>
      </c>
      <c r="BB131" s="20" t="e" cm="1">
        <f t="array" aca="1" ref="BB131" ca="1">(BA131-INDIRECT(SUBSTITUTE(ADDRESS(1,COLUMN($C$9),4),"1","")&amp;SUMPRODUCT(($B$10:$D$26=INDIRECT(SUBSTITUTE(ADDRESS(1,COLUMN()-1,4),"1","")&amp;ROW()-20))*ROW($B$10:$D$26))))/INDIRECT(SUBSTITUTE(ADDRESS(1,COLUMN($D$9),4),"1","")&amp;SUMPRODUCT(($B$10:$D$26=INDIRECT(SUBSTITUTE(ADDRESS(1,COLUMN()-1,4),"1","")&amp;ROW()-20))*ROW($B$10:$D$26)))*10+50</f>
        <v>#DIV/0!</v>
      </c>
      <c r="BC131" s="8"/>
      <c r="BD131" s="49">
        <v>49</v>
      </c>
      <c r="BE131" s="83">
        <f t="shared" si="131"/>
        <v>5</v>
      </c>
      <c r="BF131" s="15">
        <f>IF(AND(BD131&lt;&gt;"", BG131&lt;&gt;""), ROUND(100*(1-(BI130+BI131)/2/BJ$111), $B$39), "")</f>
        <v>46</v>
      </c>
      <c r="BG131" s="52">
        <v>2445</v>
      </c>
      <c r="BH131" s="16">
        <f t="shared" si="127"/>
        <v>2.075410837973652E-2</v>
      </c>
      <c r="BI131" s="17">
        <f>IF(AND(BD131&lt;&gt;"", BG131&lt;&gt;""), SUM(BG$114:BG131), "")</f>
        <v>65371</v>
      </c>
      <c r="BJ131" s="16">
        <f t="shared" si="128"/>
        <v>0.55489440445470595</v>
      </c>
      <c r="BK131" s="14"/>
    </row>
    <row r="132" spans="1:63" ht="16" customHeight="1" x14ac:dyDescent="0.2">
      <c r="E132" s="1"/>
      <c r="N132"/>
      <c r="O132" s="42"/>
      <c r="P132" s="83" t="str">
        <f t="shared" si="81"/>
        <v/>
      </c>
      <c r="Q132" s="164" t="str">
        <f t="shared" si="79"/>
        <v/>
      </c>
      <c r="R132" s="42"/>
      <c r="S132" s="16" t="str">
        <f t="shared" si="119"/>
        <v/>
      </c>
      <c r="T132" s="17" t="str">
        <f>IF(AND(O132&lt;&gt;"", R132&lt;&gt;""), SUM(R$4:R132), "")</f>
        <v/>
      </c>
      <c r="U132" s="16" t="str">
        <f t="shared" si="120"/>
        <v/>
      </c>
      <c r="W132" s="42"/>
      <c r="X132" s="83" t="str">
        <f t="shared" si="82"/>
        <v/>
      </c>
      <c r="Y132" s="164" t="str">
        <f t="shared" si="80"/>
        <v/>
      </c>
      <c r="Z132" s="42"/>
      <c r="AA132" s="16" t="str">
        <f t="shared" si="121"/>
        <v/>
      </c>
      <c r="AB132" s="17" t="str">
        <f>IF(AND(W132&lt;&gt;"", Z132&lt;&gt;""), SUM(Z$4:Z132), "")</f>
        <v/>
      </c>
      <c r="AC132" s="16" t="str">
        <f t="shared" si="122"/>
        <v/>
      </c>
      <c r="AD132" s="1"/>
      <c r="AE132" s="19">
        <v>31</v>
      </c>
      <c r="AF132" s="20" t="e" cm="1">
        <f t="array" aca="1" ref="AF132" ca="1">(AE132-INDIRECT(SUBSTITUTE(ADDRESS(1,COLUMN($C$9),4),"1","")&amp;SUMPRODUCT(($B$10:$D$26=INDIRECT(SUBSTITUTE(ADDRESS(1,COLUMN()-1,4),"1","")&amp;ROW()-21))*ROW($B$10:$D$26))))/INDIRECT(SUBSTITUTE(ADDRESS(1,COLUMN($D$9),4),"1","")&amp;SUMPRODUCT(($B$10:$D$26=INDIRECT(SUBSTITUTE(ADDRESS(1,COLUMN()-1,4),"1","")&amp;ROW()-21))*ROW($B$10:$D$26)))*10+50</f>
        <v>#DIV/0!</v>
      </c>
      <c r="AG132" s="8"/>
      <c r="AH132" s="49">
        <v>52</v>
      </c>
      <c r="AI132" s="83">
        <f t="shared" si="129"/>
        <v>4</v>
      </c>
      <c r="AJ132" s="15">
        <f>IF(AND(AH132&lt;&gt;"", AK132&lt;&gt;""), ROUND(100*(1-(AM131+AM132)/2/AN$111), $B$39), "")</f>
        <v>62</v>
      </c>
      <c r="AK132" s="52">
        <v>490</v>
      </c>
      <c r="AL132" s="16">
        <f t="shared" si="123"/>
        <v>1.8564121992801667E-2</v>
      </c>
      <c r="AM132" s="17">
        <f>IF(AND(AH132&lt;&gt;"", AK132&lt;&gt;""), SUM(AK$114:AK132), "")</f>
        <v>10331</v>
      </c>
      <c r="AN132" s="16">
        <f t="shared" si="124"/>
        <v>0.39139988634211026</v>
      </c>
      <c r="AO132" s="14"/>
      <c r="AP132" s="27">
        <v>31</v>
      </c>
      <c r="AQ132" s="20" t="e" cm="1">
        <f t="array" aca="1" ref="AQ132" ca="1">(AP132-INDIRECT(SUBSTITUTE(ADDRESS(1,COLUMN($C$9),4),"1","")&amp;SUMPRODUCT(($B$10:$D$26=INDIRECT(SUBSTITUTE(ADDRESS(1,COLUMN()-1,4),"1","")&amp;ROW()-21))*ROW($B$10:$D$26))))/INDIRECT(SUBSTITUTE(ADDRESS(1,COLUMN($D$9),4),"1","")&amp;SUMPRODUCT(($B$10:$D$26=INDIRECT(SUBSTITUTE(ADDRESS(1,COLUMN()-1,4),"1","")&amp;ROW()-21))*ROW($B$10:$D$26)))*10+50</f>
        <v>#DIV/0!</v>
      </c>
      <c r="AR132" s="8"/>
      <c r="AS132" s="49">
        <v>55</v>
      </c>
      <c r="AT132" s="83">
        <f t="shared" si="130"/>
        <v>4</v>
      </c>
      <c r="AU132" s="15">
        <f>IF(AND(AS132&lt;&gt;"", AV132&lt;&gt;""), ROUND(100*(1-(AX131+AX132)/2/AY$111), $B$39), "")</f>
        <v>75</v>
      </c>
      <c r="AV132" s="52">
        <v>93</v>
      </c>
      <c r="AW132" s="16">
        <f t="shared" si="125"/>
        <v>1.4120862435469178E-2</v>
      </c>
      <c r="AX132" s="17">
        <f>IF(AND(AS132&lt;&gt;"", AV132&lt;&gt;""), SUM(AV$114:AV132), "")</f>
        <v>1668</v>
      </c>
      <c r="AY132" s="16">
        <f t="shared" si="126"/>
        <v>0.25326450045551169</v>
      </c>
      <c r="AZ132" s="14"/>
      <c r="BA132" s="27">
        <v>31</v>
      </c>
      <c r="BB132" s="20" t="e" cm="1">
        <f t="array" aca="1" ref="BB132" ca="1">(BA132-INDIRECT(SUBSTITUTE(ADDRESS(1,COLUMN($C$9),4),"1","")&amp;SUMPRODUCT(($B$10:$D$26=INDIRECT(SUBSTITUTE(ADDRESS(1,COLUMN()-1,4),"1","")&amp;ROW()-21))*ROW($B$10:$D$26))))/INDIRECT(SUBSTITUTE(ADDRESS(1,COLUMN($D$9),4),"1","")&amp;SUMPRODUCT(($B$10:$D$26=INDIRECT(SUBSTITUTE(ADDRESS(1,COLUMN()-1,4),"1","")&amp;ROW()-21))*ROW($B$10:$D$26)))*10+50</f>
        <v>#DIV/0!</v>
      </c>
      <c r="BC132" s="8"/>
      <c r="BD132" s="49">
        <v>48</v>
      </c>
      <c r="BE132" s="83">
        <f t="shared" si="131"/>
        <v>5</v>
      </c>
      <c r="BF132" s="15">
        <f>IF(AND(BD132&lt;&gt;"", BG132&lt;&gt;""), ROUND(100*(1-(BI131+BI132)/2/BJ$111), $B$39), "")</f>
        <v>43</v>
      </c>
      <c r="BG132" s="52">
        <v>4604</v>
      </c>
      <c r="BH132" s="16">
        <f t="shared" si="127"/>
        <v>3.9080537824256419E-2</v>
      </c>
      <c r="BI132" s="17">
        <f>IF(AND(BD132&lt;&gt;"", BG132&lt;&gt;""), SUM(BG$114:BG132), "")</f>
        <v>69975</v>
      </c>
      <c r="BJ132" s="16">
        <f t="shared" si="128"/>
        <v>0.59397494227896241</v>
      </c>
      <c r="BK132" s="14"/>
    </row>
    <row r="133" spans="1:63" ht="16" customHeight="1" x14ac:dyDescent="0.2">
      <c r="E133" s="1"/>
      <c r="N133"/>
      <c r="O133" s="42"/>
      <c r="P133" s="83" t="str">
        <f t="shared" si="81"/>
        <v/>
      </c>
      <c r="Q133" s="164" t="str">
        <f t="shared" ref="Q133:Q150" si="132">IF(AND(O133&lt;&gt;"", R133&lt;&gt;""), ROUND(100*(1-(T132+T133)/2/U$1), $B$39), "")</f>
        <v/>
      </c>
      <c r="R133" s="42"/>
      <c r="S133" s="16" t="str">
        <f t="shared" si="119"/>
        <v/>
      </c>
      <c r="T133" s="17" t="str">
        <f>IF(AND(O133&lt;&gt;"", R133&lt;&gt;""), SUM(R$4:R133), "")</f>
        <v/>
      </c>
      <c r="U133" s="16" t="str">
        <f t="shared" si="120"/>
        <v/>
      </c>
      <c r="W133" s="42"/>
      <c r="X133" s="83" t="str">
        <f t="shared" si="82"/>
        <v/>
      </c>
      <c r="Y133" s="164" t="str">
        <f t="shared" ref="Y133:Y150" si="133">IF(AND(W133&lt;&gt;"", Z133&lt;&gt;""), ROUND(100*(1-(AB132+AB133)/2/AC$1), $B$39), "")</f>
        <v/>
      </c>
      <c r="Z133" s="42"/>
      <c r="AA133" s="16" t="str">
        <f t="shared" si="121"/>
        <v/>
      </c>
      <c r="AB133" s="17" t="str">
        <f>IF(AND(W133&lt;&gt;"", Z133&lt;&gt;""), SUM(Z$4:Z133), "")</f>
        <v/>
      </c>
      <c r="AC133" s="16" t="str">
        <f t="shared" si="122"/>
        <v/>
      </c>
      <c r="AD133" s="1"/>
      <c r="AE133" s="19">
        <v>30</v>
      </c>
      <c r="AF133" s="20" t="e" cm="1">
        <f t="array" aca="1" ref="AF133" ca="1">(AE133-INDIRECT(SUBSTITUTE(ADDRESS(1,COLUMN($C$9),4),"1","")&amp;SUMPRODUCT(($B$10:$D$26=INDIRECT(SUBSTITUTE(ADDRESS(1,COLUMN()-1,4),"1","")&amp;ROW()-22))*ROW($B$10:$D$26))))/INDIRECT(SUBSTITUTE(ADDRESS(1,COLUMN($D$9),4),"1","")&amp;SUMPRODUCT(($B$10:$D$26=INDIRECT(SUBSTITUTE(ADDRESS(1,COLUMN()-1,4),"1","")&amp;ROW()-22))*ROW($B$10:$D$26)))*10+50</f>
        <v>#DIV/0!</v>
      </c>
      <c r="AG133" s="8"/>
      <c r="AH133" s="49">
        <v>51</v>
      </c>
      <c r="AI133" s="83">
        <f t="shared" si="129"/>
        <v>4</v>
      </c>
      <c r="AJ133" s="15">
        <f>IF(AND(AH133&lt;&gt;"", AK133&lt;&gt;""), ROUND(100*(1-(AM132+AM133)/2/AN$111), $B$39), "")</f>
        <v>59</v>
      </c>
      <c r="AK133" s="52">
        <v>1168</v>
      </c>
      <c r="AL133" s="16">
        <f t="shared" si="123"/>
        <v>4.4250805076719073E-2</v>
      </c>
      <c r="AM133" s="17">
        <f>IF(AND(AH133&lt;&gt;"", AK133&lt;&gt;""), SUM(AK$114:AK133), "")</f>
        <v>11499</v>
      </c>
      <c r="AN133" s="16">
        <f t="shared" si="124"/>
        <v>0.43565069141882934</v>
      </c>
      <c r="AO133" s="14"/>
      <c r="AP133" s="27">
        <v>30</v>
      </c>
      <c r="AQ133" s="20" t="e" cm="1">
        <f t="array" aca="1" ref="AQ133" ca="1">(AP133-INDIRECT(SUBSTITUTE(ADDRESS(1,COLUMN($C$9),4),"1","")&amp;SUMPRODUCT(($B$10:$D$26=INDIRECT(SUBSTITUTE(ADDRESS(1,COLUMN()-1,4),"1","")&amp;ROW()-22))*ROW($B$10:$D$26))))/INDIRECT(SUBSTITUTE(ADDRESS(1,COLUMN($D$9),4),"1","")&amp;SUMPRODUCT(($B$10:$D$26=INDIRECT(SUBSTITUTE(ADDRESS(1,COLUMN()-1,4),"1","")&amp;ROW()-22))*ROW($B$10:$D$26)))*10+50</f>
        <v>#DIV/0!</v>
      </c>
      <c r="AR133" s="8"/>
      <c r="AS133" s="49">
        <v>54</v>
      </c>
      <c r="AT133" s="83">
        <f t="shared" si="130"/>
        <v>4</v>
      </c>
      <c r="AU133" s="15">
        <f>IF(AND(AS133&lt;&gt;"", AV133&lt;&gt;""), ROUND(100*(1-(AX132+AX133)/2/AY$111), $B$39), "")</f>
        <v>74</v>
      </c>
      <c r="AV133" s="52">
        <v>85</v>
      </c>
      <c r="AW133" s="16">
        <f t="shared" si="125"/>
        <v>1.2906164591557851E-2</v>
      </c>
      <c r="AX133" s="17">
        <f>IF(AND(AS133&lt;&gt;"", AV133&lt;&gt;""), SUM(AV$114:AV133), "")</f>
        <v>1753</v>
      </c>
      <c r="AY133" s="16">
        <f t="shared" si="126"/>
        <v>0.26617066504706954</v>
      </c>
      <c r="AZ133" s="14"/>
      <c r="BA133" s="27">
        <v>30</v>
      </c>
      <c r="BB133" s="20" t="e" cm="1">
        <f t="array" aca="1" ref="BB133" ca="1">(BA133-INDIRECT(SUBSTITUTE(ADDRESS(1,COLUMN($C$9),4),"1","")&amp;SUMPRODUCT(($B$10:$D$26=INDIRECT(SUBSTITUTE(ADDRESS(1,COLUMN()-1,4),"1","")&amp;ROW()-22))*ROW($B$10:$D$26))))/INDIRECT(SUBSTITUTE(ADDRESS(1,COLUMN($D$9),4),"1","")&amp;SUMPRODUCT(($B$10:$D$26=INDIRECT(SUBSTITUTE(ADDRESS(1,COLUMN()-1,4),"1","")&amp;ROW()-22))*ROW($B$10:$D$26)))*10+50</f>
        <v>#DIV/0!</v>
      </c>
      <c r="BC133" s="8"/>
      <c r="BD133" s="49">
        <v>47</v>
      </c>
      <c r="BE133" s="83">
        <f t="shared" si="131"/>
        <v>5</v>
      </c>
      <c r="BF133" s="15">
        <f>IF(AND(BD133&lt;&gt;"", BG133&lt;&gt;""), ROUND(100*(1-(BI132+BI133)/2/BJ$111), $B$39), "")</f>
        <v>40</v>
      </c>
      <c r="BG133" s="52">
        <v>2018</v>
      </c>
      <c r="BH133" s="16">
        <f t="shared" si="127"/>
        <v>1.7129566752682332E-2</v>
      </c>
      <c r="BI133" s="17">
        <f>IF(AND(BD133&lt;&gt;"", BG133&lt;&gt;""), SUM(BG$114:BG133), "")</f>
        <v>71993</v>
      </c>
      <c r="BJ133" s="16">
        <f t="shared" si="128"/>
        <v>0.6111045090316447</v>
      </c>
      <c r="BK133" s="14"/>
    </row>
    <row r="134" spans="1:63" ht="16" customHeight="1" x14ac:dyDescent="0.2">
      <c r="O134" s="42"/>
      <c r="P134" s="83" t="str">
        <f t="shared" si="81"/>
        <v/>
      </c>
      <c r="Q134" s="164" t="str">
        <f t="shared" si="132"/>
        <v/>
      </c>
      <c r="R134" s="42"/>
      <c r="S134" s="16" t="str">
        <f t="shared" si="119"/>
        <v/>
      </c>
      <c r="T134" s="17" t="str">
        <f>IF(AND(O134&lt;&gt;"", R134&lt;&gt;""), SUM(R$4:R134), "")</f>
        <v/>
      </c>
      <c r="U134" s="16" t="str">
        <f t="shared" si="120"/>
        <v/>
      </c>
      <c r="W134" s="42"/>
      <c r="X134" s="83" t="str">
        <f t="shared" si="82"/>
        <v/>
      </c>
      <c r="Y134" s="164" t="str">
        <f t="shared" si="133"/>
        <v/>
      </c>
      <c r="Z134" s="42"/>
      <c r="AA134" s="16" t="str">
        <f t="shared" si="121"/>
        <v/>
      </c>
      <c r="AB134" s="17" t="str">
        <f>IF(AND(W134&lt;&gt;"", Z134&lt;&gt;""), SUM(Z$4:Z134), "")</f>
        <v/>
      </c>
      <c r="AC134" s="16" t="str">
        <f t="shared" si="122"/>
        <v/>
      </c>
      <c r="AD134" s="1"/>
      <c r="AE134" s="19">
        <v>29</v>
      </c>
      <c r="AF134" s="20" t="e" cm="1">
        <f t="array" aca="1" ref="AF134" ca="1">(AE134-INDIRECT(SUBSTITUTE(ADDRESS(1,COLUMN($C$9),4),"1","")&amp;SUMPRODUCT(($B$10:$D$26=INDIRECT(SUBSTITUTE(ADDRESS(1,COLUMN()-1,4),"1","")&amp;ROW()-23))*ROW($B$10:$D$26))))/INDIRECT(SUBSTITUTE(ADDRESS(1,COLUMN($D$9),4),"1","")&amp;SUMPRODUCT(($B$10:$D$26=INDIRECT(SUBSTITUTE(ADDRESS(1,COLUMN()-1,4),"1","")&amp;ROW()-23))*ROW($B$10:$D$26)))*10+50</f>
        <v>#DIV/0!</v>
      </c>
      <c r="AG134" s="8"/>
      <c r="AH134" s="49">
        <v>50</v>
      </c>
      <c r="AI134" s="83">
        <f t="shared" si="129"/>
        <v>5</v>
      </c>
      <c r="AJ134" s="15">
        <f>IF(AND(AH134&lt;&gt;"", AK134&lt;&gt;""), ROUND(100*(1-(AM133+AM134)/2/AN$111), $B$39), "")</f>
        <v>55</v>
      </c>
      <c r="AK134" s="52">
        <v>590</v>
      </c>
      <c r="AL134" s="16">
        <f t="shared" si="123"/>
        <v>2.2352718317863233E-2</v>
      </c>
      <c r="AM134" s="17">
        <f>IF(AND(AH134&lt;&gt;"", AK134&lt;&gt;""), SUM(AK$114:AK134), "")</f>
        <v>12089</v>
      </c>
      <c r="AN134" s="16">
        <f t="shared" si="124"/>
        <v>0.45800340973669257</v>
      </c>
      <c r="AO134" s="14"/>
      <c r="AP134" s="27">
        <v>29</v>
      </c>
      <c r="AQ134" s="20" t="e" cm="1">
        <f t="array" aca="1" ref="AQ134" ca="1">(AP134-INDIRECT(SUBSTITUTE(ADDRESS(1,COLUMN($C$9),4),"1","")&amp;SUMPRODUCT(($B$10:$D$26=INDIRECT(SUBSTITUTE(ADDRESS(1,COLUMN()-1,4),"1","")&amp;ROW()-23))*ROW($B$10:$D$26))))/INDIRECT(SUBSTITUTE(ADDRESS(1,COLUMN($D$9),4),"1","")&amp;SUMPRODUCT(($B$10:$D$26=INDIRECT(SUBSTITUTE(ADDRESS(1,COLUMN()-1,4),"1","")&amp;ROW()-23))*ROW($B$10:$D$26)))*10+50</f>
        <v>#DIV/0!</v>
      </c>
      <c r="AR134" s="8"/>
      <c r="AS134" s="49">
        <v>53</v>
      </c>
      <c r="AT134" s="83">
        <f t="shared" si="130"/>
        <v>4</v>
      </c>
      <c r="AU134" s="15">
        <f>IF(AND(AS134&lt;&gt;"", AV134&lt;&gt;""), ROUND(100*(1-(AX133+AX134)/2/AY$111), $B$39), "")</f>
        <v>73</v>
      </c>
      <c r="AV134" s="52">
        <v>100</v>
      </c>
      <c r="AW134" s="16">
        <f t="shared" si="125"/>
        <v>1.5183723048891588E-2</v>
      </c>
      <c r="AX134" s="17">
        <f>IF(AND(AS134&lt;&gt;"", AV134&lt;&gt;""), SUM(AV$114:AV134), "")</f>
        <v>1853</v>
      </c>
      <c r="AY134" s="16">
        <f t="shared" si="126"/>
        <v>0.28135438809596114</v>
      </c>
      <c r="AZ134" s="14"/>
      <c r="BA134" s="27">
        <v>29</v>
      </c>
      <c r="BB134" s="20" t="e" cm="1">
        <f t="array" aca="1" ref="BB134" ca="1">(BA134-INDIRECT(SUBSTITUTE(ADDRESS(1,COLUMN($C$9),4),"1","")&amp;SUMPRODUCT(($B$10:$D$26=INDIRECT(SUBSTITUTE(ADDRESS(1,COLUMN()-1,4),"1","")&amp;ROW()-23))*ROW($B$10:$D$26))))/INDIRECT(SUBSTITUTE(ADDRESS(1,COLUMN($D$9),4),"1","")&amp;SUMPRODUCT(($B$10:$D$26=INDIRECT(SUBSTITUTE(ADDRESS(1,COLUMN()-1,4),"1","")&amp;ROW()-23))*ROW($B$10:$D$26)))*10+50</f>
        <v>#DIV/0!</v>
      </c>
      <c r="BC134" s="8"/>
      <c r="BD134" s="49">
        <v>46</v>
      </c>
      <c r="BE134" s="83">
        <f t="shared" si="131"/>
        <v>6</v>
      </c>
      <c r="BF134" s="15">
        <f>IF(AND(BD134&lt;&gt;"", BG134&lt;&gt;""), ROUND(100*(1-(BI133+BI134)/2/BJ$111), $B$39), "")</f>
        <v>38</v>
      </c>
      <c r="BG134" s="52">
        <v>2222</v>
      </c>
      <c r="BH134" s="16">
        <f t="shared" si="127"/>
        <v>1.8861197881298385E-2</v>
      </c>
      <c r="BI134" s="17">
        <f>IF(AND(BD134&lt;&gt;"", BG134&lt;&gt;""), SUM(BG$114:BG134), "")</f>
        <v>74215</v>
      </c>
      <c r="BJ134" s="16">
        <f t="shared" si="128"/>
        <v>0.62996570691294307</v>
      </c>
      <c r="BK134" s="14"/>
    </row>
    <row r="135" spans="1:63" ht="16" customHeight="1" x14ac:dyDescent="0.2">
      <c r="O135" s="42"/>
      <c r="P135" s="83" t="str">
        <f t="shared" ref="P135:P150" si="134">IF(AND(O135&lt;&gt;"", R135&lt;&gt;""), IF(U134 &gt; $A$36, $B$37, IF(U134 &gt; $A$35, $B$36, IF(U134 &gt; $A$34, $B$35, IF(U134 &gt; $A$33, $B$34, IF(U134 &gt; $A$32, $B$33,IF(U134 &gt; $A$31, $B$32, IF(U134 &gt; $A$30, $B$31, IF(U134 &gt; $A$29, $B$30, $B$29)))))))), "")</f>
        <v/>
      </c>
      <c r="Q135" s="164" t="str">
        <f t="shared" si="132"/>
        <v/>
      </c>
      <c r="R135" s="42"/>
      <c r="S135" s="16" t="str">
        <f t="shared" si="119"/>
        <v/>
      </c>
      <c r="T135" s="17" t="str">
        <f>IF(AND(O135&lt;&gt;"", R135&lt;&gt;""), SUM(R$4:R135), "")</f>
        <v/>
      </c>
      <c r="U135" s="16" t="str">
        <f t="shared" si="120"/>
        <v/>
      </c>
      <c r="W135" s="40"/>
      <c r="X135" s="83" t="str">
        <f t="shared" ref="X135:X150" si="135">IF(AND(W135&lt;&gt;"", Z135&lt;&gt;""), IF(AC134 &gt; $A$36, $B$37, IF(AC134 &gt; $A$35, $B$36, IF(AC134 &gt; $A$34, $B$35, IF(AC134 &gt; $A$33, $B$34, IF(AC134 &gt; $A$32, $B$33,IF(AC134 &gt; $A$31, $B$32, IF(AC134 &gt; $A$30, $B$31, IF(AC134 &gt; $A$29, $B$30, $B$29)))))))), "")</f>
        <v/>
      </c>
      <c r="Y135" s="164" t="str">
        <f t="shared" si="133"/>
        <v/>
      </c>
      <c r="Z135" s="40"/>
      <c r="AA135" s="16" t="str">
        <f t="shared" si="121"/>
        <v/>
      </c>
      <c r="AB135" s="17" t="str">
        <f>IF(AND(W135&lt;&gt;"", Z135&lt;&gt;""), SUM(Z$4:Z135), "")</f>
        <v/>
      </c>
      <c r="AC135" s="16" t="str">
        <f t="shared" si="122"/>
        <v/>
      </c>
      <c r="AD135" s="1"/>
      <c r="AE135" s="19">
        <v>28</v>
      </c>
      <c r="AF135" s="20" t="e" cm="1">
        <f t="array" aca="1" ref="AF135" ca="1">(AE135-INDIRECT(SUBSTITUTE(ADDRESS(1,COLUMN($C$9),4),"1","")&amp;SUMPRODUCT(($B$10:$D$26=INDIRECT(SUBSTITUTE(ADDRESS(1,COLUMN()-1,4),"1","")&amp;ROW()-24))*ROW($B$10:$D$26))))/INDIRECT(SUBSTITUTE(ADDRESS(1,COLUMN($D$9),4),"1","")&amp;SUMPRODUCT(($B$10:$D$26=INDIRECT(SUBSTITUTE(ADDRESS(1,COLUMN()-1,4),"1","")&amp;ROW()-24))*ROW($B$10:$D$26)))*10+50</f>
        <v>#DIV/0!</v>
      </c>
      <c r="AG135" s="8"/>
      <c r="AH135" s="49">
        <v>49</v>
      </c>
      <c r="AI135" s="83">
        <f t="shared" si="129"/>
        <v>5</v>
      </c>
      <c r="AJ135" s="15">
        <f>IF(AND(AH135&lt;&gt;"", AK135&lt;&gt;""), ROUND(100*(1-(AM134+AM135)/2/AN$111), $B$39), "")</f>
        <v>53</v>
      </c>
      <c r="AK135" s="52">
        <v>608</v>
      </c>
      <c r="AL135" s="16">
        <f t="shared" si="123"/>
        <v>2.3034665656374312E-2</v>
      </c>
      <c r="AM135" s="17">
        <f>IF(AND(AH135&lt;&gt;"", AK135&lt;&gt;""), SUM(AK$114:AK135), "")</f>
        <v>12697</v>
      </c>
      <c r="AN135" s="16">
        <f t="shared" si="124"/>
        <v>0.48103807539306687</v>
      </c>
      <c r="AO135" s="14"/>
      <c r="AP135" s="27">
        <v>28</v>
      </c>
      <c r="AQ135" s="20" t="e" cm="1">
        <f t="array" aca="1" ref="AQ135" ca="1">(AP135-INDIRECT(SUBSTITUTE(ADDRESS(1,COLUMN($C$9),4),"1","")&amp;SUMPRODUCT(($B$10:$D$26=INDIRECT(SUBSTITUTE(ADDRESS(1,COLUMN()-1,4),"1","")&amp;ROW()-24))*ROW($B$10:$D$26))))/INDIRECT(SUBSTITUTE(ADDRESS(1,COLUMN($D$9),4),"1","")&amp;SUMPRODUCT(($B$10:$D$26=INDIRECT(SUBSTITUTE(ADDRESS(1,COLUMN()-1,4),"1","")&amp;ROW()-24))*ROW($B$10:$D$26)))*10+50</f>
        <v>#DIV/0!</v>
      </c>
      <c r="AR135" s="8"/>
      <c r="AS135" s="49">
        <v>52</v>
      </c>
      <c r="AT135" s="83">
        <f t="shared" si="130"/>
        <v>4</v>
      </c>
      <c r="AU135" s="15">
        <f>IF(AND(AS135&lt;&gt;"", AV135&lt;&gt;""), ROUND(100*(1-(AX134+AX135)/2/AY$111), $B$39), "")</f>
        <v>70</v>
      </c>
      <c r="AV135" s="52">
        <v>242</v>
      </c>
      <c r="AW135" s="16">
        <f t="shared" si="125"/>
        <v>3.6744609778317644E-2</v>
      </c>
      <c r="AX135" s="17">
        <f>IF(AND(AS135&lt;&gt;"", AV135&lt;&gt;""), SUM(AV$114:AV135), "")</f>
        <v>2095</v>
      </c>
      <c r="AY135" s="16">
        <f t="shared" si="126"/>
        <v>0.31809899787427875</v>
      </c>
      <c r="AZ135" s="14"/>
      <c r="BA135" s="27">
        <v>28</v>
      </c>
      <c r="BB135" s="20" t="e" cm="1">
        <f t="array" aca="1" ref="BB135" ca="1">(BA135-INDIRECT(SUBSTITUTE(ADDRESS(1,COLUMN($C$9),4),"1","")&amp;SUMPRODUCT(($B$10:$D$26=INDIRECT(SUBSTITUTE(ADDRESS(1,COLUMN()-1,4),"1","")&amp;ROW()-24))*ROW($B$10:$D$26))))/INDIRECT(SUBSTITUTE(ADDRESS(1,COLUMN($D$9),4),"1","")&amp;SUMPRODUCT(($B$10:$D$26=INDIRECT(SUBSTITUTE(ADDRESS(1,COLUMN()-1,4),"1","")&amp;ROW()-24))*ROW($B$10:$D$26)))*10+50</f>
        <v>#DIV/0!</v>
      </c>
      <c r="BC135" s="8"/>
      <c r="BD135" s="49">
        <v>45</v>
      </c>
      <c r="BE135" s="83">
        <f t="shared" si="131"/>
        <v>6</v>
      </c>
      <c r="BF135" s="15">
        <f>IF(AND(BD135&lt;&gt;"", BG135&lt;&gt;""), ROUND(100*(1-(BI134+BI135)/2/BJ$111), $B$39), "")</f>
        <v>35</v>
      </c>
      <c r="BG135" s="52">
        <v>4150</v>
      </c>
      <c r="BH135" s="16">
        <f t="shared" si="127"/>
        <v>3.5226809724297162E-2</v>
      </c>
      <c r="BI135" s="17">
        <f>IF(AND(BD135&lt;&gt;"", BG135&lt;&gt;""), SUM(BG$114:BG135), "")</f>
        <v>78365</v>
      </c>
      <c r="BJ135" s="16">
        <f t="shared" si="128"/>
        <v>0.66519251663724022</v>
      </c>
      <c r="BK135" s="14"/>
    </row>
    <row r="136" spans="1:63" ht="16" customHeight="1" x14ac:dyDescent="0.2">
      <c r="O136" s="42"/>
      <c r="P136" s="83" t="str">
        <f t="shared" si="134"/>
        <v/>
      </c>
      <c r="Q136" s="164" t="str">
        <f t="shared" si="132"/>
        <v/>
      </c>
      <c r="R136" s="42"/>
      <c r="S136" s="16" t="str">
        <f t="shared" si="119"/>
        <v/>
      </c>
      <c r="T136" s="17" t="str">
        <f>IF(AND(O136&lt;&gt;"", R136&lt;&gt;""), SUM(R$4:R136), "")</f>
        <v/>
      </c>
      <c r="U136" s="16" t="str">
        <f t="shared" si="120"/>
        <v/>
      </c>
      <c r="W136" s="41"/>
      <c r="X136" s="83" t="str">
        <f t="shared" si="135"/>
        <v/>
      </c>
      <c r="Y136" s="164" t="str">
        <f t="shared" si="133"/>
        <v/>
      </c>
      <c r="Z136" s="41"/>
      <c r="AA136" s="16" t="str">
        <f t="shared" si="121"/>
        <v/>
      </c>
      <c r="AB136" s="17" t="str">
        <f>IF(AND(W136&lt;&gt;"", Z136&lt;&gt;""), SUM(Z$4:Z136), "")</f>
        <v/>
      </c>
      <c r="AC136" s="16" t="str">
        <f t="shared" si="122"/>
        <v/>
      </c>
      <c r="AD136" s="1"/>
      <c r="AE136" s="19">
        <v>27</v>
      </c>
      <c r="AF136" s="20" t="e" cm="1">
        <f t="array" aca="1" ref="AF136" ca="1">(AE136-INDIRECT(SUBSTITUTE(ADDRESS(1,COLUMN($C$9),4),"1","")&amp;SUMPRODUCT(($B$10:$D$26=INDIRECT(SUBSTITUTE(ADDRESS(1,COLUMN()-1,4),"1","")&amp;ROW()-25))*ROW($B$10:$D$26))))/INDIRECT(SUBSTITUTE(ADDRESS(1,COLUMN($D$9),4),"1","")&amp;SUMPRODUCT(($B$10:$D$26=INDIRECT(SUBSTITUTE(ADDRESS(1,COLUMN()-1,4),"1","")&amp;ROW()-25))*ROW($B$10:$D$26)))*10+50</f>
        <v>#DIV/0!</v>
      </c>
      <c r="AG136" s="8"/>
      <c r="AH136" s="49">
        <v>48</v>
      </c>
      <c r="AI136" s="83">
        <f t="shared" si="129"/>
        <v>5</v>
      </c>
      <c r="AJ136" s="15">
        <f>IF(AND(AH136&lt;&gt;"", AK136&lt;&gt;""), ROUND(100*(1-(AM135+AM136)/2/AN$111), $B$39), "")</f>
        <v>51</v>
      </c>
      <c r="AK136" s="52">
        <v>621</v>
      </c>
      <c r="AL136" s="16">
        <f t="shared" si="123"/>
        <v>2.3527183178632317E-2</v>
      </c>
      <c r="AM136" s="17">
        <f>IF(AND(AH136&lt;&gt;"", AK136&lt;&gt;""), SUM(AK$114:AK136), "")</f>
        <v>13318</v>
      </c>
      <c r="AN136" s="16">
        <f t="shared" si="124"/>
        <v>0.5045652585716992</v>
      </c>
      <c r="AO136" s="14"/>
      <c r="AP136" s="27">
        <v>27</v>
      </c>
      <c r="AQ136" s="20" t="e" cm="1">
        <f t="array" aca="1" ref="AQ136" ca="1">(AP136-INDIRECT(SUBSTITUTE(ADDRESS(1,COLUMN($C$9),4),"1","")&amp;SUMPRODUCT(($B$10:$D$26=INDIRECT(SUBSTITUTE(ADDRESS(1,COLUMN()-1,4),"1","")&amp;ROW()-25))*ROW($B$10:$D$26))))/INDIRECT(SUBSTITUTE(ADDRESS(1,COLUMN($D$9),4),"1","")&amp;SUMPRODUCT(($B$10:$D$26=INDIRECT(SUBSTITUTE(ADDRESS(1,COLUMN()-1,4),"1","")&amp;ROW()-25))*ROW($B$10:$D$26)))*10+50</f>
        <v>#DIV/0!</v>
      </c>
      <c r="AR136" s="8"/>
      <c r="AS136" s="49">
        <v>51</v>
      </c>
      <c r="AT136" s="83">
        <f t="shared" si="130"/>
        <v>4</v>
      </c>
      <c r="AU136" s="15">
        <f>IF(AND(AS136&lt;&gt;"", AV136&lt;&gt;""), ROUND(100*(1-(AX135+AX136)/2/AY$111), $B$39), "")</f>
        <v>67</v>
      </c>
      <c r="AV136" s="52">
        <v>134</v>
      </c>
      <c r="AW136" s="16">
        <f t="shared" si="125"/>
        <v>2.0346188885514729E-2</v>
      </c>
      <c r="AX136" s="17">
        <f>IF(AND(AS136&lt;&gt;"", AV136&lt;&gt;""), SUM(AV$114:AV136), "")</f>
        <v>2229</v>
      </c>
      <c r="AY136" s="16">
        <f t="shared" si="126"/>
        <v>0.33844518675979351</v>
      </c>
      <c r="AZ136" s="14"/>
      <c r="BA136" s="27">
        <v>27</v>
      </c>
      <c r="BB136" s="20" t="e" cm="1">
        <f t="array" aca="1" ref="BB136" ca="1">(BA136-INDIRECT(SUBSTITUTE(ADDRESS(1,COLUMN($C$9),4),"1","")&amp;SUMPRODUCT(($B$10:$D$26=INDIRECT(SUBSTITUTE(ADDRESS(1,COLUMN()-1,4),"1","")&amp;ROW()-25))*ROW($B$10:$D$26))))/INDIRECT(SUBSTITUTE(ADDRESS(1,COLUMN($D$9),4),"1","")&amp;SUMPRODUCT(($B$10:$D$26=INDIRECT(SUBSTITUTE(ADDRESS(1,COLUMN()-1,4),"1","")&amp;ROW()-25))*ROW($B$10:$D$26)))*10+50</f>
        <v>#DIV/0!</v>
      </c>
      <c r="BC136" s="8"/>
      <c r="BD136" s="49">
        <v>44</v>
      </c>
      <c r="BE136" s="83">
        <f t="shared" si="131"/>
        <v>6</v>
      </c>
      <c r="BF136" s="15">
        <f>IF(AND(BD136&lt;&gt;"", BG136&lt;&gt;""), ROUND(100*(1-(BI135+BI136)/2/BJ$111), $B$39), "")</f>
        <v>33</v>
      </c>
      <c r="BG136" s="52">
        <v>2278</v>
      </c>
      <c r="BH136" s="16">
        <f t="shared" si="127"/>
        <v>1.9336547602879259E-2</v>
      </c>
      <c r="BI136" s="17">
        <f>IF(AND(BD136&lt;&gt;"", BG136&lt;&gt;""), SUM(BG$114:BG136), "")</f>
        <v>80643</v>
      </c>
      <c r="BJ136" s="16">
        <f t="shared" si="128"/>
        <v>0.6845290642401195</v>
      </c>
      <c r="BK136" s="14"/>
    </row>
    <row r="137" spans="1:63" ht="16" customHeight="1" x14ac:dyDescent="0.2">
      <c r="O137" s="42"/>
      <c r="P137" s="83" t="str">
        <f t="shared" si="134"/>
        <v/>
      </c>
      <c r="Q137" s="164" t="str">
        <f t="shared" si="132"/>
        <v/>
      </c>
      <c r="R137" s="42"/>
      <c r="S137" s="16" t="str">
        <f t="shared" si="119"/>
        <v/>
      </c>
      <c r="T137" s="17" t="str">
        <f>IF(AND(O137&lt;&gt;"", R137&lt;&gt;""), SUM(R$4:R137), "")</f>
        <v/>
      </c>
      <c r="U137" s="16" t="str">
        <f t="shared" si="120"/>
        <v/>
      </c>
      <c r="W137" s="42"/>
      <c r="X137" s="83" t="str">
        <f t="shared" si="135"/>
        <v/>
      </c>
      <c r="Y137" s="164" t="str">
        <f t="shared" si="133"/>
        <v/>
      </c>
      <c r="Z137" s="42"/>
      <c r="AA137" s="16" t="str">
        <f t="shared" si="121"/>
        <v/>
      </c>
      <c r="AB137" s="17" t="str">
        <f>IF(AND(W137&lt;&gt;"", Z137&lt;&gt;""), SUM(Z$4:Z137), "")</f>
        <v/>
      </c>
      <c r="AC137" s="16" t="str">
        <f t="shared" si="122"/>
        <v/>
      </c>
      <c r="AD137" s="1"/>
      <c r="AE137" s="19">
        <v>26</v>
      </c>
      <c r="AF137" s="20" t="e" cm="1">
        <f t="array" aca="1" ref="AF137" ca="1">(AE137-INDIRECT(SUBSTITUTE(ADDRESS(1,COLUMN($C$9),4),"1","")&amp;SUMPRODUCT(($B$10:$D$26=INDIRECT(SUBSTITUTE(ADDRESS(1,COLUMN()-1,4),"1","")&amp;ROW()-26))*ROW($B$10:$D$26))))/INDIRECT(SUBSTITUTE(ADDRESS(1,COLUMN($D$9),4),"1","")&amp;SUMPRODUCT(($B$10:$D$26=INDIRECT(SUBSTITUTE(ADDRESS(1,COLUMN()-1,4),"1","")&amp;ROW()-26))*ROW($B$10:$D$26)))*10+50</f>
        <v>#DIV/0!</v>
      </c>
      <c r="AG137" s="8"/>
      <c r="AH137" s="49">
        <v>47</v>
      </c>
      <c r="AI137" s="83">
        <f t="shared" si="129"/>
        <v>5</v>
      </c>
      <c r="AJ137" s="15">
        <f>IF(AND(AH137&lt;&gt;"", AK137&lt;&gt;""), ROUND(100*(1-(AM136+AM137)/2/AN$111), $B$39), "")</f>
        <v>47</v>
      </c>
      <c r="AK137" s="52">
        <v>1271</v>
      </c>
      <c r="AL137" s="16">
        <f t="shared" si="123"/>
        <v>4.8153059291532491E-2</v>
      </c>
      <c r="AM137" s="17">
        <f>IF(AND(AH137&lt;&gt;"", AK137&lt;&gt;""), SUM(AK$114:AK137), "")</f>
        <v>14589</v>
      </c>
      <c r="AN137" s="16">
        <f t="shared" si="124"/>
        <v>0.55271831786323167</v>
      </c>
      <c r="AO137" s="14"/>
      <c r="AP137" s="27">
        <v>26</v>
      </c>
      <c r="AQ137" s="20" t="e" cm="1">
        <f t="array" aca="1" ref="AQ137" ca="1">(AP137-INDIRECT(SUBSTITUTE(ADDRESS(1,COLUMN($C$9),4),"1","")&amp;SUMPRODUCT(($B$10:$D$26=INDIRECT(SUBSTITUTE(ADDRESS(1,COLUMN()-1,4),"1","")&amp;ROW()-26))*ROW($B$10:$D$26))))/INDIRECT(SUBSTITUTE(ADDRESS(1,COLUMN($D$9),4),"1","")&amp;SUMPRODUCT(($B$10:$D$26=INDIRECT(SUBSTITUTE(ADDRESS(1,COLUMN()-1,4),"1","")&amp;ROW()-26))*ROW($B$10:$D$26)))*10+50</f>
        <v>#DIV/0!</v>
      </c>
      <c r="AR137" s="8"/>
      <c r="AS137" s="49">
        <v>50</v>
      </c>
      <c r="AT137" s="83">
        <f t="shared" si="130"/>
        <v>4</v>
      </c>
      <c r="AU137" s="15">
        <f>IF(AND(AS137&lt;&gt;"", AV137&lt;&gt;""), ROUND(100*(1-(AX136+AX137)/2/AY$111), $B$39), "")</f>
        <v>65</v>
      </c>
      <c r="AV137" s="52">
        <v>145</v>
      </c>
      <c r="AW137" s="16">
        <f t="shared" si="125"/>
        <v>2.2016398420892803E-2</v>
      </c>
      <c r="AX137" s="17">
        <f>IF(AND(AS137&lt;&gt;"", AV137&lt;&gt;""), SUM(AV$114:AV137), "")</f>
        <v>2374</v>
      </c>
      <c r="AY137" s="16">
        <f t="shared" si="126"/>
        <v>0.36046158518068633</v>
      </c>
      <c r="AZ137" s="14"/>
      <c r="BA137" s="27">
        <v>26</v>
      </c>
      <c r="BB137" s="20" t="e" cm="1">
        <f t="array" aca="1" ref="BB137" ca="1">(BA137-INDIRECT(SUBSTITUTE(ADDRESS(1,COLUMN($C$9),4),"1","")&amp;SUMPRODUCT(($B$10:$D$26=INDIRECT(SUBSTITUTE(ADDRESS(1,COLUMN()-1,4),"1","")&amp;ROW()-26))*ROW($B$10:$D$26))))/INDIRECT(SUBSTITUTE(ADDRESS(1,COLUMN($D$9),4),"1","")&amp;SUMPRODUCT(($B$10:$D$26=INDIRECT(SUBSTITUTE(ADDRESS(1,COLUMN()-1,4),"1","")&amp;ROW()-26))*ROW($B$10:$D$26)))*10+50</f>
        <v>#DIV/0!</v>
      </c>
      <c r="BC137" s="8"/>
      <c r="BD137" s="49">
        <v>43</v>
      </c>
      <c r="BE137" s="83">
        <f t="shared" si="131"/>
        <v>6</v>
      </c>
      <c r="BF137" s="15">
        <f>IF(AND(BD137&lt;&gt;"", BG137&lt;&gt;""), ROUND(100*(1-(BI136+BI137)/2/BJ$111), $B$39), "")</f>
        <v>31</v>
      </c>
      <c r="BG137" s="52">
        <v>1978</v>
      </c>
      <c r="BH137" s="16">
        <f t="shared" si="127"/>
        <v>1.6790031237267418E-2</v>
      </c>
      <c r="BI137" s="17">
        <f>IF(AND(BD137&lt;&gt;"", BG137&lt;&gt;""), SUM(BG$114:BG137), "")</f>
        <v>82621</v>
      </c>
      <c r="BJ137" s="16">
        <f t="shared" si="128"/>
        <v>0.70131909547738691</v>
      </c>
      <c r="BK137" s="14"/>
    </row>
    <row r="138" spans="1:63" ht="16" customHeight="1" x14ac:dyDescent="0.2">
      <c r="O138" s="42"/>
      <c r="P138" s="83" t="str">
        <f t="shared" si="134"/>
        <v/>
      </c>
      <c r="Q138" s="164" t="str">
        <f t="shared" si="132"/>
        <v/>
      </c>
      <c r="R138" s="42"/>
      <c r="S138" s="16" t="str">
        <f t="shared" si="119"/>
        <v/>
      </c>
      <c r="T138" s="17" t="str">
        <f>IF(AND(O138&lt;&gt;"", R138&lt;&gt;""), SUM(R$4:R138), "")</f>
        <v/>
      </c>
      <c r="U138" s="16" t="str">
        <f t="shared" si="120"/>
        <v/>
      </c>
      <c r="W138" s="42"/>
      <c r="X138" s="83" t="str">
        <f t="shared" si="135"/>
        <v/>
      </c>
      <c r="Y138" s="164" t="str">
        <f t="shared" si="133"/>
        <v/>
      </c>
      <c r="Z138" s="42"/>
      <c r="AA138" s="16" t="str">
        <f t="shared" si="121"/>
        <v/>
      </c>
      <c r="AB138" s="17" t="str">
        <f>IF(AND(W138&lt;&gt;"", Z138&lt;&gt;""), SUM(Z$4:Z138), "")</f>
        <v/>
      </c>
      <c r="AC138" s="16" t="str">
        <f t="shared" si="122"/>
        <v/>
      </c>
      <c r="AD138" s="1"/>
      <c r="AE138" s="19">
        <v>25</v>
      </c>
      <c r="AF138" s="20" t="e" cm="1">
        <f t="array" aca="1" ref="AF138" ca="1">(AE138-INDIRECT(SUBSTITUTE(ADDRESS(1,COLUMN($C$9),4),"1","")&amp;SUMPRODUCT(($B$10:$D$26=INDIRECT(SUBSTITUTE(ADDRESS(1,COLUMN()-1,4),"1","")&amp;ROW()-27))*ROW($B$10:$D$26))))/INDIRECT(SUBSTITUTE(ADDRESS(1,COLUMN($D$9),4),"1","")&amp;SUMPRODUCT(($B$10:$D$26=INDIRECT(SUBSTITUTE(ADDRESS(1,COLUMN()-1,4),"1","")&amp;ROW()-27))*ROW($B$10:$D$26)))*10+50</f>
        <v>#DIV/0!</v>
      </c>
      <c r="AG138" s="8"/>
      <c r="AH138" s="49">
        <v>46</v>
      </c>
      <c r="AI138" s="83">
        <f t="shared" si="129"/>
        <v>5</v>
      </c>
      <c r="AJ138" s="15">
        <f>IF(AND(AH138&lt;&gt;"", AK138&lt;&gt;""), ROUND(100*(1-(AM137+AM138)/2/AN$111), $B$39), "")</f>
        <v>44</v>
      </c>
      <c r="AK138" s="52">
        <v>643</v>
      </c>
      <c r="AL138" s="16">
        <f t="shared" si="123"/>
        <v>2.4360674370145861E-2</v>
      </c>
      <c r="AM138" s="17">
        <f>IF(AND(AH138&lt;&gt;"", AK138&lt;&gt;""), SUM(AK$114:AK138), "")</f>
        <v>15232</v>
      </c>
      <c r="AN138" s="16">
        <f t="shared" si="124"/>
        <v>0.57707899223337755</v>
      </c>
      <c r="AO138" s="14"/>
      <c r="AP138" s="27">
        <v>25</v>
      </c>
      <c r="AQ138" s="20" t="e" cm="1">
        <f t="array" aca="1" ref="AQ138" ca="1">(AP138-INDIRECT(SUBSTITUTE(ADDRESS(1,COLUMN($C$9),4),"1","")&amp;SUMPRODUCT(($B$10:$D$26=INDIRECT(SUBSTITUTE(ADDRESS(1,COLUMN()-1,4),"1","")&amp;ROW()-27))*ROW($B$10:$D$26))))/INDIRECT(SUBSTITUTE(ADDRESS(1,COLUMN($D$9),4),"1","")&amp;SUMPRODUCT(($B$10:$D$26=INDIRECT(SUBSTITUTE(ADDRESS(1,COLUMN()-1,4),"1","")&amp;ROW()-27))*ROW($B$10:$D$26)))*10+50</f>
        <v>#DIV/0!</v>
      </c>
      <c r="AR138" s="8"/>
      <c r="AS138" s="49">
        <v>49</v>
      </c>
      <c r="AT138" s="83">
        <f t="shared" si="130"/>
        <v>4</v>
      </c>
      <c r="AU138" s="15">
        <f>IF(AND(AS138&lt;&gt;"", AV138&lt;&gt;""), ROUND(100*(1-(AX137+AX138)/2/AY$111), $B$39), "")</f>
        <v>63</v>
      </c>
      <c r="AV138" s="52">
        <v>164</v>
      </c>
      <c r="AW138" s="16">
        <f t="shared" si="125"/>
        <v>2.4901305800182204E-2</v>
      </c>
      <c r="AX138" s="17">
        <f>IF(AND(AS138&lt;&gt;"", AV138&lt;&gt;""), SUM(AV$114:AV138), "")</f>
        <v>2538</v>
      </c>
      <c r="AY138" s="16">
        <f t="shared" si="126"/>
        <v>0.38536289098086851</v>
      </c>
      <c r="AZ138" s="14"/>
      <c r="BA138" s="27">
        <v>25</v>
      </c>
      <c r="BB138" s="20" t="e" cm="1">
        <f t="array" aca="1" ref="BB138" ca="1">(BA138-INDIRECT(SUBSTITUTE(ADDRESS(1,COLUMN($C$9),4),"1","")&amp;SUMPRODUCT(($B$10:$D$26=INDIRECT(SUBSTITUTE(ADDRESS(1,COLUMN()-1,4),"1","")&amp;ROW()-27))*ROW($B$10:$D$26))))/INDIRECT(SUBSTITUTE(ADDRESS(1,COLUMN($D$9),4),"1","")&amp;SUMPRODUCT(($B$10:$D$26=INDIRECT(SUBSTITUTE(ADDRESS(1,COLUMN()-1,4),"1","")&amp;ROW()-27))*ROW($B$10:$D$26)))*10+50</f>
        <v>#DIV/0!</v>
      </c>
      <c r="BC138" s="8"/>
      <c r="BD138" s="49">
        <v>42</v>
      </c>
      <c r="BE138" s="83">
        <f t="shared" si="131"/>
        <v>6</v>
      </c>
      <c r="BF138" s="15">
        <f>IF(AND(BD138&lt;&gt;"", BG138&lt;&gt;""), ROUND(100*(1-(BI137+BI138)/2/BJ$111), $B$39), "")</f>
        <v>28</v>
      </c>
      <c r="BG138" s="52">
        <v>4233</v>
      </c>
      <c r="BH138" s="16">
        <f t="shared" si="127"/>
        <v>3.5931345918783102E-2</v>
      </c>
      <c r="BI138" s="17">
        <f>IF(AND(BD138&lt;&gt;"", BG138&lt;&gt;""), SUM(BG$114:BG138), "")</f>
        <v>86854</v>
      </c>
      <c r="BJ138" s="16">
        <f t="shared" si="128"/>
        <v>0.73725044139617002</v>
      </c>
      <c r="BK138" s="14"/>
    </row>
    <row r="139" spans="1:63" ht="16" customHeight="1" x14ac:dyDescent="0.2">
      <c r="O139" s="42"/>
      <c r="P139" s="83" t="str">
        <f t="shared" si="134"/>
        <v/>
      </c>
      <c r="Q139" s="164" t="str">
        <f t="shared" si="132"/>
        <v/>
      </c>
      <c r="R139" s="42"/>
      <c r="S139" s="16" t="str">
        <f t="shared" si="119"/>
        <v/>
      </c>
      <c r="T139" s="17" t="str">
        <f>IF(AND(O139&lt;&gt;"", R139&lt;&gt;""), SUM(R$4:R139), "")</f>
        <v/>
      </c>
      <c r="U139" s="16" t="str">
        <f t="shared" si="120"/>
        <v/>
      </c>
      <c r="W139" s="42"/>
      <c r="X139" s="83" t="str">
        <f t="shared" si="135"/>
        <v/>
      </c>
      <c r="Y139" s="164" t="str">
        <f t="shared" si="133"/>
        <v/>
      </c>
      <c r="Z139" s="42"/>
      <c r="AA139" s="16" t="str">
        <f t="shared" si="121"/>
        <v/>
      </c>
      <c r="AB139" s="17" t="str">
        <f>IF(AND(W139&lt;&gt;"", Z139&lt;&gt;""), SUM(Z$4:Z139), "")</f>
        <v/>
      </c>
      <c r="AC139" s="16" t="str">
        <f t="shared" si="122"/>
        <v/>
      </c>
      <c r="AD139" s="1"/>
      <c r="AE139" s="19">
        <v>24</v>
      </c>
      <c r="AF139" s="20" t="e" cm="1">
        <f t="array" aca="1" ref="AF139" ca="1">(AE139-INDIRECT(SUBSTITUTE(ADDRESS(1,COLUMN($C$9),4),"1","")&amp;SUMPRODUCT(($B$10:$D$26=INDIRECT(SUBSTITUTE(ADDRESS(1,COLUMN()-1,4),"1","")&amp;ROW()-28))*ROW($B$10:$D$26))))/INDIRECT(SUBSTITUTE(ADDRESS(1,COLUMN($D$9),4),"1","")&amp;SUMPRODUCT(($B$10:$D$26=INDIRECT(SUBSTITUTE(ADDRESS(1,COLUMN()-1,4),"1","")&amp;ROW()-28))*ROW($B$10:$D$26)))*10+50</f>
        <v>#DIV/0!</v>
      </c>
      <c r="AG139" s="8"/>
      <c r="AH139" s="49">
        <v>45</v>
      </c>
      <c r="AI139" s="83">
        <f t="shared" si="129"/>
        <v>5</v>
      </c>
      <c r="AJ139" s="15">
        <f>IF(AND(AH139&lt;&gt;"", AK139&lt;&gt;""), ROUND(100*(1-(AM138+AM139)/2/AN$111), $B$39), "")</f>
        <v>41</v>
      </c>
      <c r="AK139" s="52">
        <v>633</v>
      </c>
      <c r="AL139" s="16">
        <f t="shared" si="123"/>
        <v>2.3981814737639703E-2</v>
      </c>
      <c r="AM139" s="17">
        <f>IF(AND(AH139&lt;&gt;"", AK139&lt;&gt;""), SUM(AK$114:AK139), "")</f>
        <v>15865</v>
      </c>
      <c r="AN139" s="16">
        <f t="shared" si="124"/>
        <v>0.60106080697101727</v>
      </c>
      <c r="AO139" s="14"/>
      <c r="AP139" s="27">
        <v>24</v>
      </c>
      <c r="AQ139" s="20" t="e" cm="1">
        <f t="array" aca="1" ref="AQ139" ca="1">(AP139-INDIRECT(SUBSTITUTE(ADDRESS(1,COLUMN($C$9),4),"1","")&amp;SUMPRODUCT(($B$10:$D$26=INDIRECT(SUBSTITUTE(ADDRESS(1,COLUMN()-1,4),"1","")&amp;ROW()-28))*ROW($B$10:$D$26))))/INDIRECT(SUBSTITUTE(ADDRESS(1,COLUMN($D$9),4),"1","")&amp;SUMPRODUCT(($B$10:$D$26=INDIRECT(SUBSTITUTE(ADDRESS(1,COLUMN()-1,4),"1","")&amp;ROW()-28))*ROW($B$10:$D$26)))*10+50</f>
        <v>#DIV/0!</v>
      </c>
      <c r="AR139" s="8"/>
      <c r="AS139" s="49">
        <v>48</v>
      </c>
      <c r="AT139" s="83">
        <f t="shared" si="130"/>
        <v>4</v>
      </c>
      <c r="AU139" s="15">
        <f>IF(AND(AS139&lt;&gt;"", AV139&lt;&gt;""), ROUND(100*(1-(AX138+AX139)/2/AY$111), $B$39), "")</f>
        <v>59</v>
      </c>
      <c r="AV139" s="52">
        <v>306</v>
      </c>
      <c r="AW139" s="16">
        <f t="shared" si="125"/>
        <v>4.6462192529608259E-2</v>
      </c>
      <c r="AX139" s="17">
        <f>IF(AND(AS139&lt;&gt;"", AV139&lt;&gt;""), SUM(AV$114:AV139), "")</f>
        <v>2844</v>
      </c>
      <c r="AY139" s="16">
        <f t="shared" si="126"/>
        <v>0.43182508351047677</v>
      </c>
      <c r="AZ139" s="14"/>
      <c r="BA139" s="27">
        <v>24</v>
      </c>
      <c r="BB139" s="20" t="e" cm="1">
        <f t="array" aca="1" ref="BB139" ca="1">(BA139-INDIRECT(SUBSTITUTE(ADDRESS(1,COLUMN($C$9),4),"1","")&amp;SUMPRODUCT(($B$10:$D$26=INDIRECT(SUBSTITUTE(ADDRESS(1,COLUMN()-1,4),"1","")&amp;ROW()-28))*ROW($B$10:$D$26))))/INDIRECT(SUBSTITUTE(ADDRESS(1,COLUMN($D$9),4),"1","")&amp;SUMPRODUCT(($B$10:$D$26=INDIRECT(SUBSTITUTE(ADDRESS(1,COLUMN()-1,4),"1","")&amp;ROW()-28))*ROW($B$10:$D$26)))*10+50</f>
        <v>#DIV/0!</v>
      </c>
      <c r="BC139" s="8"/>
      <c r="BD139" s="49">
        <v>41</v>
      </c>
      <c r="BE139" s="83">
        <f t="shared" si="131"/>
        <v>6</v>
      </c>
      <c r="BF139" s="15">
        <f>IF(AND(BD139&lt;&gt;"", BG139&lt;&gt;""), ROUND(100*(1-(BI138+BI139)/2/BJ$111), $B$39), "")</f>
        <v>25</v>
      </c>
      <c r="BG139" s="52">
        <v>2111</v>
      </c>
      <c r="BH139" s="16">
        <f t="shared" si="127"/>
        <v>1.7918986826022002E-2</v>
      </c>
      <c r="BI139" s="17">
        <f>IF(AND(BD139&lt;&gt;"", BG139&lt;&gt;""), SUM(BG$114:BG139), "")</f>
        <v>88965</v>
      </c>
      <c r="BJ139" s="16">
        <f t="shared" si="128"/>
        <v>0.75516942822219202</v>
      </c>
      <c r="BK139" s="14"/>
    </row>
    <row r="140" spans="1:63" ht="16" customHeight="1" x14ac:dyDescent="0.2">
      <c r="O140" s="42"/>
      <c r="P140" s="83" t="str">
        <f t="shared" si="134"/>
        <v/>
      </c>
      <c r="Q140" s="164" t="str">
        <f t="shared" si="132"/>
        <v/>
      </c>
      <c r="R140" s="42"/>
      <c r="S140" s="16" t="str">
        <f t="shared" si="119"/>
        <v/>
      </c>
      <c r="T140" s="17" t="str">
        <f>IF(AND(O140&lt;&gt;"", R140&lt;&gt;""), SUM(R$4:R140), "")</f>
        <v/>
      </c>
      <c r="U140" s="16" t="str">
        <f t="shared" si="120"/>
        <v/>
      </c>
      <c r="W140" s="42"/>
      <c r="X140" s="83" t="str">
        <f t="shared" si="135"/>
        <v/>
      </c>
      <c r="Y140" s="164" t="str">
        <f t="shared" si="133"/>
        <v/>
      </c>
      <c r="Z140" s="42"/>
      <c r="AA140" s="16" t="str">
        <f t="shared" si="121"/>
        <v/>
      </c>
      <c r="AB140" s="17" t="str">
        <f>IF(AND(W140&lt;&gt;"", Z140&lt;&gt;""), SUM(Z$4:Z140), "")</f>
        <v/>
      </c>
      <c r="AC140" s="16" t="str">
        <f t="shared" si="122"/>
        <v/>
      </c>
      <c r="AD140" s="1"/>
      <c r="AE140" s="19">
        <v>23</v>
      </c>
      <c r="AF140" s="20" t="e" cm="1">
        <f t="array" aca="1" ref="AF140" ca="1">(AE140-INDIRECT(SUBSTITUTE(ADDRESS(1,COLUMN($C$9),4),"1","")&amp;SUMPRODUCT(($B$10:$D$26=INDIRECT(SUBSTITUTE(ADDRESS(1,COLUMN()-1,4),"1","")&amp;ROW()-29))*ROW($B$10:$D$26))))/INDIRECT(SUBSTITUTE(ADDRESS(1,COLUMN($D$9),4),"1","")&amp;SUMPRODUCT(($B$10:$D$26=INDIRECT(SUBSTITUTE(ADDRESS(1,COLUMN()-1,4),"1","")&amp;ROW()-29))*ROW($B$10:$D$26)))*10+50</f>
        <v>#DIV/0!</v>
      </c>
      <c r="AG140" s="8"/>
      <c r="AH140" s="49">
        <v>44</v>
      </c>
      <c r="AI140" s="83">
        <f t="shared" si="129"/>
        <v>6</v>
      </c>
      <c r="AJ140" s="15">
        <f>IF(AND(AH140&lt;&gt;"", AK140&lt;&gt;""), ROUND(100*(1-(AM139+AM140)/2/AN$111), $B$39), "")</f>
        <v>37</v>
      </c>
      <c r="AK140" s="52">
        <v>1332</v>
      </c>
      <c r="AL140" s="16">
        <f t="shared" si="123"/>
        <v>5.046410304982004E-2</v>
      </c>
      <c r="AM140" s="17">
        <f>IF(AND(AH140&lt;&gt;"", AK140&lt;&gt;""), SUM(AK$114:AK140), "")</f>
        <v>17197</v>
      </c>
      <c r="AN140" s="16">
        <f t="shared" si="124"/>
        <v>0.65152491002083723</v>
      </c>
      <c r="AO140" s="14"/>
      <c r="AP140" s="27">
        <v>23</v>
      </c>
      <c r="AQ140" s="20" t="e" cm="1">
        <f t="array" aca="1" ref="AQ140" ca="1">(AP140-INDIRECT(SUBSTITUTE(ADDRESS(1,COLUMN($C$9),4),"1","")&amp;SUMPRODUCT(($B$10:$D$26=INDIRECT(SUBSTITUTE(ADDRESS(1,COLUMN()-1,4),"1","")&amp;ROW()-29))*ROW($B$10:$D$26))))/INDIRECT(SUBSTITUTE(ADDRESS(1,COLUMN($D$9),4),"1","")&amp;SUMPRODUCT(($B$10:$D$26=INDIRECT(SUBSTITUTE(ADDRESS(1,COLUMN()-1,4),"1","")&amp;ROW()-29))*ROW($B$10:$D$26)))*10+50</f>
        <v>#DIV/0!</v>
      </c>
      <c r="AR140" s="8"/>
      <c r="AS140" s="49">
        <v>47</v>
      </c>
      <c r="AT140" s="83">
        <f t="shared" si="130"/>
        <v>5</v>
      </c>
      <c r="AU140" s="15">
        <f>IF(AND(AS140&lt;&gt;"", AV140&lt;&gt;""), ROUND(100*(1-(AX139+AX140)/2/AY$111), $B$39), "")</f>
        <v>55</v>
      </c>
      <c r="AV140" s="52">
        <v>177</v>
      </c>
      <c r="AW140" s="16">
        <f t="shared" si="125"/>
        <v>2.687518979653811E-2</v>
      </c>
      <c r="AX140" s="17">
        <f>IF(AND(AS140&lt;&gt;"", AV140&lt;&gt;""), SUM(AV$114:AV140), "")</f>
        <v>3021</v>
      </c>
      <c r="AY140" s="16">
        <f t="shared" si="126"/>
        <v>0.45870027330701491</v>
      </c>
      <c r="AZ140" s="14"/>
      <c r="BA140" s="27">
        <v>23</v>
      </c>
      <c r="BB140" s="20" t="e" cm="1">
        <f t="array" aca="1" ref="BB140" ca="1">(BA140-INDIRECT(SUBSTITUTE(ADDRESS(1,COLUMN($C$9),4),"1","")&amp;SUMPRODUCT(($B$10:$D$26=INDIRECT(SUBSTITUTE(ADDRESS(1,COLUMN()-1,4),"1","")&amp;ROW()-29))*ROW($B$10:$D$26))))/INDIRECT(SUBSTITUTE(ADDRESS(1,COLUMN($D$9),4),"1","")&amp;SUMPRODUCT(($B$10:$D$26=INDIRECT(SUBSTITUTE(ADDRESS(1,COLUMN()-1,4),"1","")&amp;ROW()-29))*ROW($B$10:$D$26)))*10+50</f>
        <v>#DIV/0!</v>
      </c>
      <c r="BC140" s="8"/>
      <c r="BD140" s="49">
        <v>40</v>
      </c>
      <c r="BE140" s="83">
        <f t="shared" si="131"/>
        <v>6</v>
      </c>
      <c r="BF140" s="15">
        <f>IF(AND(BD140&lt;&gt;"", BG140&lt;&gt;""), ROUND(100*(1-(BI139+BI140)/2/BJ$111), $B$39), "")</f>
        <v>23</v>
      </c>
      <c r="BG140" s="52">
        <v>2376</v>
      </c>
      <c r="BH140" s="16">
        <f t="shared" si="127"/>
        <v>2.0168409615645796E-2</v>
      </c>
      <c r="BI140" s="17">
        <f>IF(AND(BD140&lt;&gt;"", BG140&lt;&gt;""), SUM(BG$114:BG140), "")</f>
        <v>91341</v>
      </c>
      <c r="BJ140" s="16">
        <f t="shared" si="128"/>
        <v>0.77533783783783783</v>
      </c>
      <c r="BK140" s="14"/>
    </row>
    <row r="141" spans="1:63" ht="16" customHeight="1" x14ac:dyDescent="0.2">
      <c r="O141" s="42"/>
      <c r="P141" s="83" t="str">
        <f t="shared" si="134"/>
        <v/>
      </c>
      <c r="Q141" s="164" t="str">
        <f t="shared" si="132"/>
        <v/>
      </c>
      <c r="R141" s="42"/>
      <c r="S141" s="16" t="str">
        <f t="shared" si="119"/>
        <v/>
      </c>
      <c r="T141" s="17" t="str">
        <f>IF(AND(O141&lt;&gt;"", R141&lt;&gt;""), SUM(R$4:R141), "")</f>
        <v/>
      </c>
      <c r="U141" s="16" t="str">
        <f t="shared" si="120"/>
        <v/>
      </c>
      <c r="W141" s="42"/>
      <c r="X141" s="83" t="str">
        <f t="shared" si="135"/>
        <v/>
      </c>
      <c r="Y141" s="164" t="str">
        <f t="shared" si="133"/>
        <v/>
      </c>
      <c r="Z141" s="42"/>
      <c r="AA141" s="16" t="str">
        <f t="shared" si="121"/>
        <v/>
      </c>
      <c r="AB141" s="17" t="str">
        <f>IF(AND(W141&lt;&gt;"", Z141&lt;&gt;""), SUM(Z$4:Z141), "")</f>
        <v/>
      </c>
      <c r="AC141" s="16" t="str">
        <f t="shared" si="122"/>
        <v/>
      </c>
      <c r="AD141" s="1"/>
      <c r="AE141" s="19">
        <v>22</v>
      </c>
      <c r="AF141" s="20" t="e" cm="1">
        <f t="array" aca="1" ref="AF141" ca="1">(AE141-INDIRECT(SUBSTITUTE(ADDRESS(1,COLUMN($C$9),4),"1","")&amp;SUMPRODUCT(($B$10:$D$26=INDIRECT(SUBSTITUTE(ADDRESS(1,COLUMN()-1,4),"1","")&amp;ROW()-30))*ROW($B$10:$D$26))))/INDIRECT(SUBSTITUTE(ADDRESS(1,COLUMN($D$9),4),"1","")&amp;SUMPRODUCT(($B$10:$D$26=INDIRECT(SUBSTITUTE(ADDRESS(1,COLUMN()-1,4),"1","")&amp;ROW()-30))*ROW($B$10:$D$26)))*10+50</f>
        <v>#DIV/0!</v>
      </c>
      <c r="AG141" s="8"/>
      <c r="AH141" s="49">
        <v>43</v>
      </c>
      <c r="AI141" s="83">
        <f t="shared" si="129"/>
        <v>6</v>
      </c>
      <c r="AJ141" s="15">
        <f>IF(AND(AH141&lt;&gt;"", AK141&lt;&gt;""), ROUND(100*(1-(AM140+AM141)/2/AN$111), $B$39), "")</f>
        <v>33</v>
      </c>
      <c r="AK141" s="52">
        <v>762</v>
      </c>
      <c r="AL141" s="16">
        <f t="shared" si="123"/>
        <v>2.8869103996969122E-2</v>
      </c>
      <c r="AM141" s="17">
        <f>IF(AND(AH141&lt;&gt;"", AK141&lt;&gt;""), SUM(AK$114:AK141), "")</f>
        <v>17959</v>
      </c>
      <c r="AN141" s="16">
        <f t="shared" si="124"/>
        <v>0.68039401401780641</v>
      </c>
      <c r="AO141" s="14"/>
      <c r="AP141" s="27">
        <v>22</v>
      </c>
      <c r="AQ141" s="20" t="e" cm="1">
        <f t="array" aca="1" ref="AQ141" ca="1">(AP141-INDIRECT(SUBSTITUTE(ADDRESS(1,COLUMN($C$9),4),"1","")&amp;SUMPRODUCT(($B$10:$D$26=INDIRECT(SUBSTITUTE(ADDRESS(1,COLUMN()-1,4),"1","")&amp;ROW()-30))*ROW($B$10:$D$26))))/INDIRECT(SUBSTITUTE(ADDRESS(1,COLUMN($D$9),4),"1","")&amp;SUMPRODUCT(($B$10:$D$26=INDIRECT(SUBSTITUTE(ADDRESS(1,COLUMN()-1,4),"1","")&amp;ROW()-30))*ROW($B$10:$D$26)))*10+50</f>
        <v>#DIV/0!</v>
      </c>
      <c r="AR141" s="8"/>
      <c r="AS141" s="49">
        <v>46</v>
      </c>
      <c r="AT141" s="83">
        <f t="shared" si="130"/>
        <v>5</v>
      </c>
      <c r="AU141" s="15">
        <f>IF(AND(AS141&lt;&gt;"", AV141&lt;&gt;""), ROUND(100*(1-(AX140+AX141)/2/AY$111), $B$39), "")</f>
        <v>53</v>
      </c>
      <c r="AV141" s="52">
        <v>186</v>
      </c>
      <c r="AW141" s="16">
        <f t="shared" si="125"/>
        <v>2.8241724870938355E-2</v>
      </c>
      <c r="AX141" s="17">
        <f>IF(AND(AS141&lt;&gt;"", AV141&lt;&gt;""), SUM(AV$114:AV141), "")</f>
        <v>3207</v>
      </c>
      <c r="AY141" s="16">
        <f t="shared" si="126"/>
        <v>0.48694199817795325</v>
      </c>
      <c r="AZ141" s="14"/>
      <c r="BA141" s="27">
        <v>22</v>
      </c>
      <c r="BB141" s="20" t="e" cm="1">
        <f t="array" aca="1" ref="BB141" ca="1">(BA141-INDIRECT(SUBSTITUTE(ADDRESS(1,COLUMN($C$9),4),"1","")&amp;SUMPRODUCT(($B$10:$D$26=INDIRECT(SUBSTITUTE(ADDRESS(1,COLUMN()-1,4),"1","")&amp;ROW()-30))*ROW($B$10:$D$26))))/INDIRECT(SUBSTITUTE(ADDRESS(1,COLUMN($D$9),4),"1","")&amp;SUMPRODUCT(($B$10:$D$26=INDIRECT(SUBSTITUTE(ADDRESS(1,COLUMN()-1,4),"1","")&amp;ROW()-30))*ROW($B$10:$D$26)))*10+50</f>
        <v>#DIV/0!</v>
      </c>
      <c r="BC141" s="8"/>
      <c r="BD141" s="49">
        <v>39</v>
      </c>
      <c r="BE141" s="83">
        <f t="shared" si="131"/>
        <v>7</v>
      </c>
      <c r="BF141" s="15">
        <f>IF(AND(BD141&lt;&gt;"", BG141&lt;&gt;""), ROUND(100*(1-(BI140+BI141)/2/BJ$111), $B$39), "")</f>
        <v>22</v>
      </c>
      <c r="BG141" s="52">
        <v>1974</v>
      </c>
      <c r="BH141" s="16">
        <f t="shared" si="127"/>
        <v>1.6756077685725929E-2</v>
      </c>
      <c r="BI141" s="17">
        <f>IF(AND(BD141&lt;&gt;"", BG141&lt;&gt;""), SUM(BG$114:BG141), "")</f>
        <v>93315</v>
      </c>
      <c r="BJ141" s="16">
        <f t="shared" si="128"/>
        <v>0.79209391552356379</v>
      </c>
      <c r="BK141" s="14"/>
    </row>
    <row r="142" spans="1:63" ht="16" customHeight="1" x14ac:dyDescent="0.2">
      <c r="A142" s="1"/>
      <c r="B142" s="1"/>
      <c r="C142" s="1"/>
      <c r="O142" s="42"/>
      <c r="P142" s="83" t="str">
        <f t="shared" si="134"/>
        <v/>
      </c>
      <c r="Q142" s="164" t="str">
        <f t="shared" si="132"/>
        <v/>
      </c>
      <c r="R142" s="42"/>
      <c r="S142" s="16" t="str">
        <f t="shared" si="119"/>
        <v/>
      </c>
      <c r="T142" s="17" t="str">
        <f>IF(AND(O142&lt;&gt;"", R142&lt;&gt;""), SUM(R$4:R142), "")</f>
        <v/>
      </c>
      <c r="U142" s="16" t="str">
        <f t="shared" si="120"/>
        <v/>
      </c>
      <c r="W142" s="42"/>
      <c r="X142" s="83" t="str">
        <f t="shared" si="135"/>
        <v/>
      </c>
      <c r="Y142" s="164" t="str">
        <f t="shared" si="133"/>
        <v/>
      </c>
      <c r="Z142" s="42"/>
      <c r="AA142" s="16" t="str">
        <f t="shared" si="121"/>
        <v/>
      </c>
      <c r="AB142" s="17" t="str">
        <f>IF(AND(W142&lt;&gt;"", Z142&lt;&gt;""), SUM(Z$4:Z142), "")</f>
        <v/>
      </c>
      <c r="AC142" s="16" t="str">
        <f t="shared" si="122"/>
        <v/>
      </c>
      <c r="AD142" s="1"/>
      <c r="AE142" s="19">
        <v>21</v>
      </c>
      <c r="AF142" s="20" t="e" cm="1">
        <f t="array" aca="1" ref="AF142" ca="1">(AE142-INDIRECT(SUBSTITUTE(ADDRESS(1,COLUMN($C$9),4),"1","")&amp;SUMPRODUCT(($B$10:$D$26=INDIRECT(SUBSTITUTE(ADDRESS(1,COLUMN()-1,4),"1","")&amp;ROW()-31))*ROW($B$10:$D$26))))/INDIRECT(SUBSTITUTE(ADDRESS(1,COLUMN($D$9),4),"1","")&amp;SUMPRODUCT(($B$10:$D$26=INDIRECT(SUBSTITUTE(ADDRESS(1,COLUMN()-1,4),"1","")&amp;ROW()-31))*ROW($B$10:$D$26)))*10+50</f>
        <v>#DIV/0!</v>
      </c>
      <c r="AG142" s="8"/>
      <c r="AH142" s="49">
        <v>42</v>
      </c>
      <c r="AI142" s="83">
        <f t="shared" si="129"/>
        <v>6</v>
      </c>
      <c r="AJ142" s="15">
        <f>IF(AND(AH142&lt;&gt;"", AK142&lt;&gt;""), ROUND(100*(1-(AM141+AM142)/2/AN$111), $B$39), "")</f>
        <v>31</v>
      </c>
      <c r="AK142" s="52">
        <v>689</v>
      </c>
      <c r="AL142" s="16">
        <f t="shared" si="123"/>
        <v>2.6103428679674179E-2</v>
      </c>
      <c r="AM142" s="17">
        <f>IF(AND(AH142&lt;&gt;"", AK142&lt;&gt;""), SUM(AK$114:AK142), "")</f>
        <v>18648</v>
      </c>
      <c r="AN142" s="16">
        <f t="shared" si="124"/>
        <v>0.7064974426974806</v>
      </c>
      <c r="AO142" s="14"/>
      <c r="AP142" s="27">
        <v>21</v>
      </c>
      <c r="AQ142" s="20" t="e" cm="1">
        <f t="array" aca="1" ref="AQ142" ca="1">(AP142-INDIRECT(SUBSTITUTE(ADDRESS(1,COLUMN($C$9),4),"1","")&amp;SUMPRODUCT(($B$10:$D$26=INDIRECT(SUBSTITUTE(ADDRESS(1,COLUMN()-1,4),"1","")&amp;ROW()-31))*ROW($B$10:$D$26))))/INDIRECT(SUBSTITUTE(ADDRESS(1,COLUMN($D$9),4),"1","")&amp;SUMPRODUCT(($B$10:$D$26=INDIRECT(SUBSTITUTE(ADDRESS(1,COLUMN()-1,4),"1","")&amp;ROW()-31))*ROW($B$10:$D$26)))*10+50</f>
        <v>#DIV/0!</v>
      </c>
      <c r="AR142" s="8"/>
      <c r="AS142" s="49">
        <v>45</v>
      </c>
      <c r="AT142" s="83">
        <f t="shared" si="130"/>
        <v>5</v>
      </c>
      <c r="AU142" s="15">
        <f>IF(AND(AS142&lt;&gt;"", AV142&lt;&gt;""), ROUND(100*(1-(AX141+AX142)/2/AY$111), $B$39), "")</f>
        <v>50</v>
      </c>
      <c r="AV142" s="52">
        <v>188</v>
      </c>
      <c r="AW142" s="16">
        <f t="shared" si="125"/>
        <v>2.8545399331916185E-2</v>
      </c>
      <c r="AX142" s="17">
        <f>IF(AND(AS142&lt;&gt;"", AV142&lt;&gt;""), SUM(AV$114:AV142), "")</f>
        <v>3395</v>
      </c>
      <c r="AY142" s="16">
        <f t="shared" si="126"/>
        <v>0.51548739750986938</v>
      </c>
      <c r="AZ142" s="14"/>
      <c r="BA142" s="27">
        <v>21</v>
      </c>
      <c r="BB142" s="20" t="e" cm="1">
        <f t="array" aca="1" ref="BB142" ca="1">(BA142-INDIRECT(SUBSTITUTE(ADDRESS(1,COLUMN($C$9),4),"1","")&amp;SUMPRODUCT(($B$10:$D$26=INDIRECT(SUBSTITUTE(ADDRESS(1,COLUMN()-1,4),"1","")&amp;ROW()-31))*ROW($B$10:$D$26))))/INDIRECT(SUBSTITUTE(ADDRESS(1,COLUMN($D$9),4),"1","")&amp;SUMPRODUCT(($B$10:$D$26=INDIRECT(SUBSTITUTE(ADDRESS(1,COLUMN()-1,4),"1","")&amp;ROW()-31))*ROW($B$10:$D$26)))*10+50</f>
        <v>#DIV/0!</v>
      </c>
      <c r="BC142" s="8"/>
      <c r="BD142" s="49">
        <v>38</v>
      </c>
      <c r="BE142" s="83">
        <f t="shared" si="131"/>
        <v>7</v>
      </c>
      <c r="BF142" s="15">
        <f>IF(AND(BD142&lt;&gt;"", BG142&lt;&gt;""), ROUND(100*(1-(BI141+BI142)/2/BJ$111), $B$39), "")</f>
        <v>18</v>
      </c>
      <c r="BG142" s="52">
        <v>5652</v>
      </c>
      <c r="BH142" s="16">
        <f t="shared" si="127"/>
        <v>4.7976368328127121E-2</v>
      </c>
      <c r="BI142" s="17">
        <f>IF(AND(BD142&lt;&gt;"", BG142&lt;&gt;""), SUM(BG$114:BG142), "")</f>
        <v>98967</v>
      </c>
      <c r="BJ142" s="16">
        <f t="shared" si="128"/>
        <v>0.84007028385169091</v>
      </c>
      <c r="BK142" s="14"/>
    </row>
    <row r="143" spans="1:63" ht="16" customHeight="1" x14ac:dyDescent="0.2">
      <c r="A143" s="1"/>
      <c r="B143" s="1"/>
      <c r="C143" s="1"/>
      <c r="O143" s="42"/>
      <c r="P143" s="83" t="str">
        <f t="shared" si="134"/>
        <v/>
      </c>
      <c r="Q143" s="164" t="str">
        <f t="shared" si="132"/>
        <v/>
      </c>
      <c r="R143" s="42"/>
      <c r="S143" s="16" t="str">
        <f t="shared" si="119"/>
        <v/>
      </c>
      <c r="T143" s="17" t="str">
        <f>IF(AND(O143&lt;&gt;"", R143&lt;&gt;""), SUM(R$4:R143), "")</f>
        <v/>
      </c>
      <c r="U143" s="16" t="str">
        <f t="shared" si="120"/>
        <v/>
      </c>
      <c r="W143" s="42"/>
      <c r="X143" s="83" t="str">
        <f t="shared" si="135"/>
        <v/>
      </c>
      <c r="Y143" s="164" t="str">
        <f t="shared" si="133"/>
        <v/>
      </c>
      <c r="Z143" s="42"/>
      <c r="AA143" s="16" t="str">
        <f t="shared" ref="AA143:AA147" si="136">IF(AND(W143&lt;&gt;"", Z143&lt;&gt;""), Z143/AC$1, "")</f>
        <v/>
      </c>
      <c r="AB143" s="17" t="str">
        <f>IF(AND(W143&lt;&gt;"", Z143&lt;&gt;""), SUM(Z$4:Z143), "")</f>
        <v/>
      </c>
      <c r="AC143" s="16" t="str">
        <f t="shared" ref="AC143:AC147" si="137">IF(AND(W143&lt;&gt;"", Z143&lt;&gt;""), AB143/AC$1, "")</f>
        <v/>
      </c>
      <c r="AD143" s="1"/>
      <c r="AE143" s="19">
        <v>20</v>
      </c>
      <c r="AF143" s="20" t="e" cm="1">
        <f t="array" aca="1" ref="AF143" ca="1">(AE143-INDIRECT(SUBSTITUTE(ADDRESS(1,COLUMN($C$9),4),"1","")&amp;SUMPRODUCT(($B$10:$D$26=INDIRECT(SUBSTITUTE(ADDRESS(1,COLUMN()-1,4),"1","")&amp;ROW()-32))*ROW($B$10:$D$26))))/INDIRECT(SUBSTITUTE(ADDRESS(1,COLUMN($D$9),4),"1","")&amp;SUMPRODUCT(($B$10:$D$26=INDIRECT(SUBSTITUTE(ADDRESS(1,COLUMN()-1,4),"1","")&amp;ROW()-32))*ROW($B$10:$D$26)))*10+50</f>
        <v>#DIV/0!</v>
      </c>
      <c r="AG143" s="8"/>
      <c r="AH143" s="49">
        <v>41</v>
      </c>
      <c r="AI143" s="83">
        <f t="shared" si="129"/>
        <v>6</v>
      </c>
      <c r="AJ143" s="15">
        <f>IF(AND(AH143&lt;&gt;"", AK143&lt;&gt;""), ROUND(100*(1-(AM142+AM143)/2/AN$111), $B$39), "")</f>
        <v>28</v>
      </c>
      <c r="AK143" s="52">
        <v>848</v>
      </c>
      <c r="AL143" s="16">
        <f t="shared" si="123"/>
        <v>3.2127296836522067E-2</v>
      </c>
      <c r="AM143" s="17">
        <f>IF(AND(AH143&lt;&gt;"", AK143&lt;&gt;""), SUM(AK$114:AK143), "")</f>
        <v>19496</v>
      </c>
      <c r="AN143" s="16">
        <f t="shared" si="124"/>
        <v>0.73862473953400265</v>
      </c>
      <c r="AO143" s="14"/>
      <c r="AP143" s="27">
        <v>20</v>
      </c>
      <c r="AQ143" s="20" t="e" cm="1">
        <f t="array" aca="1" ref="AQ143" ca="1">(AP143-INDIRECT(SUBSTITUTE(ADDRESS(1,COLUMN($C$9),4),"1","")&amp;SUMPRODUCT(($B$10:$D$26=INDIRECT(SUBSTITUTE(ADDRESS(1,COLUMN()-1,4),"1","")&amp;ROW()-32))*ROW($B$10:$D$26))))/INDIRECT(SUBSTITUTE(ADDRESS(1,COLUMN($D$9),4),"1","")&amp;SUMPRODUCT(($B$10:$D$26=INDIRECT(SUBSTITUTE(ADDRESS(1,COLUMN()-1,4),"1","")&amp;ROW()-32))*ROW($B$10:$D$26)))*10+50</f>
        <v>#DIV/0!</v>
      </c>
      <c r="AR143" s="8"/>
      <c r="AS143" s="49">
        <v>44</v>
      </c>
      <c r="AT143" s="83">
        <f t="shared" si="130"/>
        <v>5</v>
      </c>
      <c r="AU143" s="15">
        <f>IF(AND(AS143&lt;&gt;"", AV143&lt;&gt;""), ROUND(100*(1-(AX142+AX143)/2/AY$111), $B$39), "")</f>
        <v>45</v>
      </c>
      <c r="AV143" s="52">
        <v>502</v>
      </c>
      <c r="AW143" s="16">
        <f t="shared" si="125"/>
        <v>7.6222289705435778E-2</v>
      </c>
      <c r="AX143" s="17">
        <f>IF(AND(AS143&lt;&gt;"", AV143&lt;&gt;""), SUM(AV$114:AV143), "")</f>
        <v>3897</v>
      </c>
      <c r="AY143" s="16">
        <f t="shared" si="126"/>
        <v>0.59170968721530515</v>
      </c>
      <c r="AZ143" s="14"/>
      <c r="BA143" s="27">
        <v>20</v>
      </c>
      <c r="BB143" s="20" t="e" cm="1">
        <f t="array" aca="1" ref="BB143" ca="1">(BA143-INDIRECT(SUBSTITUTE(ADDRESS(1,COLUMN($C$9),4),"1","")&amp;SUMPRODUCT(($B$10:$D$26=INDIRECT(SUBSTITUTE(ADDRESS(1,COLUMN()-1,4),"1","")&amp;ROW()-32))*ROW($B$10:$D$26))))/INDIRECT(SUBSTITUTE(ADDRESS(1,COLUMN($D$9),4),"1","")&amp;SUMPRODUCT(($B$10:$D$26=INDIRECT(SUBSTITUTE(ADDRESS(1,COLUMN()-1,4),"1","")&amp;ROW()-32))*ROW($B$10:$D$26)))*10+50</f>
        <v>#DIV/0!</v>
      </c>
      <c r="BC143" s="8"/>
      <c r="BD143" s="49">
        <v>37</v>
      </c>
      <c r="BE143" s="83">
        <f t="shared" si="131"/>
        <v>7</v>
      </c>
      <c r="BF143" s="15">
        <f>IF(AND(BD143&lt;&gt;"", BG143&lt;&gt;""), ROUND(100*(1-(BI142+BI143)/2/BJ$111), $B$39), "")</f>
        <v>15</v>
      </c>
      <c r="BG143" s="52">
        <v>2002</v>
      </c>
      <c r="BH143" s="16">
        <f t="shared" si="127"/>
        <v>1.6993752546516364E-2</v>
      </c>
      <c r="BI143" s="17">
        <f>IF(AND(BD143&lt;&gt;"", BG143&lt;&gt;""), SUM(BG$114:BG143), "")</f>
        <v>100969</v>
      </c>
      <c r="BJ143" s="16">
        <f t="shared" si="128"/>
        <v>0.85706403639820727</v>
      </c>
      <c r="BK143" s="14"/>
    </row>
    <row r="144" spans="1:63" ht="16" customHeight="1" x14ac:dyDescent="0.2">
      <c r="A144" s="1"/>
      <c r="B144" s="1"/>
      <c r="C144" s="1"/>
      <c r="O144" s="42"/>
      <c r="P144" s="83" t="str">
        <f t="shared" si="134"/>
        <v/>
      </c>
      <c r="Q144" s="164" t="str">
        <f t="shared" si="132"/>
        <v/>
      </c>
      <c r="R144" s="42"/>
      <c r="S144" s="16" t="str">
        <f t="shared" si="119"/>
        <v/>
      </c>
      <c r="T144" s="17" t="str">
        <f>IF(AND(O144&lt;&gt;"", R144&lt;&gt;""), SUM(R$4:R144), "")</f>
        <v/>
      </c>
      <c r="U144" s="16" t="str">
        <f t="shared" si="120"/>
        <v/>
      </c>
      <c r="W144" s="42"/>
      <c r="X144" s="83" t="str">
        <f t="shared" si="135"/>
        <v/>
      </c>
      <c r="Y144" s="164" t="str">
        <f t="shared" si="133"/>
        <v/>
      </c>
      <c r="Z144" s="42"/>
      <c r="AA144" s="16" t="str">
        <f t="shared" si="136"/>
        <v/>
      </c>
      <c r="AB144" s="17" t="str">
        <f>IF(AND(W144&lt;&gt;"", Z144&lt;&gt;""), SUM(Z$4:Z144), "")</f>
        <v/>
      </c>
      <c r="AC144" s="16" t="str">
        <f t="shared" si="137"/>
        <v/>
      </c>
      <c r="AD144" s="1"/>
      <c r="AE144" s="19">
        <v>19</v>
      </c>
      <c r="AF144" s="20" t="e" cm="1">
        <f t="array" aca="1" ref="AF144" ca="1">(AE144-INDIRECT(SUBSTITUTE(ADDRESS(1,COLUMN($C$9),4),"1","")&amp;SUMPRODUCT(($B$10:$D$26=INDIRECT(SUBSTITUTE(ADDRESS(1,COLUMN()-1,4),"1","")&amp;ROW()-33))*ROW($B$10:$D$26))))/INDIRECT(SUBSTITUTE(ADDRESS(1,COLUMN($D$9),4),"1","")&amp;SUMPRODUCT(($B$10:$D$26=INDIRECT(SUBSTITUTE(ADDRESS(1,COLUMN()-1,4),"1","")&amp;ROW()-33))*ROW($B$10:$D$26)))*10+50</f>
        <v>#DIV/0!</v>
      </c>
      <c r="AG144" s="8"/>
      <c r="AH144" s="49">
        <v>40</v>
      </c>
      <c r="AI144" s="83">
        <f t="shared" si="129"/>
        <v>6</v>
      </c>
      <c r="AJ144" s="15">
        <f>IF(AND(AH144&lt;&gt;"", AK144&lt;&gt;""), ROUND(100*(1-(AM143+AM144)/2/AN$111), $B$39), "")</f>
        <v>24</v>
      </c>
      <c r="AK144" s="52">
        <v>1349</v>
      </c>
      <c r="AL144" s="16">
        <f t="shared" si="123"/>
        <v>5.110816442508051E-2</v>
      </c>
      <c r="AM144" s="17">
        <f>IF(AND(AH144&lt;&gt;"", AK144&lt;&gt;""), SUM(AK$114:AK144), "")</f>
        <v>20845</v>
      </c>
      <c r="AN144" s="16">
        <f t="shared" si="124"/>
        <v>0.78973290395908313</v>
      </c>
      <c r="AO144" s="14"/>
      <c r="AP144" s="27">
        <v>19</v>
      </c>
      <c r="AQ144" s="20" t="e" cm="1">
        <f t="array" aca="1" ref="AQ144" ca="1">(AP144-INDIRECT(SUBSTITUTE(ADDRESS(1,COLUMN($C$9),4),"1","")&amp;SUMPRODUCT(($B$10:$D$26=INDIRECT(SUBSTITUTE(ADDRESS(1,COLUMN()-1,4),"1","")&amp;ROW()-33))*ROW($B$10:$D$26))))/INDIRECT(SUBSTITUTE(ADDRESS(1,COLUMN($D$9),4),"1","")&amp;SUMPRODUCT(($B$10:$D$26=INDIRECT(SUBSTITUTE(ADDRESS(1,COLUMN()-1,4),"1","")&amp;ROW()-33))*ROW($B$10:$D$26)))*10+50</f>
        <v>#DIV/0!</v>
      </c>
      <c r="AR144" s="8"/>
      <c r="AS144" s="49">
        <v>43</v>
      </c>
      <c r="AT144" s="83">
        <f t="shared" si="130"/>
        <v>5</v>
      </c>
      <c r="AU144" s="15">
        <f>IF(AND(AS144&lt;&gt;"", AV144&lt;&gt;""), ROUND(100*(1-(AX143+AX144)/2/AY$111), $B$39), "")</f>
        <v>36</v>
      </c>
      <c r="AV144" s="52">
        <v>637</v>
      </c>
      <c r="AW144" s="16">
        <f t="shared" si="125"/>
        <v>9.6720315821439418E-2</v>
      </c>
      <c r="AX144" s="17">
        <f>IF(AND(AS144&lt;&gt;"", AV144&lt;&gt;""), SUM(AV$114:AV144), "")</f>
        <v>4534</v>
      </c>
      <c r="AY144" s="16">
        <f t="shared" si="126"/>
        <v>0.68843000303674462</v>
      </c>
      <c r="AZ144" s="14"/>
      <c r="BA144" s="27">
        <v>19</v>
      </c>
      <c r="BB144" s="20" t="e" cm="1">
        <f t="array" aca="1" ref="BB144" ca="1">(BA144-INDIRECT(SUBSTITUTE(ADDRESS(1,COLUMN($C$9),4),"1","")&amp;SUMPRODUCT(($B$10:$D$26=INDIRECT(SUBSTITUTE(ADDRESS(1,COLUMN()-1,4),"1","")&amp;ROW()-33))*ROW($B$10:$D$26))))/INDIRECT(SUBSTITUTE(ADDRESS(1,COLUMN($D$9),4),"1","")&amp;SUMPRODUCT(($B$10:$D$26=INDIRECT(SUBSTITUTE(ADDRESS(1,COLUMN()-1,4),"1","")&amp;ROW()-33))*ROW($B$10:$D$26)))*10+50</f>
        <v>#DIV/0!</v>
      </c>
      <c r="BC144" s="8"/>
      <c r="BD144" s="49">
        <v>36</v>
      </c>
      <c r="BE144" s="83">
        <f t="shared" si="131"/>
        <v>7</v>
      </c>
      <c r="BF144" s="15">
        <f>IF(AND(BD144&lt;&gt;"", BG144&lt;&gt;""), ROUND(100*(1-(BI143+BI144)/2/BJ$111), $B$39), "")</f>
        <v>12</v>
      </c>
      <c r="BG144" s="52">
        <v>4443</v>
      </c>
      <c r="BH144" s="16">
        <f t="shared" si="127"/>
        <v>3.7713907374711392E-2</v>
      </c>
      <c r="BI144" s="17">
        <f>IF(AND(BD144&lt;&gt;"", BG144&lt;&gt;""), SUM(BG$114:BG144), "")</f>
        <v>105412</v>
      </c>
      <c r="BJ144" s="16">
        <f t="shared" si="128"/>
        <v>0.89477794377291864</v>
      </c>
      <c r="BK144" s="14"/>
    </row>
    <row r="145" spans="1:63" ht="16" customHeight="1" x14ac:dyDescent="0.2">
      <c r="A145" s="1"/>
      <c r="B145" s="1"/>
      <c r="C145" s="1"/>
      <c r="O145" s="42"/>
      <c r="P145" s="83" t="str">
        <f t="shared" si="134"/>
        <v/>
      </c>
      <c r="Q145" s="164" t="str">
        <f t="shared" si="132"/>
        <v/>
      </c>
      <c r="R145" s="42"/>
      <c r="S145" s="16" t="str">
        <f t="shared" si="119"/>
        <v/>
      </c>
      <c r="T145" s="17" t="str">
        <f>IF(AND(O145&lt;&gt;"", R145&lt;&gt;""), SUM(R$4:R145), "")</f>
        <v/>
      </c>
      <c r="U145" s="16" t="str">
        <f t="shared" si="120"/>
        <v/>
      </c>
      <c r="W145" s="42"/>
      <c r="X145" s="83" t="str">
        <f t="shared" si="135"/>
        <v/>
      </c>
      <c r="Y145" s="164" t="str">
        <f t="shared" si="133"/>
        <v/>
      </c>
      <c r="Z145" s="42"/>
      <c r="AA145" s="16" t="str">
        <f t="shared" si="136"/>
        <v/>
      </c>
      <c r="AB145" s="17" t="str">
        <f>IF(AND(W145&lt;&gt;"", Z145&lt;&gt;""), SUM(Z$4:Z145), "")</f>
        <v/>
      </c>
      <c r="AC145" s="16" t="str">
        <f t="shared" si="137"/>
        <v/>
      </c>
      <c r="AD145" s="1"/>
      <c r="AE145" s="19">
        <v>18</v>
      </c>
      <c r="AF145" s="20" t="e" cm="1">
        <f t="array" aca="1" ref="AF145" ca="1">(AE145-INDIRECT(SUBSTITUTE(ADDRESS(1,COLUMN($C$9),4),"1","")&amp;SUMPRODUCT(($B$10:$D$26=INDIRECT(SUBSTITUTE(ADDRESS(1,COLUMN()-1,4),"1","")&amp;ROW()-34))*ROW($B$10:$D$26))))/INDIRECT(SUBSTITUTE(ADDRESS(1,COLUMN($D$9),4),"1","")&amp;SUMPRODUCT(($B$10:$D$26=INDIRECT(SUBSTITUTE(ADDRESS(1,COLUMN()-1,4),"1","")&amp;ROW()-34))*ROW($B$10:$D$26)))*10+50</f>
        <v>#DIV/0!</v>
      </c>
      <c r="AG145" s="8"/>
      <c r="AH145" s="49">
        <v>39</v>
      </c>
      <c r="AI145" s="83">
        <f t="shared" si="129"/>
        <v>7</v>
      </c>
      <c r="AJ145" s="15">
        <f>IF(AND(AH145&lt;&gt;"", AK145&lt;&gt;""), ROUND(100*(1-(AM144+AM145)/2/AN$111), $B$39), "")</f>
        <v>18</v>
      </c>
      <c r="AK145" s="52">
        <v>1638</v>
      </c>
      <c r="AL145" s="16">
        <f t="shared" si="123"/>
        <v>6.2057207804508428E-2</v>
      </c>
      <c r="AM145" s="17">
        <f>IF(AND(AH145&lt;&gt;"", AK145&lt;&gt;""), SUM(AK$114:AK145), "")</f>
        <v>22483</v>
      </c>
      <c r="AN145" s="16">
        <f t="shared" si="124"/>
        <v>0.85179011176359154</v>
      </c>
      <c r="AO145" s="14"/>
      <c r="AP145" s="27">
        <v>18</v>
      </c>
      <c r="AQ145" s="20" t="e" cm="1">
        <f t="array" aca="1" ref="AQ145" ca="1">(AP145-INDIRECT(SUBSTITUTE(ADDRESS(1,COLUMN($C$9),4),"1","")&amp;SUMPRODUCT(($B$10:$D$26=INDIRECT(SUBSTITUTE(ADDRESS(1,COLUMN()-1,4),"1","")&amp;ROW()-34))*ROW($B$10:$D$26))))/INDIRECT(SUBSTITUTE(ADDRESS(1,COLUMN($D$9),4),"1","")&amp;SUMPRODUCT(($B$10:$D$26=INDIRECT(SUBSTITUTE(ADDRESS(1,COLUMN()-1,4),"1","")&amp;ROW()-34))*ROW($B$10:$D$26)))*10+50</f>
        <v>#DIV/0!</v>
      </c>
      <c r="AR145" s="8"/>
      <c r="AS145" s="49">
        <v>42</v>
      </c>
      <c r="AT145" s="83">
        <f t="shared" si="130"/>
        <v>6</v>
      </c>
      <c r="AU145" s="15">
        <f>IF(AND(AS145&lt;&gt;"", AV145&lt;&gt;""), ROUND(100*(1-(AX144+AX145)/2/AY$111), $B$39), "")</f>
        <v>27</v>
      </c>
      <c r="AV145" s="52">
        <v>532</v>
      </c>
      <c r="AW145" s="16">
        <f t="shared" si="125"/>
        <v>8.0777406620103243E-2</v>
      </c>
      <c r="AX145" s="17">
        <f>IF(AND(AS145&lt;&gt;"", AV145&lt;&gt;""), SUM(AV$114:AV145), "")</f>
        <v>5066</v>
      </c>
      <c r="AY145" s="16">
        <f t="shared" si="126"/>
        <v>0.76920740965684786</v>
      </c>
      <c r="AZ145" s="14"/>
      <c r="BA145" s="27">
        <v>18</v>
      </c>
      <c r="BB145" s="20" t="e" cm="1">
        <f t="array" aca="1" ref="BB145" ca="1">(BA145-INDIRECT(SUBSTITUTE(ADDRESS(1,COLUMN($C$9),4),"1","")&amp;SUMPRODUCT(($B$10:$D$26=INDIRECT(SUBSTITUTE(ADDRESS(1,COLUMN()-1,4),"1","")&amp;ROW()-34))*ROW($B$10:$D$26))))/INDIRECT(SUBSTITUTE(ADDRESS(1,COLUMN($D$9),4),"1","")&amp;SUMPRODUCT(($B$10:$D$26=INDIRECT(SUBSTITUTE(ADDRESS(1,COLUMN()-1,4),"1","")&amp;ROW()-34))*ROW($B$10:$D$26)))*10+50</f>
        <v>#DIV/0!</v>
      </c>
      <c r="BC145" s="8"/>
      <c r="BD145" s="49">
        <v>35</v>
      </c>
      <c r="BE145" s="83">
        <f t="shared" si="131"/>
        <v>8</v>
      </c>
      <c r="BF145" s="15">
        <f>IF(AND(BD145&lt;&gt;"", BG145&lt;&gt;""), ROUND(100*(1-(BI144+BI145)/2/BJ$111), $B$39), "")</f>
        <v>8</v>
      </c>
      <c r="BG145" s="52">
        <v>6470</v>
      </c>
      <c r="BH145" s="16">
        <f t="shared" si="127"/>
        <v>5.491986961836208E-2</v>
      </c>
      <c r="BI145" s="17">
        <f>IF(AND(BD145&lt;&gt;"", BG145&lt;&gt;""), SUM(BG$114:BG145), "")</f>
        <v>111882</v>
      </c>
      <c r="BJ145" s="16">
        <f t="shared" si="128"/>
        <v>0.94969781339128068</v>
      </c>
      <c r="BK145" s="14"/>
    </row>
    <row r="146" spans="1:63" ht="16" customHeight="1" x14ac:dyDescent="0.2">
      <c r="A146" s="1"/>
      <c r="B146" s="1"/>
      <c r="C146" s="1"/>
      <c r="O146" s="42"/>
      <c r="P146" s="83" t="str">
        <f t="shared" si="134"/>
        <v/>
      </c>
      <c r="Q146" s="164" t="str">
        <f t="shared" si="132"/>
        <v/>
      </c>
      <c r="R146" s="42"/>
      <c r="S146" s="16" t="str">
        <f t="shared" ref="S146:S150" si="138">IF(AND(O146&lt;&gt;"", R146&lt;&gt;""), R146/U$1, "")</f>
        <v/>
      </c>
      <c r="T146" s="17" t="str">
        <f>IF(AND(O146&lt;&gt;"", R146&lt;&gt;""), SUM(R$4:R146), "")</f>
        <v/>
      </c>
      <c r="U146" s="16" t="str">
        <f t="shared" ref="U146:U150" si="139">IF(AND(O146&lt;&gt;"", R146&lt;&gt;""), T146/U$1, "")</f>
        <v/>
      </c>
      <c r="W146" s="42"/>
      <c r="X146" s="83" t="str">
        <f t="shared" si="135"/>
        <v/>
      </c>
      <c r="Y146" s="164" t="str">
        <f t="shared" si="133"/>
        <v/>
      </c>
      <c r="Z146" s="42"/>
      <c r="AA146" s="16" t="str">
        <f t="shared" si="136"/>
        <v/>
      </c>
      <c r="AB146" s="17" t="str">
        <f>IF(AND(W146&lt;&gt;"", Z146&lt;&gt;""), SUM(Z$4:Z146), "")</f>
        <v/>
      </c>
      <c r="AC146" s="16" t="str">
        <f t="shared" si="137"/>
        <v/>
      </c>
      <c r="AD146" s="1"/>
      <c r="AE146" s="19">
        <v>17</v>
      </c>
      <c r="AF146" s="20" t="e" cm="1">
        <f t="array" aca="1" ref="AF146" ca="1">(AE146-INDIRECT(SUBSTITUTE(ADDRESS(1,COLUMN($C$9),4),"1","")&amp;SUMPRODUCT(($B$10:$D$26=INDIRECT(SUBSTITUTE(ADDRESS(1,COLUMN()-1,4),"1","")&amp;ROW()-35))*ROW($B$10:$D$26))))/INDIRECT(SUBSTITUTE(ADDRESS(1,COLUMN($D$9),4),"1","")&amp;SUMPRODUCT(($B$10:$D$26=INDIRECT(SUBSTITUTE(ADDRESS(1,COLUMN()-1,4),"1","")&amp;ROW()-35))*ROW($B$10:$D$26)))*10+50</f>
        <v>#DIV/0!</v>
      </c>
      <c r="AG146" s="8"/>
      <c r="AH146" s="49">
        <v>38</v>
      </c>
      <c r="AI146" s="83">
        <f t="shared" si="129"/>
        <v>7</v>
      </c>
      <c r="AJ146" s="15">
        <f>IF(AND(AH146&lt;&gt;"", AK146&lt;&gt;""), ROUND(100*(1-(AM145+AM146)/2/AN$111), $B$39), "")</f>
        <v>14</v>
      </c>
      <c r="AK146" s="52">
        <v>506</v>
      </c>
      <c r="AL146" s="16">
        <f t="shared" ref="AL146:AL162" si="140">IF(AND(AH146&lt;&gt;"", AK146&lt;&gt;""), AK146/AN$111, "")</f>
        <v>1.9170297404811517E-2</v>
      </c>
      <c r="AM146" s="17">
        <f>IF(AND(AH146&lt;&gt;"", AK146&lt;&gt;""), SUM(AK$114:AK146), "")</f>
        <v>22989</v>
      </c>
      <c r="AN146" s="16">
        <f t="shared" ref="AN146:AN162" si="141">IF(AND(AH146&lt;&gt;"", AK146&lt;&gt;""), AM146/AN$111, "")</f>
        <v>0.87096040916840312</v>
      </c>
      <c r="AO146" s="14"/>
      <c r="AP146" s="27">
        <v>17</v>
      </c>
      <c r="AQ146" s="20" t="e" cm="1">
        <f t="array" aca="1" ref="AQ146" ca="1">(AP146-INDIRECT(SUBSTITUTE(ADDRESS(1,COLUMN($C$9),4),"1","")&amp;SUMPRODUCT(($B$10:$D$26=INDIRECT(SUBSTITUTE(ADDRESS(1,COLUMN()-1,4),"1","")&amp;ROW()-35))*ROW($B$10:$D$26))))/INDIRECT(SUBSTITUTE(ADDRESS(1,COLUMN($D$9),4),"1","")&amp;SUMPRODUCT(($B$10:$D$26=INDIRECT(SUBSTITUTE(ADDRESS(1,COLUMN()-1,4),"1","")&amp;ROW()-35))*ROW($B$10:$D$26)))*10+50</f>
        <v>#DIV/0!</v>
      </c>
      <c r="AR146" s="8"/>
      <c r="AS146" s="49">
        <v>41</v>
      </c>
      <c r="AT146" s="83">
        <f t="shared" si="130"/>
        <v>6</v>
      </c>
      <c r="AU146" s="15">
        <f>IF(AND(AS146&lt;&gt;"", AV146&lt;&gt;""), ROUND(100*(1-(AX145+AX146)/2/AY$111), $B$39), "")</f>
        <v>22</v>
      </c>
      <c r="AV146" s="52">
        <v>171</v>
      </c>
      <c r="AW146" s="16">
        <f t="shared" ref="AW146:AW162" si="142">IF(AND(AS146&lt;&gt;"", AV146&lt;&gt;""), AV146/AY$111, "")</f>
        <v>2.5964166413604616E-2</v>
      </c>
      <c r="AX146" s="17">
        <f>IF(AND(AS146&lt;&gt;"", AV146&lt;&gt;""), SUM(AV$114:AV146), "")</f>
        <v>5237</v>
      </c>
      <c r="AY146" s="16">
        <f t="shared" ref="AY146:AY162" si="143">IF(AND(AS146&lt;&gt;"", AV146&lt;&gt;""), AX146/AY$111, "")</f>
        <v>0.79517157607045252</v>
      </c>
      <c r="AZ146" s="14"/>
      <c r="BA146" s="27">
        <v>17</v>
      </c>
      <c r="BB146" s="20" t="e" cm="1">
        <f t="array" aca="1" ref="BB146" ca="1">(BA146-INDIRECT(SUBSTITUTE(ADDRESS(1,COLUMN($C$9),4),"1","")&amp;SUMPRODUCT(($B$10:$D$26=INDIRECT(SUBSTITUTE(ADDRESS(1,COLUMN()-1,4),"1","")&amp;ROW()-35))*ROW($B$10:$D$26))))/INDIRECT(SUBSTITUTE(ADDRESS(1,COLUMN($D$9),4),"1","")&amp;SUMPRODUCT(($B$10:$D$26=INDIRECT(SUBSTITUTE(ADDRESS(1,COLUMN()-1,4),"1","")&amp;ROW()-35))*ROW($B$10:$D$26)))*10+50</f>
        <v>#DIV/0!</v>
      </c>
      <c r="BC146" s="8"/>
      <c r="BD146" s="49">
        <v>34</v>
      </c>
      <c r="BE146" s="83">
        <f t="shared" si="131"/>
        <v>8</v>
      </c>
      <c r="BF146" s="15">
        <f>IF(AND(BD146&lt;&gt;"", BG146&lt;&gt;""), ROUND(100*(1-(BI145+BI146)/2/BJ$111), $B$39), "")</f>
        <v>5</v>
      </c>
      <c r="BG146" s="52">
        <v>1170</v>
      </c>
      <c r="BH146" s="16">
        <f t="shared" ref="BH146:BH162" si="144">IF(AND(BD146&lt;&gt;"", BG146&lt;&gt;""), BG146/BJ$111, "")</f>
        <v>9.9314138258861876E-3</v>
      </c>
      <c r="BI146" s="17">
        <f>IF(AND(BD146&lt;&gt;"", BG146&lt;&gt;""), SUM(BG$114:BG146), "")</f>
        <v>113052</v>
      </c>
      <c r="BJ146" s="16">
        <f t="shared" ref="BJ146:BJ162" si="145">IF(AND(BD146&lt;&gt;"", BG146&lt;&gt;""), BI146/BJ$111, "")</f>
        <v>0.95962922721716692</v>
      </c>
      <c r="BK146" s="14"/>
    </row>
    <row r="147" spans="1:63" ht="16" customHeight="1" x14ac:dyDescent="0.2">
      <c r="A147" s="1"/>
      <c r="B147" s="1"/>
      <c r="C147" s="1"/>
      <c r="O147" s="42"/>
      <c r="P147" s="83" t="str">
        <f t="shared" si="134"/>
        <v/>
      </c>
      <c r="Q147" s="164" t="str">
        <f t="shared" si="132"/>
        <v/>
      </c>
      <c r="R147" s="42"/>
      <c r="S147" s="16" t="str">
        <f t="shared" si="138"/>
        <v/>
      </c>
      <c r="T147" s="17" t="str">
        <f>IF(AND(O147&lt;&gt;"", R147&lt;&gt;""), SUM(R$4:R147), "")</f>
        <v/>
      </c>
      <c r="U147" s="16" t="str">
        <f t="shared" si="139"/>
        <v/>
      </c>
      <c r="W147" s="42"/>
      <c r="X147" s="83" t="str">
        <f t="shared" si="135"/>
        <v/>
      </c>
      <c r="Y147" s="164" t="str">
        <f t="shared" si="133"/>
        <v/>
      </c>
      <c r="Z147" s="42"/>
      <c r="AA147" s="16" t="str">
        <f t="shared" si="136"/>
        <v/>
      </c>
      <c r="AB147" s="17" t="str">
        <f>IF(AND(W147&lt;&gt;"", Z147&lt;&gt;""), SUM(Z$4:Z147), "")</f>
        <v/>
      </c>
      <c r="AC147" s="16" t="str">
        <f t="shared" si="137"/>
        <v/>
      </c>
      <c r="AD147" s="1"/>
      <c r="AE147" s="19">
        <v>16</v>
      </c>
      <c r="AF147" s="20" t="e" cm="1">
        <f t="array" aca="1" ref="AF147" ca="1">(AE147-INDIRECT(SUBSTITUTE(ADDRESS(1,COLUMN($C$9),4),"1","")&amp;SUMPRODUCT(($B$10:$D$26=INDIRECT(SUBSTITUTE(ADDRESS(1,COLUMN()-1,4),"1","")&amp;ROW()-36))*ROW($B$10:$D$26))))/INDIRECT(SUBSTITUTE(ADDRESS(1,COLUMN($D$9),4),"1","")&amp;SUMPRODUCT(($B$10:$D$26=INDIRECT(SUBSTITUTE(ADDRESS(1,COLUMN()-1,4),"1","")&amp;ROW()-36))*ROW($B$10:$D$26)))*10+50</f>
        <v>#DIV/0!</v>
      </c>
      <c r="AG147" s="8"/>
      <c r="AH147" s="49">
        <v>37</v>
      </c>
      <c r="AI147" s="83">
        <f t="shared" si="129"/>
        <v>7</v>
      </c>
      <c r="AJ147" s="15">
        <f>IF(AND(AH147&lt;&gt;"", AK147&lt;&gt;""), ROUND(100*(1-(AM146+AM147)/2/AN$111), $B$39), "")</f>
        <v>11</v>
      </c>
      <c r="AK147" s="52">
        <v>833</v>
      </c>
      <c r="AL147" s="16">
        <f t="shared" si="140"/>
        <v>3.1559007387762836E-2</v>
      </c>
      <c r="AM147" s="17">
        <f>IF(AND(AH147&lt;&gt;"", AK147&lt;&gt;""), SUM(AK$114:AK147), "")</f>
        <v>23822</v>
      </c>
      <c r="AN147" s="16">
        <f t="shared" si="141"/>
        <v>0.90251941655616597</v>
      </c>
      <c r="AO147" s="14"/>
      <c r="AP147" s="27">
        <v>16</v>
      </c>
      <c r="AQ147" s="20" t="e" cm="1">
        <f t="array" aca="1" ref="AQ147" ca="1">(AP147-INDIRECT(SUBSTITUTE(ADDRESS(1,COLUMN($C$9),4),"1","")&amp;SUMPRODUCT(($B$10:$D$26=INDIRECT(SUBSTITUTE(ADDRESS(1,COLUMN()-1,4),"1","")&amp;ROW()-36))*ROW($B$10:$D$26))))/INDIRECT(SUBSTITUTE(ADDRESS(1,COLUMN($D$9),4),"1","")&amp;SUMPRODUCT(($B$10:$D$26=INDIRECT(SUBSTITUTE(ADDRESS(1,COLUMN()-1,4),"1","")&amp;ROW()-36))*ROW($B$10:$D$26)))*10+50</f>
        <v>#DIV/0!</v>
      </c>
      <c r="AR147" s="8"/>
      <c r="AS147" s="49">
        <v>40</v>
      </c>
      <c r="AT147" s="83">
        <f t="shared" si="130"/>
        <v>7</v>
      </c>
      <c r="AU147" s="15">
        <f>IF(AND(AS147&lt;&gt;"", AV147&lt;&gt;""), ROUND(100*(1-(AX146+AX147)/2/AY$111), $B$39), "")</f>
        <v>18</v>
      </c>
      <c r="AV147" s="52">
        <v>363</v>
      </c>
      <c r="AW147" s="16">
        <f t="shared" si="142"/>
        <v>5.5116914667476466E-2</v>
      </c>
      <c r="AX147" s="17">
        <f>IF(AND(AS147&lt;&gt;"", AV147&lt;&gt;""), SUM(AV$114:AV147), "")</f>
        <v>5600</v>
      </c>
      <c r="AY147" s="16">
        <f t="shared" si="143"/>
        <v>0.85028849073792889</v>
      </c>
      <c r="AZ147" s="14"/>
      <c r="BA147" s="27">
        <v>16</v>
      </c>
      <c r="BB147" s="20" t="e" cm="1">
        <f t="array" aca="1" ref="BB147" ca="1">(BA147-INDIRECT(SUBSTITUTE(ADDRESS(1,COLUMN($C$9),4),"1","")&amp;SUMPRODUCT(($B$10:$D$26=INDIRECT(SUBSTITUTE(ADDRESS(1,COLUMN()-1,4),"1","")&amp;ROW()-36))*ROW($B$10:$D$26))))/INDIRECT(SUBSTITUTE(ADDRESS(1,COLUMN($D$9),4),"1","")&amp;SUMPRODUCT(($B$10:$D$26=INDIRECT(SUBSTITUTE(ADDRESS(1,COLUMN()-1,4),"1","")&amp;ROW()-36))*ROW($B$10:$D$26)))*10+50</f>
        <v>#DIV/0!</v>
      </c>
      <c r="BC147" s="8"/>
      <c r="BD147" s="49">
        <v>33</v>
      </c>
      <c r="BE147" s="83">
        <f t="shared" si="131"/>
        <v>8</v>
      </c>
      <c r="BF147" s="15">
        <f>IF(AND(BD147&lt;&gt;"", BG147&lt;&gt;""), ROUND(100*(1-(BI146+BI147)/2/BJ$111), $B$39), "")</f>
        <v>4</v>
      </c>
      <c r="BG147" s="52">
        <v>1140</v>
      </c>
      <c r="BH147" s="16">
        <f t="shared" si="144"/>
        <v>9.6767621893250038E-3</v>
      </c>
      <c r="BI147" s="17">
        <f>IF(AND(BD147&lt;&gt;"", BG147&lt;&gt;""), SUM(BG$114:BG147), "")</f>
        <v>114192</v>
      </c>
      <c r="BJ147" s="16">
        <f t="shared" si="145"/>
        <v>0.96930598940649193</v>
      </c>
      <c r="BK147" s="14"/>
    </row>
    <row r="148" spans="1:63" ht="16" customHeight="1" x14ac:dyDescent="0.2">
      <c r="A148" s="1"/>
      <c r="B148" s="1"/>
      <c r="C148" s="1"/>
      <c r="D148" s="1"/>
      <c r="N148" s="1"/>
      <c r="O148" s="42"/>
      <c r="P148" s="83" t="str">
        <f t="shared" si="134"/>
        <v/>
      </c>
      <c r="Q148" s="164" t="str">
        <f t="shared" si="132"/>
        <v/>
      </c>
      <c r="R148" s="42"/>
      <c r="S148" s="16" t="str">
        <f t="shared" si="138"/>
        <v/>
      </c>
      <c r="T148" s="17" t="str">
        <f>IF(AND(O148&lt;&gt;"", R148&lt;&gt;""), SUM(R$4:R148), "")</f>
        <v/>
      </c>
      <c r="U148" s="16" t="str">
        <f t="shared" si="139"/>
        <v/>
      </c>
      <c r="W148" s="42"/>
      <c r="X148" s="83" t="str">
        <f t="shared" si="135"/>
        <v/>
      </c>
      <c r="Y148" s="164" t="str">
        <f t="shared" si="133"/>
        <v/>
      </c>
      <c r="Z148" s="42"/>
      <c r="AA148" s="16" t="str">
        <f t="shared" ref="AA148:AA150" si="146">IF(AND(W148&lt;&gt;"", Z148&lt;&gt;""), Z148/AC$1, "")</f>
        <v/>
      </c>
      <c r="AB148" s="17" t="str">
        <f>IF(AND(W148&lt;&gt;"", Z148&lt;&gt;""), SUM(Z$4:Z148), "")</f>
        <v/>
      </c>
      <c r="AC148" s="16" t="str">
        <f t="shared" ref="AC148:AC150" si="147">IF(AND(W148&lt;&gt;"", Z148&lt;&gt;""), AB148/AC$1, "")</f>
        <v/>
      </c>
      <c r="AD148" s="1"/>
      <c r="AE148" s="19">
        <v>15</v>
      </c>
      <c r="AF148" s="20" t="e" cm="1">
        <f t="array" aca="1" ref="AF148" ca="1">(AE148-INDIRECT(SUBSTITUTE(ADDRESS(1,COLUMN($C$9),4),"1","")&amp;SUMPRODUCT(($B$10:$D$26=INDIRECT(SUBSTITUTE(ADDRESS(1,COLUMN()-1,4),"1","")&amp;ROW()-37))*ROW($B$10:$D$26))))/INDIRECT(SUBSTITUTE(ADDRESS(1,COLUMN($D$9),4),"1","")&amp;SUMPRODUCT(($B$10:$D$26=INDIRECT(SUBSTITUTE(ADDRESS(1,COLUMN()-1,4),"1","")&amp;ROW()-37))*ROW($B$10:$D$26)))*10+50</f>
        <v>#DIV/0!</v>
      </c>
      <c r="AG148" s="8"/>
      <c r="AH148" s="49">
        <v>36</v>
      </c>
      <c r="AI148" s="83">
        <f t="shared" si="129"/>
        <v>8</v>
      </c>
      <c r="AJ148" s="15">
        <f>IF(AND(AH148&lt;&gt;"", AK148&lt;&gt;""), ROUND(100*(1-(AM147+AM148)/2/AN$111), $B$39), "")</f>
        <v>8</v>
      </c>
      <c r="AK148" s="52">
        <v>958</v>
      </c>
      <c r="AL148" s="16">
        <f t="shared" si="140"/>
        <v>3.6294752794089787E-2</v>
      </c>
      <c r="AM148" s="17">
        <f>IF(AND(AH148&lt;&gt;"", AK148&lt;&gt;""), SUM(AK$114:AK148), "")</f>
        <v>24780</v>
      </c>
      <c r="AN148" s="16">
        <f t="shared" si="141"/>
        <v>0.93881416935025574</v>
      </c>
      <c r="AO148" s="14"/>
      <c r="AP148" s="27">
        <v>15</v>
      </c>
      <c r="AQ148" s="20" t="e" cm="1">
        <f t="array" aca="1" ref="AQ148" ca="1">(AP148-INDIRECT(SUBSTITUTE(ADDRESS(1,COLUMN($C$9),4),"1","")&amp;SUMPRODUCT(($B$10:$D$26=INDIRECT(SUBSTITUTE(ADDRESS(1,COLUMN()-1,4),"1","")&amp;ROW()-37))*ROW($B$10:$D$26))))/INDIRECT(SUBSTITUTE(ADDRESS(1,COLUMN($D$9),4),"1","")&amp;SUMPRODUCT(($B$10:$D$26=INDIRECT(SUBSTITUTE(ADDRESS(1,COLUMN()-1,4),"1","")&amp;ROW()-37))*ROW($B$10:$D$26)))*10+50</f>
        <v>#DIV/0!</v>
      </c>
      <c r="AR148" s="8"/>
      <c r="AS148" s="49">
        <v>39</v>
      </c>
      <c r="AT148" s="83">
        <f t="shared" si="130"/>
        <v>7</v>
      </c>
      <c r="AU148" s="15">
        <f>IF(AND(AS148&lt;&gt;"", AV148&lt;&gt;""), ROUND(100*(1-(AX147+AX148)/2/AY$111), $B$39), "")</f>
        <v>14</v>
      </c>
      <c r="AV148" s="52">
        <v>121</v>
      </c>
      <c r="AW148" s="16">
        <f t="shared" si="142"/>
        <v>1.8372304889158822E-2</v>
      </c>
      <c r="AX148" s="17">
        <f>IF(AND(AS148&lt;&gt;"", AV148&lt;&gt;""), SUM(AV$114:AV148), "")</f>
        <v>5721</v>
      </c>
      <c r="AY148" s="16">
        <f t="shared" si="143"/>
        <v>0.86866079562708776</v>
      </c>
      <c r="AZ148" s="14"/>
      <c r="BA148" s="27">
        <v>15</v>
      </c>
      <c r="BB148" s="20" t="e" cm="1">
        <f t="array" aca="1" ref="BB148" ca="1">(BA148-INDIRECT(SUBSTITUTE(ADDRESS(1,COLUMN($C$9),4),"1","")&amp;SUMPRODUCT(($B$10:$D$26=INDIRECT(SUBSTITUTE(ADDRESS(1,COLUMN()-1,4),"1","")&amp;ROW()-37))*ROW($B$10:$D$26))))/INDIRECT(SUBSTITUTE(ADDRESS(1,COLUMN($D$9),4),"1","")&amp;SUMPRODUCT(($B$10:$D$26=INDIRECT(SUBSTITUTE(ADDRESS(1,COLUMN()-1,4),"1","")&amp;ROW()-37))*ROW($B$10:$D$26)))*10+50</f>
        <v>#DIV/0!</v>
      </c>
      <c r="BC148" s="8"/>
      <c r="BD148" s="49">
        <v>32</v>
      </c>
      <c r="BE148" s="83">
        <f t="shared" si="131"/>
        <v>9</v>
      </c>
      <c r="BF148" s="15">
        <f>IF(AND(BD148&lt;&gt;"", BG148&lt;&gt;""), ROUND(100*(1-(BI147+BI148)/2/BJ$111), $B$39), "")</f>
        <v>3</v>
      </c>
      <c r="BG148" s="52">
        <v>927</v>
      </c>
      <c r="BH148" s="16">
        <f t="shared" si="144"/>
        <v>7.8687355697405949E-3</v>
      </c>
      <c r="BI148" s="17">
        <f>IF(AND(BD148&lt;&gt;"", BG148&lt;&gt;""), SUM(BG$114:BG148), "")</f>
        <v>115119</v>
      </c>
      <c r="BJ148" s="16">
        <f t="shared" si="145"/>
        <v>0.97717472497623248</v>
      </c>
      <c r="BK148" s="14"/>
    </row>
    <row r="149" spans="1:63" ht="16" customHeight="1" x14ac:dyDescent="0.2">
      <c r="A149" s="1"/>
      <c r="B149" s="1"/>
      <c r="C149" s="1"/>
      <c r="D149" s="1"/>
      <c r="N149" s="1"/>
      <c r="O149" s="42"/>
      <c r="P149" s="83" t="str">
        <f t="shared" si="134"/>
        <v/>
      </c>
      <c r="Q149" s="164" t="str">
        <f t="shared" si="132"/>
        <v/>
      </c>
      <c r="R149" s="42"/>
      <c r="S149" s="16" t="str">
        <f t="shared" si="138"/>
        <v/>
      </c>
      <c r="T149" s="17" t="str">
        <f>IF(AND(O149&lt;&gt;"", R149&lt;&gt;""), SUM(R$4:R149), "")</f>
        <v/>
      </c>
      <c r="U149" s="16" t="str">
        <f t="shared" si="139"/>
        <v/>
      </c>
      <c r="W149" s="42"/>
      <c r="X149" s="83" t="str">
        <f t="shared" si="135"/>
        <v/>
      </c>
      <c r="Y149" s="164" t="str">
        <f t="shared" si="133"/>
        <v/>
      </c>
      <c r="Z149" s="42"/>
      <c r="AA149" s="16" t="str">
        <f t="shared" si="146"/>
        <v/>
      </c>
      <c r="AB149" s="17" t="str">
        <f>IF(AND(W149&lt;&gt;"", Z149&lt;&gt;""), SUM(Z$4:Z149), "")</f>
        <v/>
      </c>
      <c r="AC149" s="16" t="str">
        <f t="shared" si="147"/>
        <v/>
      </c>
      <c r="AD149" s="1"/>
      <c r="AE149" s="19">
        <v>14</v>
      </c>
      <c r="AF149" s="20" t="e" cm="1">
        <f t="array" aca="1" ref="AF149" ca="1">(AE149-INDIRECT(SUBSTITUTE(ADDRESS(1,COLUMN($C$9),4),"1","")&amp;SUMPRODUCT(($B$10:$D$26=INDIRECT(SUBSTITUTE(ADDRESS(1,COLUMN()-1,4),"1","")&amp;ROW()-38))*ROW($B$10:$D$26))))/INDIRECT(SUBSTITUTE(ADDRESS(1,COLUMN($D$9),4),"1","")&amp;SUMPRODUCT(($B$10:$D$26=INDIRECT(SUBSTITUTE(ADDRESS(1,COLUMN()-1,4),"1","")&amp;ROW()-38))*ROW($B$10:$D$26)))*10+50</f>
        <v>#DIV/0!</v>
      </c>
      <c r="AG149" s="8"/>
      <c r="AH149" s="49">
        <v>35</v>
      </c>
      <c r="AI149" s="83">
        <f t="shared" si="129"/>
        <v>8</v>
      </c>
      <c r="AJ149" s="15">
        <f>IF(AND(AH149&lt;&gt;"", AK149&lt;&gt;""), ROUND(100*(1-(AM148+AM149)/2/AN$111), $B$39), "")</f>
        <v>6</v>
      </c>
      <c r="AK149" s="52">
        <v>139</v>
      </c>
      <c r="AL149" s="16">
        <f t="shared" si="140"/>
        <v>5.266148891835575E-3</v>
      </c>
      <c r="AM149" s="17">
        <f>IF(AND(AH149&lt;&gt;"", AK149&lt;&gt;""), SUM(AK$114:AK149), "")</f>
        <v>24919</v>
      </c>
      <c r="AN149" s="16">
        <f t="shared" si="141"/>
        <v>0.94408031824209127</v>
      </c>
      <c r="AO149" s="14"/>
      <c r="AP149" s="27">
        <v>14</v>
      </c>
      <c r="AQ149" s="20" t="e" cm="1">
        <f t="array" aca="1" ref="AQ149" ca="1">(AP149-INDIRECT(SUBSTITUTE(ADDRESS(1,COLUMN($C$9),4),"1","")&amp;SUMPRODUCT(($B$10:$D$26=INDIRECT(SUBSTITUTE(ADDRESS(1,COLUMN()-1,4),"1","")&amp;ROW()-38))*ROW($B$10:$D$26))))/INDIRECT(SUBSTITUTE(ADDRESS(1,COLUMN($D$9),4),"1","")&amp;SUMPRODUCT(($B$10:$D$26=INDIRECT(SUBSTITUTE(ADDRESS(1,COLUMN()-1,4),"1","")&amp;ROW()-38))*ROW($B$10:$D$26)))*10+50</f>
        <v>#DIV/0!</v>
      </c>
      <c r="AR149" s="8"/>
      <c r="AS149" s="49">
        <v>38</v>
      </c>
      <c r="AT149" s="83">
        <f t="shared" si="130"/>
        <v>7</v>
      </c>
      <c r="AU149" s="15">
        <f>IF(AND(AS149&lt;&gt;"", AV149&lt;&gt;""), ROUND(100*(1-(AX148+AX149)/2/AY$111), $B$39), "")</f>
        <v>12</v>
      </c>
      <c r="AV149" s="52">
        <v>94</v>
      </c>
      <c r="AW149" s="16">
        <f t="shared" si="142"/>
        <v>1.4272699665958092E-2</v>
      </c>
      <c r="AX149" s="17">
        <f>IF(AND(AS149&lt;&gt;"", AV149&lt;&gt;""), SUM(AV$114:AV149), "")</f>
        <v>5815</v>
      </c>
      <c r="AY149" s="16">
        <f t="shared" si="143"/>
        <v>0.88293349529304588</v>
      </c>
      <c r="AZ149" s="14"/>
      <c r="BA149" s="27">
        <v>14</v>
      </c>
      <c r="BB149" s="20" t="e" cm="1">
        <f t="array" aca="1" ref="BB149" ca="1">(BA149-INDIRECT(SUBSTITUTE(ADDRESS(1,COLUMN($C$9),4),"1","")&amp;SUMPRODUCT(($B$10:$D$26=INDIRECT(SUBSTITUTE(ADDRESS(1,COLUMN()-1,4),"1","")&amp;ROW()-38))*ROW($B$10:$D$26))))/INDIRECT(SUBSTITUTE(ADDRESS(1,COLUMN($D$9),4),"1","")&amp;SUMPRODUCT(($B$10:$D$26=INDIRECT(SUBSTITUTE(ADDRESS(1,COLUMN()-1,4),"1","")&amp;ROW()-38))*ROW($B$10:$D$26)))*10+50</f>
        <v>#DIV/0!</v>
      </c>
      <c r="BC149" s="8"/>
      <c r="BD149" s="49">
        <v>31</v>
      </c>
      <c r="BE149" s="83">
        <f t="shared" si="131"/>
        <v>9</v>
      </c>
      <c r="BF149" s="15">
        <f>IF(AND(BD149&lt;&gt;"", BG149&lt;&gt;""), ROUND(100*(1-(BI148+BI149)/2/BJ$111), $B$39), "")</f>
        <v>2</v>
      </c>
      <c r="BG149" s="52">
        <v>772</v>
      </c>
      <c r="BH149" s="16">
        <f t="shared" si="144"/>
        <v>6.553035447507809E-3</v>
      </c>
      <c r="BI149" s="17">
        <f>IF(AND(BD149&lt;&gt;"", BG149&lt;&gt;""), SUM(BG$114:BG149), "")</f>
        <v>115891</v>
      </c>
      <c r="BJ149" s="16">
        <f t="shared" si="145"/>
        <v>0.98372776042374033</v>
      </c>
      <c r="BK149" s="14"/>
    </row>
    <row r="150" spans="1:63" ht="16" customHeight="1" x14ac:dyDescent="0.2">
      <c r="A150" s="1"/>
      <c r="B150" s="1"/>
      <c r="C150" s="1"/>
      <c r="D150" s="1"/>
      <c r="N150" s="1"/>
      <c r="O150" s="42"/>
      <c r="P150" s="83" t="str">
        <f t="shared" si="134"/>
        <v/>
      </c>
      <c r="Q150" s="164" t="str">
        <f t="shared" si="132"/>
        <v/>
      </c>
      <c r="R150" s="42"/>
      <c r="S150" s="16" t="str">
        <f t="shared" si="138"/>
        <v/>
      </c>
      <c r="T150" s="17" t="str">
        <f>IF(AND(O150&lt;&gt;"", R150&lt;&gt;""), SUM(R$4:R150), "")</f>
        <v/>
      </c>
      <c r="U150" s="16" t="str">
        <f t="shared" si="139"/>
        <v/>
      </c>
      <c r="W150" s="42"/>
      <c r="X150" s="83" t="str">
        <f t="shared" si="135"/>
        <v/>
      </c>
      <c r="Y150" s="164" t="str">
        <f t="shared" si="133"/>
        <v/>
      </c>
      <c r="Z150" s="42"/>
      <c r="AA150" s="16" t="str">
        <f t="shared" si="146"/>
        <v/>
      </c>
      <c r="AB150" s="17" t="str">
        <f>IF(AND(W150&lt;&gt;"", Z150&lt;&gt;""), SUM(Z$4:Z150), "")</f>
        <v/>
      </c>
      <c r="AC150" s="16" t="str">
        <f t="shared" si="147"/>
        <v/>
      </c>
      <c r="AD150" s="1"/>
      <c r="AE150" s="19">
        <v>13</v>
      </c>
      <c r="AF150" s="20" t="e" cm="1">
        <f t="array" aca="1" ref="AF150" ca="1">(AE150-INDIRECT(SUBSTITUTE(ADDRESS(1,COLUMN($C$9),4),"1","")&amp;SUMPRODUCT(($B$10:$D$26=INDIRECT(SUBSTITUTE(ADDRESS(1,COLUMN()-1,4),"1","")&amp;ROW()-39))*ROW($B$10:$D$26))))/INDIRECT(SUBSTITUTE(ADDRESS(1,COLUMN($D$9),4),"1","")&amp;SUMPRODUCT(($B$10:$D$26=INDIRECT(SUBSTITUTE(ADDRESS(1,COLUMN()-1,4),"1","")&amp;ROW()-39))*ROW($B$10:$D$26)))*10+50</f>
        <v>#DIV/0!</v>
      </c>
      <c r="AG150" s="8"/>
      <c r="AH150" s="49">
        <v>34</v>
      </c>
      <c r="AI150" s="83">
        <f t="shared" si="129"/>
        <v>8</v>
      </c>
      <c r="AJ150" s="15">
        <f>IF(AND(AH150&lt;&gt;"", AK150&lt;&gt;""), ROUND(100*(1-(AM149+AM150)/2/AN$111), $B$39), "")</f>
        <v>5</v>
      </c>
      <c r="AK150" s="52">
        <v>137</v>
      </c>
      <c r="AL150" s="16">
        <f t="shared" si="140"/>
        <v>5.1903769653343437E-3</v>
      </c>
      <c r="AM150" s="17">
        <f>IF(AND(AH150&lt;&gt;"", AK150&lt;&gt;""), SUM(AK$114:AK150), "")</f>
        <v>25056</v>
      </c>
      <c r="AN150" s="16">
        <f t="shared" si="141"/>
        <v>0.94927069520742569</v>
      </c>
      <c r="AO150" s="14"/>
      <c r="AP150" s="27">
        <v>13</v>
      </c>
      <c r="AQ150" s="20" t="e" cm="1">
        <f t="array" aca="1" ref="AQ150" ca="1">(AP150-INDIRECT(SUBSTITUTE(ADDRESS(1,COLUMN($C$9),4),"1","")&amp;SUMPRODUCT(($B$10:$D$26=INDIRECT(SUBSTITUTE(ADDRESS(1,COLUMN()-1,4),"1","")&amp;ROW()-39))*ROW($B$10:$D$26))))/INDIRECT(SUBSTITUTE(ADDRESS(1,COLUMN($D$9),4),"1","")&amp;SUMPRODUCT(($B$10:$D$26=INDIRECT(SUBSTITUTE(ADDRESS(1,COLUMN()-1,4),"1","")&amp;ROW()-39))*ROW($B$10:$D$26)))*10+50</f>
        <v>#DIV/0!</v>
      </c>
      <c r="AR150" s="8"/>
      <c r="AS150" s="49">
        <v>37</v>
      </c>
      <c r="AT150" s="83">
        <f t="shared" si="130"/>
        <v>7</v>
      </c>
      <c r="AU150" s="15">
        <f>IF(AND(AS150&lt;&gt;"", AV150&lt;&gt;""), ROUND(100*(1-(AX149+AX150)/2/AY$111), $B$39), "")</f>
        <v>11</v>
      </c>
      <c r="AV150" s="52">
        <v>58</v>
      </c>
      <c r="AW150" s="16">
        <f t="shared" si="142"/>
        <v>8.8065593683571211E-3</v>
      </c>
      <c r="AX150" s="17">
        <f>IF(AND(AS150&lt;&gt;"", AV150&lt;&gt;""), SUM(AV$114:AV150), "")</f>
        <v>5873</v>
      </c>
      <c r="AY150" s="16">
        <f t="shared" si="143"/>
        <v>0.89174005466140294</v>
      </c>
      <c r="AZ150" s="14"/>
      <c r="BA150" s="27">
        <v>13</v>
      </c>
      <c r="BB150" s="20" t="e" cm="1">
        <f t="array" aca="1" ref="BB150" ca="1">(BA150-INDIRECT(SUBSTITUTE(ADDRESS(1,COLUMN($C$9),4),"1","")&amp;SUMPRODUCT(($B$10:$D$26=INDIRECT(SUBSTITUTE(ADDRESS(1,COLUMN()-1,4),"1","")&amp;ROW()-39))*ROW($B$10:$D$26))))/INDIRECT(SUBSTITUTE(ADDRESS(1,COLUMN($D$9),4),"1","")&amp;SUMPRODUCT(($B$10:$D$26=INDIRECT(SUBSTITUTE(ADDRESS(1,COLUMN()-1,4),"1","")&amp;ROW()-39))*ROW($B$10:$D$26)))*10+50</f>
        <v>#DIV/0!</v>
      </c>
      <c r="BC150" s="8"/>
      <c r="BD150" s="49">
        <v>30</v>
      </c>
      <c r="BE150" s="83">
        <f t="shared" si="131"/>
        <v>9</v>
      </c>
      <c r="BF150" s="15">
        <f>IF(AND(BD150&lt;&gt;"", BG150&lt;&gt;""), ROUND(100*(1-(BI149+BI150)/2/BJ$111), $B$39), "")</f>
        <v>1</v>
      </c>
      <c r="BG150" s="52">
        <v>314</v>
      </c>
      <c r="BH150" s="16">
        <f t="shared" si="144"/>
        <v>2.6653537960070624E-3</v>
      </c>
      <c r="BI150" s="17">
        <f>IF(AND(BD150&lt;&gt;"", BG150&lt;&gt;""), SUM(BG$114:BG150), "")</f>
        <v>116205</v>
      </c>
      <c r="BJ150" s="16">
        <f t="shared" si="145"/>
        <v>0.9863931142197474</v>
      </c>
      <c r="BK150" s="14"/>
    </row>
    <row r="151" spans="1:63" ht="16" customHeight="1" x14ac:dyDescent="0.2">
      <c r="A151" s="1"/>
      <c r="B151" s="1"/>
      <c r="C151" s="1"/>
      <c r="D151" s="1"/>
      <c r="N151" s="1"/>
      <c r="O151" s="1"/>
      <c r="P151" s="1"/>
      <c r="Q151" s="1"/>
      <c r="R151" s="1"/>
      <c r="S151" s="1"/>
      <c r="T151" s="1"/>
      <c r="U151" s="1"/>
      <c r="W151" s="1"/>
      <c r="X151" s="1"/>
      <c r="Y151" s="1"/>
      <c r="Z151" s="1"/>
      <c r="AA151" s="1"/>
      <c r="AB151" s="1"/>
      <c r="AC151" s="1"/>
      <c r="AD151" s="1"/>
      <c r="AE151" s="19">
        <v>12</v>
      </c>
      <c r="AF151" s="20" t="e" cm="1">
        <f t="array" aca="1" ref="AF151" ca="1">(AE151-INDIRECT(SUBSTITUTE(ADDRESS(1,COLUMN($C$9),4),"1","")&amp;SUMPRODUCT(($B$10:$D$26=INDIRECT(SUBSTITUTE(ADDRESS(1,COLUMN()-1,4),"1","")&amp;ROW()-40))*ROW($B$10:$D$26))))/INDIRECT(SUBSTITUTE(ADDRESS(1,COLUMN($D$9),4),"1","")&amp;SUMPRODUCT(($B$10:$D$26=INDIRECT(SUBSTITUTE(ADDRESS(1,COLUMN()-1,4),"1","")&amp;ROW()-40))*ROW($B$10:$D$26)))*10+50</f>
        <v>#DIV/0!</v>
      </c>
      <c r="AG151" s="8"/>
      <c r="AH151" s="49">
        <v>33</v>
      </c>
      <c r="AI151" s="83">
        <f t="shared" si="129"/>
        <v>8</v>
      </c>
      <c r="AJ151" s="15">
        <f>IF(AND(AH151&lt;&gt;"", AK151&lt;&gt;""), ROUND(100*(1-(AM150+AM151)/2/AN$111), $B$39), "")</f>
        <v>5</v>
      </c>
      <c r="AK151" s="52">
        <v>162</v>
      </c>
      <c r="AL151" s="16">
        <f t="shared" si="140"/>
        <v>6.1375260465997344E-3</v>
      </c>
      <c r="AM151" s="17">
        <f>IF(AND(AH151&lt;&gt;"", AK151&lt;&gt;""), SUM(AK$114:AK151), "")</f>
        <v>25218</v>
      </c>
      <c r="AN151" s="16">
        <f t="shared" si="141"/>
        <v>0.95540822125402536</v>
      </c>
      <c r="AO151" s="14"/>
      <c r="AP151" s="27">
        <v>12</v>
      </c>
      <c r="AQ151" s="20" t="e" cm="1">
        <f t="array" aca="1" ref="AQ151" ca="1">(AP151-INDIRECT(SUBSTITUTE(ADDRESS(1,COLUMN($C$9),4),"1","")&amp;SUMPRODUCT(($B$10:$D$26=INDIRECT(SUBSTITUTE(ADDRESS(1,COLUMN()-1,4),"1","")&amp;ROW()-40))*ROW($B$10:$D$26))))/INDIRECT(SUBSTITUTE(ADDRESS(1,COLUMN($D$9),4),"1","")&amp;SUMPRODUCT(($B$10:$D$26=INDIRECT(SUBSTITUTE(ADDRESS(1,COLUMN()-1,4),"1","")&amp;ROW()-40))*ROW($B$10:$D$26)))*10+50</f>
        <v>#DIV/0!</v>
      </c>
      <c r="AR151" s="8"/>
      <c r="AS151" s="49">
        <v>36</v>
      </c>
      <c r="AT151" s="83">
        <f t="shared" si="130"/>
        <v>8</v>
      </c>
      <c r="AU151" s="15">
        <f>IF(AND(AS151&lt;&gt;"", AV151&lt;&gt;""), ROUND(100*(1-(AX150+AX151)/2/AY$111), $B$39), "")</f>
        <v>10</v>
      </c>
      <c r="AV151" s="52">
        <v>84</v>
      </c>
      <c r="AW151" s="16">
        <f t="shared" si="142"/>
        <v>1.2754327361068934E-2</v>
      </c>
      <c r="AX151" s="17">
        <f>IF(AND(AS151&lt;&gt;"", AV151&lt;&gt;""), SUM(AV$114:AV151), "")</f>
        <v>5957</v>
      </c>
      <c r="AY151" s="16">
        <f t="shared" si="143"/>
        <v>0.9044943820224719</v>
      </c>
      <c r="AZ151" s="14"/>
      <c r="BA151" s="27">
        <v>12</v>
      </c>
      <c r="BB151" s="20" t="e" cm="1">
        <f t="array" aca="1" ref="BB151" ca="1">(BA151-INDIRECT(SUBSTITUTE(ADDRESS(1,COLUMN($C$9),4),"1","")&amp;SUMPRODUCT(($B$10:$D$26=INDIRECT(SUBSTITUTE(ADDRESS(1,COLUMN()-1,4),"1","")&amp;ROW()-40))*ROW($B$10:$D$26))))/INDIRECT(SUBSTITUTE(ADDRESS(1,COLUMN($D$9),4),"1","")&amp;SUMPRODUCT(($B$10:$D$26=INDIRECT(SUBSTITUTE(ADDRESS(1,COLUMN()-1,4),"1","")&amp;ROW()-40))*ROW($B$10:$D$26)))*10+50</f>
        <v>#DIV/0!</v>
      </c>
      <c r="BC151" s="8"/>
      <c r="BD151" s="49">
        <v>28</v>
      </c>
      <c r="BE151" s="83">
        <f t="shared" si="131"/>
        <v>9</v>
      </c>
      <c r="BF151" s="15">
        <f>IF(AND(BD151&lt;&gt;"", BG151&lt;&gt;""), ROUND(100*(1-(BI150+BI151)/2/BJ$111), $B$39), "")</f>
        <v>1</v>
      </c>
      <c r="BG151" s="52">
        <v>128</v>
      </c>
      <c r="BH151" s="16">
        <f t="shared" si="144"/>
        <v>1.0865136493277197E-3</v>
      </c>
      <c r="BI151" s="17">
        <f>IF(AND(BD151&lt;&gt;"", BG151&lt;&gt;""), SUM(BG$114:BG151), "")</f>
        <v>116333</v>
      </c>
      <c r="BJ151" s="16">
        <f t="shared" si="145"/>
        <v>0.98747962786907506</v>
      </c>
      <c r="BK151" s="14"/>
    </row>
    <row r="152" spans="1:63" ht="16" customHeight="1" x14ac:dyDescent="0.2">
      <c r="A152" s="1"/>
      <c r="B152" s="1"/>
      <c r="C152" s="1"/>
      <c r="D152" s="1"/>
      <c r="N152" s="1"/>
      <c r="O152" s="1"/>
      <c r="P152" s="1"/>
      <c r="Q152" s="1"/>
      <c r="R152" s="1"/>
      <c r="S152" s="1"/>
      <c r="T152" s="1"/>
      <c r="U152" s="1"/>
      <c r="W152" s="1"/>
      <c r="X152" s="1"/>
      <c r="Y152" s="1"/>
      <c r="Z152" s="1"/>
      <c r="AA152" s="1"/>
      <c r="AB152" s="1"/>
      <c r="AC152" s="1"/>
      <c r="AD152" s="1"/>
      <c r="AE152" s="19">
        <v>11</v>
      </c>
      <c r="AF152" s="20" t="e" cm="1">
        <f t="array" aca="1" ref="AF152" ca="1">(AE152-INDIRECT(SUBSTITUTE(ADDRESS(1,COLUMN($C$9),4),"1","")&amp;SUMPRODUCT(($B$10:$D$26=INDIRECT(SUBSTITUTE(ADDRESS(1,COLUMN()-1,4),"1","")&amp;ROW()-41))*ROW($B$10:$D$26))))/INDIRECT(SUBSTITUTE(ADDRESS(1,COLUMN($D$9),4),"1","")&amp;SUMPRODUCT(($B$10:$D$26=INDIRECT(SUBSTITUTE(ADDRESS(1,COLUMN()-1,4),"1","")&amp;ROW()-41))*ROW($B$10:$D$26)))*10+50</f>
        <v>#DIV/0!</v>
      </c>
      <c r="AG152" s="8"/>
      <c r="AH152" s="49">
        <v>32</v>
      </c>
      <c r="AI152" s="83">
        <f t="shared" si="129"/>
        <v>8</v>
      </c>
      <c r="AJ152" s="15">
        <f>IF(AND(AH152&lt;&gt;"", AK152&lt;&gt;""), ROUND(100*(1-(AM151+AM152)/2/AN$111), $B$39), "")</f>
        <v>4</v>
      </c>
      <c r="AK152" s="52">
        <v>55</v>
      </c>
      <c r="AL152" s="16">
        <f t="shared" si="140"/>
        <v>2.0837279787838604E-3</v>
      </c>
      <c r="AM152" s="17">
        <f>IF(AND(AH152&lt;&gt;"", AK152&lt;&gt;""), SUM(AK$114:AK152), "")</f>
        <v>25273</v>
      </c>
      <c r="AN152" s="16">
        <f t="shared" si="141"/>
        <v>0.95749194923280923</v>
      </c>
      <c r="AO152" s="14"/>
      <c r="AP152" s="27">
        <v>11</v>
      </c>
      <c r="AQ152" s="20" t="e" cm="1">
        <f t="array" aca="1" ref="AQ152" ca="1">(AP152-INDIRECT(SUBSTITUTE(ADDRESS(1,COLUMN($C$9),4),"1","")&amp;SUMPRODUCT(($B$10:$D$26=INDIRECT(SUBSTITUTE(ADDRESS(1,COLUMN()-1,4),"1","")&amp;ROW()-41))*ROW($B$10:$D$26))))/INDIRECT(SUBSTITUTE(ADDRESS(1,COLUMN($D$9),4),"1","")&amp;SUMPRODUCT(($B$10:$D$26=INDIRECT(SUBSTITUTE(ADDRESS(1,COLUMN()-1,4),"1","")&amp;ROW()-41))*ROW($B$10:$D$26)))*10+50</f>
        <v>#DIV/0!</v>
      </c>
      <c r="AR152" s="8"/>
      <c r="AS152" s="49">
        <v>34</v>
      </c>
      <c r="AT152" s="83">
        <f t="shared" si="130"/>
        <v>8</v>
      </c>
      <c r="AU152" s="15">
        <f>IF(AND(AS152&lt;&gt;"", AV152&lt;&gt;""), ROUND(100*(1-(AX151+AX152)/2/AY$111), $B$39), "")</f>
        <v>9</v>
      </c>
      <c r="AV152" s="52">
        <v>17</v>
      </c>
      <c r="AW152" s="16">
        <f t="shared" si="142"/>
        <v>2.5812329183115702E-3</v>
      </c>
      <c r="AX152" s="17">
        <f>IF(AND(AS152&lt;&gt;"", AV152&lt;&gt;""), SUM(AV$114:AV152), "")</f>
        <v>5974</v>
      </c>
      <c r="AY152" s="16">
        <f t="shared" si="143"/>
        <v>0.90707561494078348</v>
      </c>
      <c r="AZ152" s="14"/>
      <c r="BA152" s="27">
        <v>11</v>
      </c>
      <c r="BB152" s="20" t="e" cm="1">
        <f t="array" aca="1" ref="BB152" ca="1">(BA152-INDIRECT(SUBSTITUTE(ADDRESS(1,COLUMN($C$9),4),"1","")&amp;SUMPRODUCT(($B$10:$D$26=INDIRECT(SUBSTITUTE(ADDRESS(1,COLUMN()-1,4),"1","")&amp;ROW()-41))*ROW($B$10:$D$26))))/INDIRECT(SUBSTITUTE(ADDRESS(1,COLUMN($D$9),4),"1","")&amp;SUMPRODUCT(($B$10:$D$26=INDIRECT(SUBSTITUTE(ADDRESS(1,COLUMN()-1,4),"1","")&amp;ROW()-41))*ROW($B$10:$D$26)))*10+50</f>
        <v>#DIV/0!</v>
      </c>
      <c r="BC152" s="8"/>
      <c r="BD152" s="49">
        <v>34</v>
      </c>
      <c r="BE152" s="83">
        <f t="shared" si="131"/>
        <v>9</v>
      </c>
      <c r="BF152" s="15">
        <f>IF(AND(BD152&lt;&gt;"", BG152&lt;&gt;""), ROUND(100*(1-(BI151+BI152)/2/BJ$111), $B$39), "")</f>
        <v>1</v>
      </c>
      <c r="BG152" s="52">
        <v>486</v>
      </c>
      <c r="BH152" s="16">
        <f t="shared" si="144"/>
        <v>4.1253565122911853E-3</v>
      </c>
      <c r="BI152" s="17">
        <f>IF(AND(BD152&lt;&gt;"", BG152&lt;&gt;""), SUM(BG$114:BG152), "")</f>
        <v>116819</v>
      </c>
      <c r="BJ152" s="16">
        <f t="shared" si="145"/>
        <v>0.99160498438136624</v>
      </c>
      <c r="BK152" s="14"/>
    </row>
    <row r="153" spans="1:63" ht="16" customHeight="1" x14ac:dyDescent="0.2">
      <c r="A153" s="1"/>
      <c r="B153" s="1"/>
      <c r="C153" s="1"/>
      <c r="D153" s="1"/>
      <c r="N153" s="1"/>
      <c r="O153" s="1"/>
      <c r="P153" s="1"/>
      <c r="Q153" s="1"/>
      <c r="R153" s="1"/>
      <c r="S153" s="1"/>
      <c r="T153" s="1"/>
      <c r="U153" s="1"/>
      <c r="W153" s="1"/>
      <c r="X153" s="1"/>
      <c r="Y153" s="1"/>
      <c r="Z153" s="1"/>
      <c r="AA153" s="1"/>
      <c r="AB153" s="1"/>
      <c r="AC153" s="1"/>
      <c r="AD153" s="1"/>
      <c r="AE153" s="19">
        <v>10</v>
      </c>
      <c r="AF153" s="20" t="e" cm="1">
        <f t="array" aca="1" ref="AF153" ca="1">(AE153-INDIRECT(SUBSTITUTE(ADDRESS(1,COLUMN($C$9),4),"1","")&amp;SUMPRODUCT(($B$10:$D$26=INDIRECT(SUBSTITUTE(ADDRESS(1,COLUMN()-1,4),"1","")&amp;ROW()-42))*ROW($B$10:$D$26))))/INDIRECT(SUBSTITUTE(ADDRESS(1,COLUMN($D$9),4),"1","")&amp;SUMPRODUCT(($B$10:$D$26=INDIRECT(SUBSTITUTE(ADDRESS(1,COLUMN()-1,4),"1","")&amp;ROW()-42))*ROW($B$10:$D$26)))*10+50</f>
        <v>#DIV/0!</v>
      </c>
      <c r="AG153" s="8"/>
      <c r="AH153" s="49">
        <v>37</v>
      </c>
      <c r="AI153" s="83">
        <f t="shared" si="129"/>
        <v>8</v>
      </c>
      <c r="AJ153" s="15">
        <f>IF(AND(AH153&lt;&gt;"", AK153&lt;&gt;""), ROUND(100*(1-(AM152+AM153)/2/AN$111), $B$39), "")</f>
        <v>4</v>
      </c>
      <c r="AK153" s="52">
        <v>227</v>
      </c>
      <c r="AL153" s="16">
        <f t="shared" si="140"/>
        <v>8.6001136578897526E-3</v>
      </c>
      <c r="AM153" s="17">
        <f>IF(AND(AH153&lt;&gt;"", AK153&lt;&gt;""), SUM(AK$114:AK153), "")</f>
        <v>25500</v>
      </c>
      <c r="AN153" s="16">
        <f t="shared" si="141"/>
        <v>0.96609206289069904</v>
      </c>
      <c r="AO153" s="14"/>
      <c r="AP153" s="27">
        <v>10</v>
      </c>
      <c r="AQ153" s="20" t="e" cm="1">
        <f t="array" aca="1" ref="AQ153" ca="1">(AP153-INDIRECT(SUBSTITUTE(ADDRESS(1,COLUMN($C$9),4),"1","")&amp;SUMPRODUCT(($B$10:$D$26=INDIRECT(SUBSTITUTE(ADDRESS(1,COLUMN()-1,4),"1","")&amp;ROW()-42))*ROW($B$10:$D$26))))/INDIRECT(SUBSTITUTE(ADDRESS(1,COLUMN($D$9),4),"1","")&amp;SUMPRODUCT(($B$10:$D$26=INDIRECT(SUBSTITUTE(ADDRESS(1,COLUMN()-1,4),"1","")&amp;ROW()-42))*ROW($B$10:$D$26)))*10+50</f>
        <v>#DIV/0!</v>
      </c>
      <c r="AR153" s="8"/>
      <c r="AS153" s="49">
        <v>40</v>
      </c>
      <c r="AT153" s="83">
        <f t="shared" si="130"/>
        <v>8</v>
      </c>
      <c r="AU153" s="15">
        <f>IF(AND(AS153&lt;&gt;"", AV153&lt;&gt;""), ROUND(100*(1-(AX152+AX153)/2/AY$111), $B$39), "")</f>
        <v>8</v>
      </c>
      <c r="AV153" s="52">
        <v>139</v>
      </c>
      <c r="AW153" s="16">
        <f t="shared" si="142"/>
        <v>2.1105375037959308E-2</v>
      </c>
      <c r="AX153" s="17">
        <f>IF(AND(AS153&lt;&gt;"", AV153&lt;&gt;""), SUM(AV$114:AV153), "")</f>
        <v>6113</v>
      </c>
      <c r="AY153" s="16">
        <f t="shared" si="143"/>
        <v>0.92818098997874277</v>
      </c>
      <c r="AZ153" s="14"/>
      <c r="BA153" s="27">
        <v>10</v>
      </c>
      <c r="BB153" s="20" t="e" cm="1">
        <f t="array" aca="1" ref="BB153" ca="1">(BA153-INDIRECT(SUBSTITUTE(ADDRESS(1,COLUMN($C$9),4),"1","")&amp;SUMPRODUCT(($B$10:$D$26=INDIRECT(SUBSTITUTE(ADDRESS(1,COLUMN()-1,4),"1","")&amp;ROW()-42))*ROW($B$10:$D$26))))/INDIRECT(SUBSTITUTE(ADDRESS(1,COLUMN($D$9),4),"1","")&amp;SUMPRODUCT(($B$10:$D$26=INDIRECT(SUBSTITUTE(ADDRESS(1,COLUMN()-1,4),"1","")&amp;ROW()-42))*ROW($B$10:$D$26)))*10+50</f>
        <v>#DIV/0!</v>
      </c>
      <c r="BC153" s="8"/>
      <c r="BD153" s="49">
        <v>33</v>
      </c>
      <c r="BE153" s="83">
        <f t="shared" si="131"/>
        <v>9</v>
      </c>
      <c r="BF153" s="15">
        <f>IF(AND(BD153&lt;&gt;"", BG153&lt;&gt;""), ROUND(100*(1-(BI152+BI153)/2/BJ$111), $B$39), "")</f>
        <v>1</v>
      </c>
      <c r="BG153" s="52">
        <v>256</v>
      </c>
      <c r="BH153" s="16">
        <f t="shared" si="144"/>
        <v>2.1730272986554395E-3</v>
      </c>
      <c r="BI153" s="17">
        <f>IF(AND(BD153&lt;&gt;"", BG153&lt;&gt;""), SUM(BG$114:BG153), "")</f>
        <v>117075</v>
      </c>
      <c r="BJ153" s="16">
        <f t="shared" si="145"/>
        <v>0.99377801168002178</v>
      </c>
      <c r="BK153" s="14"/>
    </row>
    <row r="154" spans="1:63" ht="16" customHeight="1" x14ac:dyDescent="0.2">
      <c r="A154" s="1"/>
      <c r="B154" s="1"/>
      <c r="C154" s="1"/>
      <c r="D154" s="1"/>
      <c r="N154" s="1"/>
      <c r="O154" s="1"/>
      <c r="P154" s="1"/>
      <c r="Q154" s="1"/>
      <c r="R154" s="1"/>
      <c r="S154" s="1"/>
      <c r="T154" s="1"/>
      <c r="U154" s="1"/>
      <c r="W154" s="1"/>
      <c r="X154" s="1"/>
      <c r="Y154" s="1"/>
      <c r="Z154" s="1"/>
      <c r="AA154" s="1"/>
      <c r="AB154" s="1"/>
      <c r="AC154" s="1"/>
      <c r="AD154" s="1"/>
      <c r="AE154" s="19">
        <v>9</v>
      </c>
      <c r="AF154" s="20" t="e" cm="1">
        <f t="array" aca="1" ref="AF154" ca="1">(AE154-INDIRECT(SUBSTITUTE(ADDRESS(1,COLUMN($C$9),4),"1","")&amp;SUMPRODUCT(($B$10:$D$26=INDIRECT(SUBSTITUTE(ADDRESS(1,COLUMN()-1,4),"1","")&amp;ROW()-43))*ROW($B$10:$D$26))))/INDIRECT(SUBSTITUTE(ADDRESS(1,COLUMN($D$9),4),"1","")&amp;SUMPRODUCT(($B$10:$D$26=INDIRECT(SUBSTITUTE(ADDRESS(1,COLUMN()-1,4),"1","")&amp;ROW()-43))*ROW($B$10:$D$26)))*10+50</f>
        <v>#DIV/0!</v>
      </c>
      <c r="AG154" s="8"/>
      <c r="AH154" s="49">
        <v>36</v>
      </c>
      <c r="AI154" s="83">
        <f t="shared" si="129"/>
        <v>9</v>
      </c>
      <c r="AJ154" s="15">
        <f>IF(AND(AH154&lt;&gt;"", AK154&lt;&gt;""), ROUND(100*(1-(AM153+AM154)/2/AN$111), $B$39), "")</f>
        <v>3</v>
      </c>
      <c r="AK154" s="52">
        <v>459</v>
      </c>
      <c r="AL154" s="16">
        <f t="shared" si="140"/>
        <v>1.7389657132032582E-2</v>
      </c>
      <c r="AM154" s="17">
        <f>IF(AND(AH154&lt;&gt;"", AK154&lt;&gt;""), SUM(AK$114:AK154), "")</f>
        <v>25959</v>
      </c>
      <c r="AN154" s="16">
        <f t="shared" si="141"/>
        <v>0.9834817200227316</v>
      </c>
      <c r="AO154" s="14"/>
      <c r="AP154" s="27">
        <v>9</v>
      </c>
      <c r="AQ154" s="20" t="e" cm="1">
        <f t="array" aca="1" ref="AQ154" ca="1">(AP154-INDIRECT(SUBSTITUTE(ADDRESS(1,COLUMN($C$9),4),"1","")&amp;SUMPRODUCT(($B$10:$D$26=INDIRECT(SUBSTITUTE(ADDRESS(1,COLUMN()-1,4),"1","")&amp;ROW()-43))*ROW($B$10:$D$26))))/INDIRECT(SUBSTITUTE(ADDRESS(1,COLUMN($D$9),4),"1","")&amp;SUMPRODUCT(($B$10:$D$26=INDIRECT(SUBSTITUTE(ADDRESS(1,COLUMN()-1,4),"1","")&amp;ROW()-43))*ROW($B$10:$D$26)))*10+50</f>
        <v>#DIV/0!</v>
      </c>
      <c r="AR154" s="8"/>
      <c r="AS154" s="49">
        <v>39</v>
      </c>
      <c r="AT154" s="83">
        <f t="shared" si="130"/>
        <v>8</v>
      </c>
      <c r="AU154" s="15">
        <f>IF(AND(AS154&lt;&gt;"", AV154&lt;&gt;""), ROUND(100*(1-(AX153+AX154)/2/AY$111), $B$39), "")</f>
        <v>6</v>
      </c>
      <c r="AV154" s="52">
        <v>189</v>
      </c>
      <c r="AW154" s="16">
        <f t="shared" si="142"/>
        <v>2.8697236562405103E-2</v>
      </c>
      <c r="AX154" s="17">
        <f>IF(AND(AS154&lt;&gt;"", AV154&lt;&gt;""), SUM(AV$114:AV154), "")</f>
        <v>6302</v>
      </c>
      <c r="AY154" s="16">
        <f t="shared" si="143"/>
        <v>0.95687822654114785</v>
      </c>
      <c r="AZ154" s="14"/>
      <c r="BA154" s="27">
        <v>9</v>
      </c>
      <c r="BB154" s="20" t="e" cm="1">
        <f t="array" aca="1" ref="BB154" ca="1">(BA154-INDIRECT(SUBSTITUTE(ADDRESS(1,COLUMN($C$9),4),"1","")&amp;SUMPRODUCT(($B$10:$D$26=INDIRECT(SUBSTITUTE(ADDRESS(1,COLUMN()-1,4),"1","")&amp;ROW()-43))*ROW($B$10:$D$26))))/INDIRECT(SUBSTITUTE(ADDRESS(1,COLUMN($D$9),4),"1","")&amp;SUMPRODUCT(($B$10:$D$26=INDIRECT(SUBSTITUTE(ADDRESS(1,COLUMN()-1,4),"1","")&amp;ROW()-43))*ROW($B$10:$D$26)))*10+50</f>
        <v>#DIV/0!</v>
      </c>
      <c r="BC154" s="8"/>
      <c r="BD154" s="49">
        <v>32</v>
      </c>
      <c r="BE154" s="83">
        <f t="shared" si="131"/>
        <v>9</v>
      </c>
      <c r="BF154" s="15">
        <f>IF(AND(BD154&lt;&gt;"", BG154&lt;&gt;""), ROUND(100*(1-(BI153+BI154)/2/BJ$111), $B$39), "")</f>
        <v>0</v>
      </c>
      <c r="BG154" s="52">
        <v>347</v>
      </c>
      <c r="BH154" s="16">
        <f t="shared" si="144"/>
        <v>2.945470596224365E-3</v>
      </c>
      <c r="BI154" s="17">
        <f>IF(AND(BD154&lt;&gt;"", BG154&lt;&gt;""), SUM(BG$114:BG154), "")</f>
        <v>117422</v>
      </c>
      <c r="BJ154" s="16">
        <f t="shared" si="145"/>
        <v>0.99672348227624608</v>
      </c>
      <c r="BK154" s="14"/>
    </row>
    <row r="155" spans="1:63" ht="16" customHeight="1" x14ac:dyDescent="0.2">
      <c r="A155" s="1"/>
      <c r="B155" s="1"/>
      <c r="C155" s="1"/>
      <c r="D155" s="1"/>
      <c r="N155" s="1"/>
      <c r="O155" s="1"/>
      <c r="P155" s="1"/>
      <c r="Q155" s="1"/>
      <c r="R155" s="1"/>
      <c r="S155" s="1"/>
      <c r="T155" s="1"/>
      <c r="U155" s="1"/>
      <c r="W155" s="1"/>
      <c r="X155" s="1"/>
      <c r="Y155" s="1"/>
      <c r="Z155" s="1"/>
      <c r="AA155" s="1"/>
      <c r="AB155" s="1"/>
      <c r="AC155" s="1"/>
      <c r="AD155" s="1"/>
      <c r="AE155" s="19">
        <v>8</v>
      </c>
      <c r="AF155" s="20" t="e" cm="1">
        <f t="array" aca="1" ref="AF155" ca="1">(AE155-INDIRECT(SUBSTITUTE(ADDRESS(1,COLUMN($C$9),4),"1","")&amp;SUMPRODUCT(($B$10:$D$26=INDIRECT(SUBSTITUTE(ADDRESS(1,COLUMN()-1,4),"1","")&amp;ROW()-44))*ROW($B$10:$D$26))))/INDIRECT(SUBSTITUTE(ADDRESS(1,COLUMN($D$9),4),"1","")&amp;SUMPRODUCT(($B$10:$D$26=INDIRECT(SUBSTITUTE(ADDRESS(1,COLUMN()-1,4),"1","")&amp;ROW()-44))*ROW($B$10:$D$26)))*10+50</f>
        <v>#DIV/0!</v>
      </c>
      <c r="AG155" s="8"/>
      <c r="AH155" s="49">
        <v>35</v>
      </c>
      <c r="AI155" s="83">
        <f t="shared" si="129"/>
        <v>9</v>
      </c>
      <c r="AJ155" s="15">
        <f>IF(AND(AH155&lt;&gt;"", AK155&lt;&gt;""), ROUND(100*(1-(AM154+AM155)/2/AN$111), $B$39), "")</f>
        <v>1</v>
      </c>
      <c r="AK155" s="52">
        <v>124</v>
      </c>
      <c r="AL155" s="16">
        <f t="shared" si="140"/>
        <v>4.6978594430763399E-3</v>
      </c>
      <c r="AM155" s="17">
        <f>IF(AND(AH155&lt;&gt;"", AK155&lt;&gt;""), SUM(AK$114:AK155), "")</f>
        <v>26083</v>
      </c>
      <c r="AN155" s="16">
        <f t="shared" si="141"/>
        <v>0.98817957946580792</v>
      </c>
      <c r="AO155" s="14"/>
      <c r="AP155" s="27">
        <v>8</v>
      </c>
      <c r="AQ155" s="20" t="e" cm="1">
        <f t="array" aca="1" ref="AQ155" ca="1">(AP155-INDIRECT(SUBSTITUTE(ADDRESS(1,COLUMN($C$9),4),"1","")&amp;SUMPRODUCT(($B$10:$D$26=INDIRECT(SUBSTITUTE(ADDRESS(1,COLUMN()-1,4),"1","")&amp;ROW()-44))*ROW($B$10:$D$26))))/INDIRECT(SUBSTITUTE(ADDRESS(1,COLUMN($D$9),4),"1","")&amp;SUMPRODUCT(($B$10:$D$26=INDIRECT(SUBSTITUTE(ADDRESS(1,COLUMN()-1,4),"1","")&amp;ROW()-44))*ROW($B$10:$D$26)))*10+50</f>
        <v>#DIV/0!</v>
      </c>
      <c r="AR155" s="8"/>
      <c r="AS155" s="49">
        <v>38</v>
      </c>
      <c r="AT155" s="83">
        <f t="shared" si="130"/>
        <v>8</v>
      </c>
      <c r="AU155" s="15">
        <f>IF(AND(AS155&lt;&gt;"", AV155&lt;&gt;""), ROUND(100*(1-(AX154+AX155)/2/AY$111), $B$39), "")</f>
        <v>4</v>
      </c>
      <c r="AV155" s="52">
        <v>71</v>
      </c>
      <c r="AW155" s="16">
        <f t="shared" si="142"/>
        <v>1.0780443364713028E-2</v>
      </c>
      <c r="AX155" s="17">
        <f>IF(AND(AS155&lt;&gt;"", AV155&lt;&gt;""), SUM(AV$114:AV155), "")</f>
        <v>6373</v>
      </c>
      <c r="AY155" s="16">
        <f t="shared" si="143"/>
        <v>0.96765866990586091</v>
      </c>
      <c r="AZ155" s="14"/>
      <c r="BA155" s="27">
        <v>8</v>
      </c>
      <c r="BB155" s="20" t="e" cm="1">
        <f t="array" aca="1" ref="BB155" ca="1">(BA155-INDIRECT(SUBSTITUTE(ADDRESS(1,COLUMN($C$9),4),"1","")&amp;SUMPRODUCT(($B$10:$D$26=INDIRECT(SUBSTITUTE(ADDRESS(1,COLUMN()-1,4),"1","")&amp;ROW()-44))*ROW($B$10:$D$26))))/INDIRECT(SUBSTITUTE(ADDRESS(1,COLUMN($D$9),4),"1","")&amp;SUMPRODUCT(($B$10:$D$26=INDIRECT(SUBSTITUTE(ADDRESS(1,COLUMN()-1,4),"1","")&amp;ROW()-44))*ROW($B$10:$D$26)))*10+50</f>
        <v>#DIV/0!</v>
      </c>
      <c r="BC155" s="8"/>
      <c r="BD155" s="49">
        <v>30</v>
      </c>
      <c r="BE155" s="83">
        <f t="shared" si="131"/>
        <v>9</v>
      </c>
      <c r="BF155" s="15">
        <f>IF(AND(BD155&lt;&gt;"", BG155&lt;&gt;""), ROUND(100*(1-(BI154+BI155)/2/BJ$111), $B$39), "")</f>
        <v>0</v>
      </c>
      <c r="BG155" s="52">
        <v>386</v>
      </c>
      <c r="BH155" s="16">
        <f t="shared" si="144"/>
        <v>3.2765177237539045E-3</v>
      </c>
      <c r="BI155" s="17">
        <f>IF(AND(BD155&lt;&gt;"", BG155&lt;&gt;""), SUM(BG$114:BG155), "")</f>
        <v>117808</v>
      </c>
      <c r="BJ155" s="16">
        <f t="shared" si="145"/>
        <v>1</v>
      </c>
      <c r="BK155" s="14"/>
    </row>
    <row r="156" spans="1:63" ht="16" customHeight="1" x14ac:dyDescent="0.2">
      <c r="A156" s="1"/>
      <c r="B156" s="1"/>
      <c r="C156" s="1"/>
      <c r="D156" s="1"/>
      <c r="N156" s="1"/>
      <c r="O156" s="1"/>
      <c r="P156" s="1"/>
      <c r="Q156" s="1"/>
      <c r="R156" s="1"/>
      <c r="S156" s="1"/>
      <c r="T156" s="1"/>
      <c r="U156" s="1"/>
      <c r="W156" s="1"/>
      <c r="X156" s="1"/>
      <c r="Y156" s="1"/>
      <c r="Z156" s="1"/>
      <c r="AA156" s="1"/>
      <c r="AB156" s="1"/>
      <c r="AC156" s="1"/>
      <c r="AD156" s="1"/>
      <c r="AE156" s="19">
        <v>7</v>
      </c>
      <c r="AF156" s="20" t="e" cm="1">
        <f t="array" aca="1" ref="AF156" ca="1">(AE156-INDIRECT(SUBSTITUTE(ADDRESS(1,COLUMN($C$9),4),"1","")&amp;SUMPRODUCT(($B$10:$D$26=INDIRECT(SUBSTITUTE(ADDRESS(1,COLUMN()-1,4),"1","")&amp;ROW()-45))*ROW($B$10:$D$26))))/INDIRECT(SUBSTITUTE(ADDRESS(1,COLUMN($D$9),4),"1","")&amp;SUMPRODUCT(($B$10:$D$26=INDIRECT(SUBSTITUTE(ADDRESS(1,COLUMN()-1,4),"1","")&amp;ROW()-45))*ROW($B$10:$D$26)))*10+50</f>
        <v>#DIV/0!</v>
      </c>
      <c r="AG156" s="8"/>
      <c r="AH156" s="49">
        <v>34</v>
      </c>
      <c r="AI156" s="83">
        <f t="shared" si="129"/>
        <v>9</v>
      </c>
      <c r="AJ156" s="15">
        <f>IF(AND(AH156&lt;&gt;"", AK156&lt;&gt;""), ROUND(100*(1-(AM155+AM156)/2/AN$111), $B$39), "")</f>
        <v>1</v>
      </c>
      <c r="AK156" s="52">
        <v>94</v>
      </c>
      <c r="AL156" s="16">
        <f t="shared" si="140"/>
        <v>3.561280545557871E-3</v>
      </c>
      <c r="AM156" s="17">
        <f>IF(AND(AH156&lt;&gt;"", AK156&lt;&gt;""), SUM(AK$114:AK156), "")</f>
        <v>26177</v>
      </c>
      <c r="AN156" s="16">
        <f t="shared" si="141"/>
        <v>0.99174086001136574</v>
      </c>
      <c r="AO156" s="14"/>
      <c r="AP156" s="27">
        <v>7</v>
      </c>
      <c r="AQ156" s="20" t="e" cm="1">
        <f t="array" aca="1" ref="AQ156" ca="1">(AP156-INDIRECT(SUBSTITUTE(ADDRESS(1,COLUMN($C$9),4),"1","")&amp;SUMPRODUCT(($B$10:$D$26=INDIRECT(SUBSTITUTE(ADDRESS(1,COLUMN()-1,4),"1","")&amp;ROW()-45))*ROW($B$10:$D$26))))/INDIRECT(SUBSTITUTE(ADDRESS(1,COLUMN($D$9),4),"1","")&amp;SUMPRODUCT(($B$10:$D$26=INDIRECT(SUBSTITUTE(ADDRESS(1,COLUMN()-1,4),"1","")&amp;ROW()-45))*ROW($B$10:$D$26)))*10+50</f>
        <v>#DIV/0!</v>
      </c>
      <c r="AR156" s="8"/>
      <c r="AS156" s="49">
        <v>37</v>
      </c>
      <c r="AT156" s="83">
        <f t="shared" si="130"/>
        <v>9</v>
      </c>
      <c r="AU156" s="15">
        <f>IF(AND(AS156&lt;&gt;"", AV156&lt;&gt;""), ROUND(100*(1-(AX155+AX156)/2/AY$111), $B$39), "")</f>
        <v>3</v>
      </c>
      <c r="AV156" s="52">
        <v>86</v>
      </c>
      <c r="AW156" s="16">
        <f t="shared" si="142"/>
        <v>1.3058001822046765E-2</v>
      </c>
      <c r="AX156" s="17">
        <f>IF(AND(AS156&lt;&gt;"", AV156&lt;&gt;""), SUM(AV$114:AV156), "")</f>
        <v>6459</v>
      </c>
      <c r="AY156" s="16">
        <f t="shared" si="143"/>
        <v>0.98071667172790766</v>
      </c>
      <c r="AZ156" s="14"/>
      <c r="BA156" s="27">
        <v>7</v>
      </c>
      <c r="BB156" s="20" t="e" cm="1">
        <f t="array" aca="1" ref="BB156" ca="1">(BA156-INDIRECT(SUBSTITUTE(ADDRESS(1,COLUMN($C$9),4),"1","")&amp;SUMPRODUCT(($B$10:$D$26=INDIRECT(SUBSTITUTE(ADDRESS(1,COLUMN()-1,4),"1","")&amp;ROW()-45))*ROW($B$10:$D$26))))/INDIRECT(SUBSTITUTE(ADDRESS(1,COLUMN($D$9),4),"1","")&amp;SUMPRODUCT(($B$10:$D$26=INDIRECT(SUBSTITUTE(ADDRESS(1,COLUMN()-1,4),"1","")&amp;ROW()-45))*ROW($B$10:$D$26)))*10+50</f>
        <v>#DIV/0!</v>
      </c>
      <c r="BC156" s="8"/>
      <c r="BD156" s="49"/>
      <c r="BE156" s="83" t="str">
        <f t="shared" si="131"/>
        <v/>
      </c>
      <c r="BF156" s="15" t="str">
        <f>IF(AND(BD156&lt;&gt;"", BG156&lt;&gt;""), ROUND(100*(1-(BI155+BI156)/2/BJ$111), $B$39), "")</f>
        <v/>
      </c>
      <c r="BG156" s="52"/>
      <c r="BH156" s="16" t="str">
        <f t="shared" si="144"/>
        <v/>
      </c>
      <c r="BI156" s="17" t="str">
        <f>IF(AND(BD156&lt;&gt;"", BG156&lt;&gt;""), SUM(BG$114:BG156), "")</f>
        <v/>
      </c>
      <c r="BJ156" s="16" t="str">
        <f t="shared" si="145"/>
        <v/>
      </c>
      <c r="BK156" s="14"/>
    </row>
    <row r="157" spans="1:63" ht="16" customHeight="1" x14ac:dyDescent="0.2">
      <c r="A157" s="1"/>
      <c r="B157" s="1"/>
      <c r="C157" s="1"/>
      <c r="D157" s="1"/>
      <c r="N157" s="1"/>
      <c r="O157" s="1"/>
      <c r="P157" s="1"/>
      <c r="Q157" s="1"/>
      <c r="R157" s="1"/>
      <c r="S157" s="1"/>
      <c r="T157" s="1"/>
      <c r="U157" s="1"/>
      <c r="W157" s="1"/>
      <c r="X157" s="1"/>
      <c r="Y157" s="1"/>
      <c r="Z157" s="1"/>
      <c r="AA157" s="1"/>
      <c r="AB157" s="1"/>
      <c r="AC157" s="1"/>
      <c r="AD157" s="1"/>
      <c r="AE157" s="19">
        <v>6</v>
      </c>
      <c r="AF157" s="20" t="e" cm="1">
        <f t="array" aca="1" ref="AF157" ca="1">(AE157-INDIRECT(SUBSTITUTE(ADDRESS(1,COLUMN($C$9),4),"1","")&amp;SUMPRODUCT(($B$10:$D$26=INDIRECT(SUBSTITUTE(ADDRESS(1,COLUMN()-1,4),"1","")&amp;ROW()-46))*ROW($B$10:$D$26))))/INDIRECT(SUBSTITUTE(ADDRESS(1,COLUMN($D$9),4),"1","")&amp;SUMPRODUCT(($B$10:$D$26=INDIRECT(SUBSTITUTE(ADDRESS(1,COLUMN()-1,4),"1","")&amp;ROW()-46))*ROW($B$10:$D$26)))*10+50</f>
        <v>#DIV/0!</v>
      </c>
      <c r="AG157" s="8"/>
      <c r="AH157" s="49">
        <v>33</v>
      </c>
      <c r="AI157" s="83">
        <f t="shared" si="129"/>
        <v>9</v>
      </c>
      <c r="AJ157" s="15">
        <f>IF(AND(AH157&lt;&gt;"", AK157&lt;&gt;""), ROUND(100*(1-(AM156+AM157)/2/AN$111), $B$39), "")</f>
        <v>1</v>
      </c>
      <c r="AK157" s="52">
        <v>114</v>
      </c>
      <c r="AL157" s="16">
        <f t="shared" si="140"/>
        <v>4.3189998105701835E-3</v>
      </c>
      <c r="AM157" s="17">
        <f>IF(AND(AH157&lt;&gt;"", AK157&lt;&gt;""), SUM(AK$114:AK157), "")</f>
        <v>26291</v>
      </c>
      <c r="AN157" s="16">
        <f t="shared" si="141"/>
        <v>0.99605985982193601</v>
      </c>
      <c r="AO157" s="14"/>
      <c r="AP157" s="27">
        <v>6</v>
      </c>
      <c r="AQ157" s="20" t="e" cm="1">
        <f t="array" aca="1" ref="AQ157" ca="1">(AP157-INDIRECT(SUBSTITUTE(ADDRESS(1,COLUMN($C$9),4),"1","")&amp;SUMPRODUCT(($B$10:$D$26=INDIRECT(SUBSTITUTE(ADDRESS(1,COLUMN()-1,4),"1","")&amp;ROW()-46))*ROW($B$10:$D$26))))/INDIRECT(SUBSTITUTE(ADDRESS(1,COLUMN($D$9),4),"1","")&amp;SUMPRODUCT(($B$10:$D$26=INDIRECT(SUBSTITUTE(ADDRESS(1,COLUMN()-1,4),"1","")&amp;ROW()-46))*ROW($B$10:$D$26)))*10+50</f>
        <v>#DIV/0!</v>
      </c>
      <c r="AR157" s="8"/>
      <c r="AS157" s="53">
        <v>36</v>
      </c>
      <c r="AT157" s="83">
        <f t="shared" si="130"/>
        <v>9</v>
      </c>
      <c r="AU157" s="15">
        <f>IF(AND(AS157&lt;&gt;"", AV157&lt;&gt;""), ROUND(100*(1-(AX156+AX157)/2/AY$111), $B$39), "")</f>
        <v>2</v>
      </c>
      <c r="AV157" s="54">
        <v>42</v>
      </c>
      <c r="AW157" s="16">
        <f t="shared" si="142"/>
        <v>6.3771636805344672E-3</v>
      </c>
      <c r="AX157" s="17">
        <f>IF(AND(AS157&lt;&gt;"", AV157&lt;&gt;""), SUM(AV$114:AV157), "")</f>
        <v>6501</v>
      </c>
      <c r="AY157" s="16">
        <f t="shared" si="143"/>
        <v>0.9870938354084422</v>
      </c>
      <c r="AZ157" s="14"/>
      <c r="BA157" s="27">
        <v>6</v>
      </c>
      <c r="BB157" s="20" t="e" cm="1">
        <f t="array" aca="1" ref="BB157" ca="1">(BA157-INDIRECT(SUBSTITUTE(ADDRESS(1,COLUMN($C$9),4),"1","")&amp;SUMPRODUCT(($B$10:$D$26=INDIRECT(SUBSTITUTE(ADDRESS(1,COLUMN()-1,4),"1","")&amp;ROW()-46))*ROW($B$10:$D$26))))/INDIRECT(SUBSTITUTE(ADDRESS(1,COLUMN($D$9),4),"1","")&amp;SUMPRODUCT(($B$10:$D$26=INDIRECT(SUBSTITUTE(ADDRESS(1,COLUMN()-1,4),"1","")&amp;ROW()-46))*ROW($B$10:$D$26)))*10+50</f>
        <v>#DIV/0!</v>
      </c>
      <c r="BC157" s="8"/>
      <c r="BD157" s="38"/>
      <c r="BE157" s="83" t="str">
        <f t="shared" si="131"/>
        <v/>
      </c>
      <c r="BF157" s="15" t="str">
        <f>IF(AND(BD157&lt;&gt;"", BG157&lt;&gt;""), ROUND(100*(1-(BI156+BI157)/2/BJ$111), $B$39), "")</f>
        <v/>
      </c>
      <c r="BG157" s="43"/>
      <c r="BH157" s="16" t="str">
        <f t="shared" si="144"/>
        <v/>
      </c>
      <c r="BI157" s="17" t="str">
        <f>IF(AND(BD157&lt;&gt;"", BG157&lt;&gt;""), SUM(BG$114:BG157), "")</f>
        <v/>
      </c>
      <c r="BJ157" s="16" t="str">
        <f t="shared" si="145"/>
        <v/>
      </c>
      <c r="BK157" s="14"/>
    </row>
    <row r="158" spans="1:63" ht="16" customHeight="1" x14ac:dyDescent="0.2">
      <c r="A158" s="1"/>
      <c r="B158" s="1"/>
      <c r="C158" s="1"/>
      <c r="D158" s="1"/>
      <c r="N158" s="1"/>
      <c r="O158" s="1"/>
      <c r="P158" s="1"/>
      <c r="Q158" s="1"/>
      <c r="R158" s="1"/>
      <c r="S158" s="1"/>
      <c r="T158" s="1"/>
      <c r="U158" s="1"/>
      <c r="W158" s="1"/>
      <c r="X158" s="1"/>
      <c r="Y158" s="1"/>
      <c r="Z158" s="1"/>
      <c r="AA158" s="1"/>
      <c r="AB158" s="1"/>
      <c r="AC158" s="1"/>
      <c r="AD158" s="1"/>
      <c r="AE158" s="19">
        <v>5</v>
      </c>
      <c r="AF158" s="20" t="e" cm="1">
        <f t="array" aca="1" ref="AF158" ca="1">(AE158-INDIRECT(SUBSTITUTE(ADDRESS(1,COLUMN($C$9),4),"1","")&amp;SUMPRODUCT(($B$10:$D$26=INDIRECT(SUBSTITUTE(ADDRESS(1,COLUMN()-1,4),"1","")&amp;ROW()-47))*ROW($B$10:$D$26))))/INDIRECT(SUBSTITUTE(ADDRESS(1,COLUMN($D$9),4),"1","")&amp;SUMPRODUCT(($B$10:$D$26=INDIRECT(SUBSTITUTE(ADDRESS(1,COLUMN()-1,4),"1","")&amp;ROW()-47))*ROW($B$10:$D$26)))*10+50</f>
        <v>#DIV/0!</v>
      </c>
      <c r="AG158" s="8"/>
      <c r="AH158" s="49">
        <v>32</v>
      </c>
      <c r="AI158" s="83">
        <f t="shared" si="129"/>
        <v>9</v>
      </c>
      <c r="AJ158" s="15">
        <f>IF(AND(AH158&lt;&gt;"", AK158&lt;&gt;""), ROUND(100*(1-(AM157+AM158)/2/AN$111), $B$39), "")</f>
        <v>0</v>
      </c>
      <c r="AK158" s="52">
        <v>104</v>
      </c>
      <c r="AL158" s="16">
        <f t="shared" si="140"/>
        <v>3.940140178064027E-3</v>
      </c>
      <c r="AM158" s="17">
        <f>IF(AND(AH158&lt;&gt;"", AK158&lt;&gt;""), SUM(AK$114:AK158), "")</f>
        <v>26395</v>
      </c>
      <c r="AN158" s="16">
        <f t="shared" si="141"/>
        <v>1</v>
      </c>
      <c r="AO158" s="14"/>
      <c r="AP158" s="27">
        <v>5</v>
      </c>
      <c r="AQ158" s="20" t="e" cm="1">
        <f t="array" aca="1" ref="AQ158" ca="1">(AP158-INDIRECT(SUBSTITUTE(ADDRESS(1,COLUMN($C$9),4),"1","")&amp;SUMPRODUCT(($B$10:$D$26=INDIRECT(SUBSTITUTE(ADDRESS(1,COLUMN()-1,4),"1","")&amp;ROW()-47))*ROW($B$10:$D$26))))/INDIRECT(SUBSTITUTE(ADDRESS(1,COLUMN($D$9),4),"1","")&amp;SUMPRODUCT(($B$10:$D$26=INDIRECT(SUBSTITUTE(ADDRESS(1,COLUMN()-1,4),"1","")&amp;ROW()-47))*ROW($B$10:$D$26)))*10+50</f>
        <v>#DIV/0!</v>
      </c>
      <c r="AR158" s="8"/>
      <c r="AS158" s="53">
        <v>35</v>
      </c>
      <c r="AT158" s="83">
        <f t="shared" si="130"/>
        <v>9</v>
      </c>
      <c r="AU158" s="15">
        <f>IF(AND(AS158&lt;&gt;"", AV158&lt;&gt;""), ROUND(100*(1-(AX157+AX158)/2/AY$111), $B$39), "")</f>
        <v>1</v>
      </c>
      <c r="AV158" s="54">
        <v>19</v>
      </c>
      <c r="AW158" s="16">
        <f t="shared" si="142"/>
        <v>2.8849073792894019E-3</v>
      </c>
      <c r="AX158" s="17">
        <f>IF(AND(AS158&lt;&gt;"", AV158&lt;&gt;""), SUM(AV$114:AV158), "")</f>
        <v>6520</v>
      </c>
      <c r="AY158" s="16">
        <f t="shared" si="143"/>
        <v>0.98997874278773157</v>
      </c>
      <c r="AZ158" s="14"/>
      <c r="BA158" s="27">
        <v>5</v>
      </c>
      <c r="BB158" s="20" t="e" cm="1">
        <f t="array" aca="1" ref="BB158" ca="1">(BA158-INDIRECT(SUBSTITUTE(ADDRESS(1,COLUMN($C$9),4),"1","")&amp;SUMPRODUCT(($B$10:$D$26=INDIRECT(SUBSTITUTE(ADDRESS(1,COLUMN()-1,4),"1","")&amp;ROW()-47))*ROW($B$10:$D$26))))/INDIRECT(SUBSTITUTE(ADDRESS(1,COLUMN($D$9),4),"1","")&amp;SUMPRODUCT(($B$10:$D$26=INDIRECT(SUBSTITUTE(ADDRESS(1,COLUMN()-1,4),"1","")&amp;ROW()-47))*ROW($B$10:$D$26)))*10+50</f>
        <v>#DIV/0!</v>
      </c>
      <c r="BC158" s="8"/>
      <c r="BD158" s="38"/>
      <c r="BE158" s="83" t="str">
        <f t="shared" si="131"/>
        <v/>
      </c>
      <c r="BF158" s="15" t="str">
        <f>IF(AND(BD158&lt;&gt;"", BG158&lt;&gt;""), ROUND(100*(1-(BI157+BI158)/2/BJ$111), $B$39), "")</f>
        <v/>
      </c>
      <c r="BG158" s="43"/>
      <c r="BH158" s="16" t="str">
        <f t="shared" si="144"/>
        <v/>
      </c>
      <c r="BI158" s="17" t="str">
        <f>IF(AND(BD158&lt;&gt;"", BG158&lt;&gt;""), SUM(BG$114:BG158), "")</f>
        <v/>
      </c>
      <c r="BJ158" s="16" t="str">
        <f t="shared" si="145"/>
        <v/>
      </c>
      <c r="BK158" s="9"/>
    </row>
    <row r="159" spans="1:63" ht="16" customHeight="1" x14ac:dyDescent="0.2">
      <c r="AE159" s="19">
        <v>4</v>
      </c>
      <c r="AF159" s="20" t="e" cm="1">
        <f t="array" aca="1" ref="AF159" ca="1">(AE159-INDIRECT(SUBSTITUTE(ADDRESS(1,COLUMN($C$9),4),"1","")&amp;SUMPRODUCT(($B$10:$D$26=INDIRECT(SUBSTITUTE(ADDRESS(1,COLUMN()-1,4),"1","")&amp;ROW()-48))*ROW($B$10:$D$26))))/INDIRECT(SUBSTITUTE(ADDRESS(1,COLUMN($D$9),4),"1","")&amp;SUMPRODUCT(($B$10:$D$26=INDIRECT(SUBSTITUTE(ADDRESS(1,COLUMN()-1,4),"1","")&amp;ROW()-48))*ROW($B$10:$D$26)))*10+50</f>
        <v>#DIV/0!</v>
      </c>
      <c r="AG159" s="8"/>
      <c r="AH159" s="38"/>
      <c r="AI159" s="83" t="str">
        <f t="shared" si="129"/>
        <v/>
      </c>
      <c r="AJ159" s="15" t="str">
        <f>IF(AND(AH159&lt;&gt;"", AK159&lt;&gt;""), ROUND(100*(1-(AM158+AM159)/2/AN$111), $B$39), "")</f>
        <v/>
      </c>
      <c r="AK159" s="43"/>
      <c r="AL159" s="16" t="str">
        <f t="shared" si="140"/>
        <v/>
      </c>
      <c r="AM159" s="17" t="str">
        <f>IF(AND(AH159&lt;&gt;"", AK159&lt;&gt;""), SUM(AK$114:AK159), "")</f>
        <v/>
      </c>
      <c r="AN159" s="16" t="str">
        <f t="shared" si="141"/>
        <v/>
      </c>
      <c r="AO159" s="14"/>
      <c r="AP159" s="27">
        <v>4</v>
      </c>
      <c r="AQ159" s="20" t="e" cm="1">
        <f t="array" aca="1" ref="AQ159" ca="1">(AP159-INDIRECT(SUBSTITUTE(ADDRESS(1,COLUMN($C$9),4),"1","")&amp;SUMPRODUCT(($B$10:$D$26=INDIRECT(SUBSTITUTE(ADDRESS(1,COLUMN()-1,4),"1","")&amp;ROW()-48))*ROW($B$10:$D$26))))/INDIRECT(SUBSTITUTE(ADDRESS(1,COLUMN($D$9),4),"1","")&amp;SUMPRODUCT(($B$10:$D$26=INDIRECT(SUBSTITUTE(ADDRESS(1,COLUMN()-1,4),"1","")&amp;ROW()-48))*ROW($B$10:$D$26)))*10+50</f>
        <v>#DIV/0!</v>
      </c>
      <c r="AR159" s="8"/>
      <c r="AS159" s="53">
        <v>34</v>
      </c>
      <c r="AT159" s="83">
        <f t="shared" si="130"/>
        <v>9</v>
      </c>
      <c r="AU159" s="15">
        <f>IF(AND(AS159&lt;&gt;"", AV159&lt;&gt;""), ROUND(100*(1-(AX158+AX159)/2/AY$111), $B$39), "")</f>
        <v>1</v>
      </c>
      <c r="AV159" s="54">
        <v>24</v>
      </c>
      <c r="AW159" s="16">
        <f t="shared" si="142"/>
        <v>3.6440935317339812E-3</v>
      </c>
      <c r="AX159" s="17">
        <f>IF(AND(AS159&lt;&gt;"", AV159&lt;&gt;""), SUM(AV$114:AV159), "")</f>
        <v>6544</v>
      </c>
      <c r="AY159" s="16">
        <f t="shared" si="143"/>
        <v>0.99362283631946557</v>
      </c>
      <c r="AZ159" s="14"/>
      <c r="BA159" s="27">
        <v>4</v>
      </c>
      <c r="BB159" s="20" t="e" cm="1">
        <f t="array" aca="1" ref="BB159" ca="1">(BA159-INDIRECT(SUBSTITUTE(ADDRESS(1,COLUMN($C$9),4),"1","")&amp;SUMPRODUCT(($B$10:$D$26=INDIRECT(SUBSTITUTE(ADDRESS(1,COLUMN()-1,4),"1","")&amp;ROW()-48))*ROW($B$10:$D$26))))/INDIRECT(SUBSTITUTE(ADDRESS(1,COLUMN($D$9),4),"1","")&amp;SUMPRODUCT(($B$10:$D$26=INDIRECT(SUBSTITUTE(ADDRESS(1,COLUMN()-1,4),"1","")&amp;ROW()-48))*ROW($B$10:$D$26)))*10+50</f>
        <v>#DIV/0!</v>
      </c>
      <c r="BC159" s="8"/>
      <c r="BD159" s="38"/>
      <c r="BE159" s="83" t="str">
        <f t="shared" si="131"/>
        <v/>
      </c>
      <c r="BF159" s="15" t="str">
        <f>IF(AND(BD159&lt;&gt;"", BG159&lt;&gt;""), ROUND(100*(1-(BI158+BI159)/2/BJ$111), $B$39), "")</f>
        <v/>
      </c>
      <c r="BG159" s="43"/>
      <c r="BH159" s="16" t="str">
        <f t="shared" si="144"/>
        <v/>
      </c>
      <c r="BI159" s="17" t="str">
        <f>IF(AND(BD159&lt;&gt;"", BG159&lt;&gt;""), SUM(BG$114:BG159), "")</f>
        <v/>
      </c>
      <c r="BJ159" s="16" t="str">
        <f t="shared" si="145"/>
        <v/>
      </c>
    </row>
    <row r="160" spans="1:63" ht="16" customHeight="1" x14ac:dyDescent="0.2">
      <c r="AE160" s="19">
        <v>3</v>
      </c>
      <c r="AF160" s="20" t="e" cm="1">
        <f t="array" aca="1" ref="AF160" ca="1">(AE160-INDIRECT(SUBSTITUTE(ADDRESS(1,COLUMN($C$9),4),"1","")&amp;SUMPRODUCT(($B$10:$D$26=INDIRECT(SUBSTITUTE(ADDRESS(1,COLUMN()-1,4),"1","")&amp;ROW()-49))*ROW($B$10:$D$26))))/INDIRECT(SUBSTITUTE(ADDRESS(1,COLUMN($D$9),4),"1","")&amp;SUMPRODUCT(($B$10:$D$26=INDIRECT(SUBSTITUTE(ADDRESS(1,COLUMN()-1,4),"1","")&amp;ROW()-49))*ROW($B$10:$D$26)))*10+50</f>
        <v>#DIV/0!</v>
      </c>
      <c r="AG160" s="8"/>
      <c r="AH160" s="38"/>
      <c r="AI160" s="83" t="str">
        <f t="shared" si="129"/>
        <v/>
      </c>
      <c r="AJ160" s="15" t="str">
        <f>IF(AND(AH160&lt;&gt;"", AK160&lt;&gt;""), ROUND(100*(1-(AM159+AM160)/2/AN$111), $B$39), "")</f>
        <v/>
      </c>
      <c r="AK160" s="43"/>
      <c r="AL160" s="16" t="str">
        <f t="shared" si="140"/>
        <v/>
      </c>
      <c r="AM160" s="17" t="str">
        <f>IF(AND(AH160&lt;&gt;"", AK160&lt;&gt;""), SUM(AK$114:AK160), "")</f>
        <v/>
      </c>
      <c r="AN160" s="16" t="str">
        <f t="shared" si="141"/>
        <v/>
      </c>
      <c r="AO160" s="14"/>
      <c r="AP160" s="27">
        <v>3</v>
      </c>
      <c r="AQ160" s="20" t="e" cm="1">
        <f t="array" aca="1" ref="AQ160" ca="1">(AP160-INDIRECT(SUBSTITUTE(ADDRESS(1,COLUMN($C$9),4),"1","")&amp;SUMPRODUCT(($B$10:$D$26=INDIRECT(SUBSTITUTE(ADDRESS(1,COLUMN()-1,4),"1","")&amp;ROW()-49))*ROW($B$10:$D$26))))/INDIRECT(SUBSTITUTE(ADDRESS(1,COLUMN($D$9),4),"1","")&amp;SUMPRODUCT(($B$10:$D$26=INDIRECT(SUBSTITUTE(ADDRESS(1,COLUMN()-1,4),"1","")&amp;ROW()-49))*ROW($B$10:$D$26)))*10+50</f>
        <v>#DIV/0!</v>
      </c>
      <c r="AR160" s="8"/>
      <c r="AS160" s="53">
        <v>32</v>
      </c>
      <c r="AT160" s="83">
        <f t="shared" si="130"/>
        <v>9</v>
      </c>
      <c r="AU160" s="15">
        <f>IF(AND(AS160&lt;&gt;"", AV160&lt;&gt;""), ROUND(100*(1-(AX159+AX160)/2/AY$111), $B$39), "")</f>
        <v>0</v>
      </c>
      <c r="AV160" s="54">
        <v>42</v>
      </c>
      <c r="AW160" s="16">
        <f t="shared" si="142"/>
        <v>6.3771636805344672E-3</v>
      </c>
      <c r="AX160" s="17">
        <f>IF(AND(AS160&lt;&gt;"", AV160&lt;&gt;""), SUM(AV$114:AV160), "")</f>
        <v>6586</v>
      </c>
      <c r="AY160" s="16">
        <f t="shared" si="143"/>
        <v>1</v>
      </c>
      <c r="AZ160" s="14"/>
      <c r="BA160" s="27">
        <v>3</v>
      </c>
      <c r="BB160" s="20" t="e" cm="1">
        <f t="array" aca="1" ref="BB160" ca="1">(BA160-INDIRECT(SUBSTITUTE(ADDRESS(1,COLUMN($C$9),4),"1","")&amp;SUMPRODUCT(($B$10:$D$26=INDIRECT(SUBSTITUTE(ADDRESS(1,COLUMN()-1,4),"1","")&amp;ROW()-49))*ROW($B$10:$D$26))))/INDIRECT(SUBSTITUTE(ADDRESS(1,COLUMN($D$9),4),"1","")&amp;SUMPRODUCT(($B$10:$D$26=INDIRECT(SUBSTITUTE(ADDRESS(1,COLUMN()-1,4),"1","")&amp;ROW()-49))*ROW($B$10:$D$26)))*10+50</f>
        <v>#DIV/0!</v>
      </c>
      <c r="BC160" s="8"/>
      <c r="BD160" s="38"/>
      <c r="BE160" s="83" t="str">
        <f t="shared" si="131"/>
        <v/>
      </c>
      <c r="BF160" s="15" t="str">
        <f>IF(AND(BD160&lt;&gt;"", BG160&lt;&gt;""), ROUND(100*(1-(BI159+BI160)/2/BJ$111), $B$39), "")</f>
        <v/>
      </c>
      <c r="BG160" s="43"/>
      <c r="BH160" s="16" t="str">
        <f t="shared" si="144"/>
        <v/>
      </c>
      <c r="BI160" s="17" t="str">
        <f>IF(AND(BD160&lt;&gt;"", BG160&lt;&gt;""), SUM(BG$114:BG160), "")</f>
        <v/>
      </c>
      <c r="BJ160" s="16" t="str">
        <f t="shared" si="145"/>
        <v/>
      </c>
    </row>
    <row r="161" spans="31:62" ht="16" customHeight="1" x14ac:dyDescent="0.2">
      <c r="AE161" s="19">
        <v>2</v>
      </c>
      <c r="AF161" s="20" t="e" cm="1">
        <f t="array" aca="1" ref="AF161" ca="1">(AE161-INDIRECT(SUBSTITUTE(ADDRESS(1,COLUMN($C$9),4),"1","")&amp;SUMPRODUCT(($B$10:$D$26=INDIRECT(SUBSTITUTE(ADDRESS(1,COLUMN()-1,4),"1","")&amp;ROW()-50))*ROW($B$10:$D$26))))/INDIRECT(SUBSTITUTE(ADDRESS(1,COLUMN($D$9),4),"1","")&amp;SUMPRODUCT(($B$10:$D$26=INDIRECT(SUBSTITUTE(ADDRESS(1,COLUMN()-1,4),"1","")&amp;ROW()-50))*ROW($B$10:$D$26)))*10+50</f>
        <v>#DIV/0!</v>
      </c>
      <c r="AG161" s="8"/>
      <c r="AH161" s="38"/>
      <c r="AI161" s="83" t="str">
        <f t="shared" si="129"/>
        <v/>
      </c>
      <c r="AJ161" s="15" t="str">
        <f>IF(AND(AH161&lt;&gt;"", AK161&lt;&gt;""), ROUND(100*(1-(AM160+AM161)/2/AN$111), $B$39), "")</f>
        <v/>
      </c>
      <c r="AK161" s="43"/>
      <c r="AL161" s="16" t="str">
        <f t="shared" si="140"/>
        <v/>
      </c>
      <c r="AM161" s="17" t="str">
        <f>IF(AND(AH161&lt;&gt;"", AK161&lt;&gt;""), SUM(AK$114:AK161), "")</f>
        <v/>
      </c>
      <c r="AN161" s="16" t="str">
        <f t="shared" si="141"/>
        <v/>
      </c>
      <c r="AO161" s="14"/>
      <c r="AP161" s="27">
        <v>2</v>
      </c>
      <c r="AQ161" s="20" t="e" cm="1">
        <f t="array" aca="1" ref="AQ161" ca="1">(AP161-INDIRECT(SUBSTITUTE(ADDRESS(1,COLUMN($C$9),4),"1","")&amp;SUMPRODUCT(($B$10:$D$26=INDIRECT(SUBSTITUTE(ADDRESS(1,COLUMN()-1,4),"1","")&amp;ROW()-50))*ROW($B$10:$D$26))))/INDIRECT(SUBSTITUTE(ADDRESS(1,COLUMN($D$9),4),"1","")&amp;SUMPRODUCT(($B$10:$D$26=INDIRECT(SUBSTITUTE(ADDRESS(1,COLUMN()-1,4),"1","")&amp;ROW()-50))*ROW($B$10:$D$26)))*10+50</f>
        <v>#DIV/0!</v>
      </c>
      <c r="AR161" s="8"/>
      <c r="AS161" s="38"/>
      <c r="AT161" s="83" t="str">
        <f t="shared" si="130"/>
        <v/>
      </c>
      <c r="AU161" s="15" t="str">
        <f>IF(AND(AS161&lt;&gt;"", AV161&lt;&gt;""), ROUND(100*(1-(AX160+AX161)/2/AY$111), $B$39), "")</f>
        <v/>
      </c>
      <c r="AV161" s="43"/>
      <c r="AW161" s="16" t="str">
        <f t="shared" si="142"/>
        <v/>
      </c>
      <c r="AX161" s="17" t="str">
        <f>IF(AND(AS161&lt;&gt;"", AV161&lt;&gt;""), SUM(AV$114:AV161), "")</f>
        <v/>
      </c>
      <c r="AY161" s="16" t="str">
        <f t="shared" si="143"/>
        <v/>
      </c>
      <c r="AZ161" s="14"/>
      <c r="BA161" s="27">
        <v>2</v>
      </c>
      <c r="BB161" s="20" t="e" cm="1">
        <f t="array" aca="1" ref="BB161" ca="1">(BA161-INDIRECT(SUBSTITUTE(ADDRESS(1,COLUMN($C$9),4),"1","")&amp;SUMPRODUCT(($B$10:$D$26=INDIRECT(SUBSTITUTE(ADDRESS(1,COLUMN()-1,4),"1","")&amp;ROW()-50))*ROW($B$10:$D$26))))/INDIRECT(SUBSTITUTE(ADDRESS(1,COLUMN($D$9),4),"1","")&amp;SUMPRODUCT(($B$10:$D$26=INDIRECT(SUBSTITUTE(ADDRESS(1,COLUMN()-1,4),"1","")&amp;ROW()-50))*ROW($B$10:$D$26)))*10+50</f>
        <v>#DIV/0!</v>
      </c>
      <c r="BC161" s="8"/>
      <c r="BD161" s="38"/>
      <c r="BE161" s="83" t="str">
        <f t="shared" si="131"/>
        <v/>
      </c>
      <c r="BF161" s="15" t="str">
        <f>IF(AND(BD161&lt;&gt;"", BG161&lt;&gt;""), ROUND(100*(1-(BI160+BI161)/2/BJ$111), $B$39), "")</f>
        <v/>
      </c>
      <c r="BG161" s="43"/>
      <c r="BH161" s="16" t="str">
        <f t="shared" si="144"/>
        <v/>
      </c>
      <c r="BI161" s="17" t="str">
        <f>IF(AND(BD161&lt;&gt;"", BG161&lt;&gt;""), SUM(BG$114:BG161), "")</f>
        <v/>
      </c>
      <c r="BJ161" s="16" t="str">
        <f t="shared" si="145"/>
        <v/>
      </c>
    </row>
    <row r="162" spans="31:62" ht="16" customHeight="1" x14ac:dyDescent="0.2">
      <c r="AE162" s="19">
        <v>0</v>
      </c>
      <c r="AF162" s="20" t="e" cm="1">
        <f t="array" aca="1" ref="AF162" ca="1">(AE162-INDIRECT(SUBSTITUTE(ADDRESS(1,COLUMN($C$9),4),"1","")&amp;SUMPRODUCT(($B$10:$D$26=INDIRECT(SUBSTITUTE(ADDRESS(1,COLUMN()-1,4),"1","")&amp;ROW()-51))*ROW($B$10:$D$26))))/INDIRECT(SUBSTITUTE(ADDRESS(1,COLUMN($D$9),4),"1","")&amp;SUMPRODUCT(($B$10:$D$26=INDIRECT(SUBSTITUTE(ADDRESS(1,COLUMN()-1,4),"1","")&amp;ROW()-51))*ROW($B$10:$D$26)))*10+50</f>
        <v>#DIV/0!</v>
      </c>
      <c r="AG162" s="8"/>
      <c r="AH162" s="38"/>
      <c r="AI162" s="83" t="str">
        <f t="shared" si="129"/>
        <v/>
      </c>
      <c r="AJ162" s="15" t="str">
        <f>IF(AND(AH162&lt;&gt;"", AK162&lt;&gt;""), ROUND(100*(1-(AM161+AM162)/2/AN$111), $B$39), "")</f>
        <v/>
      </c>
      <c r="AK162" s="43"/>
      <c r="AL162" s="16" t="str">
        <f t="shared" si="140"/>
        <v/>
      </c>
      <c r="AM162" s="17" t="str">
        <f>IF(AND(AH162&lt;&gt;"", AK162&lt;&gt;""), SUM(AK$114:AK162), "")</f>
        <v/>
      </c>
      <c r="AN162" s="16" t="str">
        <f t="shared" si="141"/>
        <v/>
      </c>
      <c r="AO162" s="9"/>
      <c r="AP162" s="27">
        <v>0</v>
      </c>
      <c r="AQ162" s="20" t="e" cm="1">
        <f t="array" aca="1" ref="AQ162" ca="1">(AP162-INDIRECT(SUBSTITUTE(ADDRESS(1,COLUMN($C$9),4),"1","")&amp;SUMPRODUCT(($B$10:$D$26=INDIRECT(SUBSTITUTE(ADDRESS(1,COLUMN()-1,4),"1","")&amp;ROW()-51))*ROW($B$10:$D$26))))/INDIRECT(SUBSTITUTE(ADDRESS(1,COLUMN($D$9),4),"1","")&amp;SUMPRODUCT(($B$10:$D$26=INDIRECT(SUBSTITUTE(ADDRESS(1,COLUMN()-1,4),"1","")&amp;ROW()-51))*ROW($B$10:$D$26)))*10+50</f>
        <v>#DIV/0!</v>
      </c>
      <c r="AR162" s="8"/>
      <c r="AS162" s="38"/>
      <c r="AT162" s="83" t="str">
        <f t="shared" si="130"/>
        <v/>
      </c>
      <c r="AU162" s="15" t="str">
        <f>IF(AND(AS162&lt;&gt;"", AV162&lt;&gt;""), ROUND(100*(1-(AX161+AX162)/2/AY$111), $B$39), "")</f>
        <v/>
      </c>
      <c r="AV162" s="43"/>
      <c r="AW162" s="16" t="str">
        <f t="shared" si="142"/>
        <v/>
      </c>
      <c r="AX162" s="17" t="str">
        <f>IF(AND(AS162&lt;&gt;"", AV162&lt;&gt;""), SUM(AV$114:AV162), "")</f>
        <v/>
      </c>
      <c r="AY162" s="16" t="str">
        <f t="shared" si="143"/>
        <v/>
      </c>
      <c r="AZ162" s="9"/>
      <c r="BA162" s="27">
        <v>0</v>
      </c>
      <c r="BB162" s="20" t="e" cm="1">
        <f t="array" aca="1" ref="BB162" ca="1">(BA162-INDIRECT(SUBSTITUTE(ADDRESS(1,COLUMN($C$9),4),"1","")&amp;SUMPRODUCT(($B$10:$D$26=INDIRECT(SUBSTITUTE(ADDRESS(1,COLUMN()-1,4),"1","")&amp;ROW()-51))*ROW($B$10:$D$26))))/INDIRECT(SUBSTITUTE(ADDRESS(1,COLUMN($D$9),4),"1","")&amp;SUMPRODUCT(($B$10:$D$26=INDIRECT(SUBSTITUTE(ADDRESS(1,COLUMN()-1,4),"1","")&amp;ROW()-51))*ROW($B$10:$D$26)))*10+50</f>
        <v>#DIV/0!</v>
      </c>
      <c r="BC162" s="8"/>
      <c r="BD162" s="38"/>
      <c r="BE162" s="83" t="str">
        <f t="shared" si="131"/>
        <v/>
      </c>
      <c r="BF162" s="15" t="str">
        <f>IF(AND(BD162&lt;&gt;"", BG162&lt;&gt;""), ROUND(100*(1-(BI161+BI162)/2/BJ$111), $B$39), "")</f>
        <v/>
      </c>
      <c r="BG162" s="43"/>
      <c r="BH162" s="16" t="str">
        <f t="shared" si="144"/>
        <v/>
      </c>
      <c r="BI162" s="17" t="str">
        <f>IF(AND(BD162&lt;&gt;"", BG162&lt;&gt;""), SUM(BG$114:BG162), "")</f>
        <v/>
      </c>
      <c r="BJ162" s="16" t="str">
        <f t="shared" si="145"/>
        <v/>
      </c>
    </row>
  </sheetData>
  <sheetProtection selectLockedCells="1"/>
  <mergeCells count="51">
    <mergeCell ref="B39:B40"/>
    <mergeCell ref="A19:A26"/>
    <mergeCell ref="A10:A18"/>
    <mergeCell ref="F27:G27"/>
    <mergeCell ref="I27:J27"/>
    <mergeCell ref="A7:D7"/>
    <mergeCell ref="F15:G15"/>
    <mergeCell ref="I15:J15"/>
    <mergeCell ref="F1:M1"/>
    <mergeCell ref="A3:A4"/>
    <mergeCell ref="A1:D1"/>
    <mergeCell ref="B2:D2"/>
    <mergeCell ref="C3:D3"/>
    <mergeCell ref="B4:D4"/>
    <mergeCell ref="B5:D5"/>
    <mergeCell ref="CH56:CK56"/>
    <mergeCell ref="CS56:CV56"/>
    <mergeCell ref="O1:S1"/>
    <mergeCell ref="W1:AA1"/>
    <mergeCell ref="AE56:AH56"/>
    <mergeCell ref="AP56:AS56"/>
    <mergeCell ref="BA56:BD56"/>
    <mergeCell ref="BL1:BO1"/>
    <mergeCell ref="BW1:BZ1"/>
    <mergeCell ref="CH1:CK1"/>
    <mergeCell ref="CS1:CV1"/>
    <mergeCell ref="BL56:BO56"/>
    <mergeCell ref="BW56:BZ56"/>
    <mergeCell ref="F3:G3"/>
    <mergeCell ref="I3:J3"/>
    <mergeCell ref="AP111:AS111"/>
    <mergeCell ref="BA111:BD111"/>
    <mergeCell ref="AP1:AS1"/>
    <mergeCell ref="BA1:BD1"/>
    <mergeCell ref="AE1:AH1"/>
    <mergeCell ref="AE111:AH111"/>
    <mergeCell ref="I99:J99"/>
    <mergeCell ref="I75:J75"/>
    <mergeCell ref="F99:G99"/>
    <mergeCell ref="L27:M27"/>
    <mergeCell ref="L39:M39"/>
    <mergeCell ref="L51:M51"/>
    <mergeCell ref="F87:G87"/>
    <mergeCell ref="I51:J51"/>
    <mergeCell ref="F63:G63"/>
    <mergeCell ref="I63:J63"/>
    <mergeCell ref="F75:G75"/>
    <mergeCell ref="I87:J87"/>
    <mergeCell ref="I39:J39"/>
    <mergeCell ref="F51:G51"/>
    <mergeCell ref="F39:G39"/>
  </mergeCells>
  <pageMargins left="0.7" right="0.7" top="0.75" bottom="0.75" header="0.3" footer="0.3"/>
  <pageSetup paperSize="9" orientation="portrait" horizontalDpi="0" verticalDpi="0"/>
  <ignoredErrors>
    <ignoredError sqref="BK108:XFD110 O239:XFD1048576 O187:BP238 CW187:XFD238 BK111:BS162 ER111:XFD162 DC54:XFD107 AL7:AR7 DC3:XFD3 AD3:AG3 AO3 AZ3 BK3 BV3 CG3 CR3 BJ1:BO1 BU1:BZ1 CF1:CK1 CQ1:CV1 DB1:XFD1 BF1 BQ1 CB1 CM1 CX1 BH1 BS1 CD1 CO1 CZ1 S38:V38 V1:AB1 AD1:BD1 V111:V150 AD111:AD150 O2:XFD2 O1:T1 O109:O110 O151:AD162 O163:XFD186 N3:V3 N7:N13 E57:E61 A99:E104 E62:E98 N134:N1048576 N4:N6 S110:W110 Z110:AD110 AK52:AS52 AV52:BD52 BG52:BO52 BR52:BZ52 CC52:CK52 CN52:CV52 CY52:XFD52 E105:E141 A142:E146 E1:E56 A196:E1048576 A147:D195 I219:J1048576 S100:W104 S4:V37 S39:V88 AA54:AD88 AA53:XFD53 AA46:AH52 AA4:AG14 AL4:AR6 AL45:AS45 AL8:AR44 AW4:BC44 BH42:BO44 AL46:AS46 BH4:BN41 BS5:BY41 BR48:BY48 CD46:CK48 CD4:CJ45 CO44:CV45 CO4:CU43 CZ4:XFD43 S105:W105 AD89 AA16:AG45 AB15:AG15 AD90:AD99 S89:V99 BS4:BW4 BY4 BR42:BY42 BR43:BY43 BR44:BY44 CY44:XFD44 AV45:BD45 BG45:BO45 BR45:BY45 CY45:XFD45 AV46:BD46 BG46:BO46 BR46:BY46 CN46:CV46 CY46:XFD46 AK47:AS47 AV47:BD47 BG47:BO47 BR47:BY47 CN47:CV47 CY47:XFD47 AK48:AS48 AV48:BD48 BG48:BO48 CN48:CV48 CY48:XFD48 AK49:AS49 AV49:BD49 BG49:BO49 BR49:BZ49 CC49:CK49 CN49:CV49 CY49:XFD49 AK50:AS50 AV50:BD50 BG50:BO50 BR50:BZ50 CC50:CK50 CN50:CV50 CY50:XFD50 AK51:AS51 AV51:BD51 BG51:BO51 BR51:BZ51 CC51:CK51 CN51:CV51 CY51:XFD51 Z100:AD100 Z101:AD101 Z102:AD102 Z103:AD103 Z104:AD104 Z105:AD105 S106:W106 Z106:AD106 S107:W107 Z107:AD107 S108:W108 Z108:AD108 S109:W109 Z109:AD10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2C81F-57D3-3145-A146-2D09FC192B6F}">
  <sheetPr codeName="Sheet2"/>
  <dimension ref="A1:CY162"/>
  <sheetViews>
    <sheetView zoomScale="63" zoomScaleNormal="128" workbookViewId="0">
      <selection activeCell="BD162" sqref="BD162"/>
    </sheetView>
  </sheetViews>
  <sheetFormatPr baseColWidth="10" defaultColWidth="9.83203125" defaultRowHeight="16" customHeight="1" x14ac:dyDescent="0.2"/>
  <cols>
    <col min="1" max="5" width="9.83203125" style="64"/>
    <col min="6" max="7" width="7.83203125" style="64" customWidth="1"/>
    <col min="8" max="8" width="2.83203125" style="71" customWidth="1"/>
    <col min="9" max="10" width="7.83203125" style="64" customWidth="1"/>
    <col min="11" max="11" width="2.83203125" style="64" customWidth="1"/>
    <col min="12" max="13" width="7.83203125" style="64" customWidth="1"/>
    <col min="14" max="16384" width="9.83203125" style="64"/>
  </cols>
  <sheetData>
    <row r="1" spans="1:103" ht="16" customHeight="1" thickBot="1" x14ac:dyDescent="0.25">
      <c r="A1" s="141" t="s">
        <v>44</v>
      </c>
      <c r="B1" s="141"/>
      <c r="C1" s="141"/>
      <c r="D1" s="141"/>
      <c r="E1"/>
      <c r="F1" s="129" t="s">
        <v>4</v>
      </c>
      <c r="G1" s="129"/>
      <c r="H1" s="129"/>
      <c r="I1" s="129"/>
      <c r="J1" s="129"/>
      <c r="K1" s="129"/>
      <c r="L1" s="129"/>
      <c r="M1" s="129"/>
      <c r="N1"/>
      <c r="O1" s="124" t="s">
        <v>11</v>
      </c>
      <c r="P1" s="125"/>
      <c r="Q1" s="125"/>
      <c r="R1" s="125"/>
      <c r="S1" s="126"/>
      <c r="T1" s="2" t="s">
        <v>34</v>
      </c>
      <c r="U1" s="3">
        <v>286950</v>
      </c>
      <c r="V1" s="28"/>
      <c r="W1" s="124" t="s">
        <v>12</v>
      </c>
      <c r="X1" s="125"/>
      <c r="Y1" s="125"/>
      <c r="Z1" s="125"/>
      <c r="AA1" s="127"/>
      <c r="AB1" s="2" t="s">
        <v>34</v>
      </c>
      <c r="AC1" s="4">
        <v>285999</v>
      </c>
      <c r="AD1"/>
      <c r="AE1" s="156" t="s">
        <v>5</v>
      </c>
      <c r="AF1" s="156"/>
      <c r="AG1" s="88" t="s">
        <v>2</v>
      </c>
      <c r="AH1" s="89">
        <v>26.2146030821098</v>
      </c>
      <c r="AI1" s="88" t="s">
        <v>3</v>
      </c>
      <c r="AJ1" s="89">
        <v>11.683710878089</v>
      </c>
      <c r="AK1" s="88" t="s">
        <v>34</v>
      </c>
      <c r="AL1" s="90">
        <v>96103</v>
      </c>
      <c r="AM1"/>
      <c r="AN1" s="156" t="s">
        <v>20</v>
      </c>
      <c r="AO1" s="156"/>
      <c r="AP1" s="88" t="s">
        <v>2</v>
      </c>
      <c r="AQ1" s="89">
        <v>21.385856730516899</v>
      </c>
      <c r="AR1" s="88" t="s">
        <v>3</v>
      </c>
      <c r="AS1" s="89">
        <v>12.2650625083633</v>
      </c>
      <c r="AT1" s="88" t="s">
        <v>34</v>
      </c>
      <c r="AU1" s="90">
        <v>22866</v>
      </c>
      <c r="AV1"/>
      <c r="AW1" s="156" t="s">
        <v>6</v>
      </c>
      <c r="AX1" s="156"/>
      <c r="AY1" s="88" t="s">
        <v>2</v>
      </c>
      <c r="AZ1" s="89">
        <v>21.2658604435515</v>
      </c>
      <c r="BA1" s="88" t="s">
        <v>3</v>
      </c>
      <c r="BB1" s="89">
        <v>11.118645599803701</v>
      </c>
      <c r="BC1" s="88" t="s">
        <v>34</v>
      </c>
      <c r="BD1" s="90">
        <v>25882</v>
      </c>
      <c r="BE1"/>
      <c r="BF1" s="156" t="s">
        <v>7</v>
      </c>
      <c r="BG1" s="156"/>
      <c r="BH1" s="88" t="s">
        <v>2</v>
      </c>
      <c r="BI1" s="89">
        <v>23.395330819689001</v>
      </c>
      <c r="BJ1" s="88" t="s">
        <v>3</v>
      </c>
      <c r="BK1" s="89">
        <v>10.6143017956271</v>
      </c>
      <c r="BL1" s="88" t="s">
        <v>34</v>
      </c>
      <c r="BM1" s="90">
        <v>38722</v>
      </c>
      <c r="BN1"/>
      <c r="BO1" s="156" t="s">
        <v>8</v>
      </c>
      <c r="BP1" s="156"/>
      <c r="BQ1" s="88" t="s">
        <v>2</v>
      </c>
      <c r="BR1" s="89">
        <v>24.321245467050101</v>
      </c>
      <c r="BS1" s="88" t="s">
        <v>3</v>
      </c>
      <c r="BT1" s="89">
        <v>10.908550028454099</v>
      </c>
      <c r="BU1" s="88" t="s">
        <v>34</v>
      </c>
      <c r="BV1" s="90">
        <v>47982</v>
      </c>
      <c r="BW1"/>
      <c r="BX1" s="156" t="s">
        <v>9</v>
      </c>
      <c r="BY1" s="156"/>
      <c r="BZ1" s="88" t="s">
        <v>2</v>
      </c>
      <c r="CA1" s="89">
        <v>23.237715406416999</v>
      </c>
      <c r="CB1" s="88" t="s">
        <v>3</v>
      </c>
      <c r="CC1" s="89">
        <v>10.552720309122501</v>
      </c>
      <c r="CD1" s="88" t="s">
        <v>34</v>
      </c>
      <c r="CE1" s="90">
        <v>83621</v>
      </c>
      <c r="CF1"/>
      <c r="CG1" s="156" t="s">
        <v>10</v>
      </c>
      <c r="CH1" s="156"/>
      <c r="CI1" s="88" t="s">
        <v>2</v>
      </c>
      <c r="CJ1" s="89">
        <v>20.663565974836001</v>
      </c>
      <c r="CK1" s="88" t="s">
        <v>3</v>
      </c>
      <c r="CL1" s="89">
        <v>10.6156997714731</v>
      </c>
      <c r="CM1" s="88" t="s">
        <v>34</v>
      </c>
      <c r="CN1" s="90">
        <v>74392</v>
      </c>
      <c r="CO1"/>
      <c r="CP1"/>
      <c r="CQ1"/>
      <c r="CR1"/>
      <c r="CS1"/>
      <c r="CT1"/>
      <c r="CU1"/>
      <c r="CV1"/>
      <c r="CW1"/>
      <c r="CX1"/>
      <c r="CY1"/>
    </row>
    <row r="2" spans="1:103" ht="16" customHeight="1" thickTop="1" x14ac:dyDescent="0.2">
      <c r="A2" s="28"/>
      <c r="B2" s="28"/>
      <c r="C2" s="28"/>
      <c r="D2" s="28"/>
      <c r="E2"/>
      <c r="F2" s="28"/>
      <c r="G2" s="28"/>
      <c r="H2" s="28"/>
      <c r="I2" s="28"/>
      <c r="J2" s="28"/>
      <c r="K2" s="28"/>
      <c r="L2" s="28"/>
      <c r="M2" s="28"/>
      <c r="N2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</row>
    <row r="3" spans="1:103" ht="16" customHeight="1" x14ac:dyDescent="0.2">
      <c r="A3" s="74" t="s">
        <v>0</v>
      </c>
      <c r="B3" s="74" t="s">
        <v>1</v>
      </c>
      <c r="C3" s="74" t="s">
        <v>2</v>
      </c>
      <c r="D3" s="74" t="s">
        <v>3</v>
      </c>
      <c r="E3"/>
      <c r="F3" s="128" t="s">
        <v>11</v>
      </c>
      <c r="G3" s="128"/>
      <c r="H3" s="8"/>
      <c r="I3" s="128" t="s">
        <v>12</v>
      </c>
      <c r="J3" s="128"/>
      <c r="K3" s="8"/>
      <c r="L3" s="8"/>
      <c r="M3" s="8"/>
      <c r="N3" s="8"/>
      <c r="O3" s="11" t="s">
        <v>13</v>
      </c>
      <c r="P3" s="11" t="s">
        <v>14</v>
      </c>
      <c r="Q3" s="11" t="s">
        <v>15</v>
      </c>
      <c r="R3" s="11" t="s">
        <v>16</v>
      </c>
      <c r="S3" s="11" t="s">
        <v>17</v>
      </c>
      <c r="T3" s="12" t="s">
        <v>18</v>
      </c>
      <c r="U3" s="2" t="s">
        <v>19</v>
      </c>
      <c r="V3" s="28"/>
      <c r="W3" s="11" t="s">
        <v>13</v>
      </c>
      <c r="X3" s="11" t="s">
        <v>14</v>
      </c>
      <c r="Y3" s="11" t="s">
        <v>15</v>
      </c>
      <c r="Z3" s="11" t="s">
        <v>16</v>
      </c>
      <c r="AA3" s="11" t="s">
        <v>17</v>
      </c>
      <c r="AB3" s="12" t="s">
        <v>18</v>
      </c>
      <c r="AC3" s="2" t="s">
        <v>19</v>
      </c>
      <c r="AD3"/>
      <c r="AE3" s="91" t="s">
        <v>30</v>
      </c>
      <c r="AF3" s="81" t="s">
        <v>13</v>
      </c>
      <c r="AG3" s="81" t="s">
        <v>14</v>
      </c>
      <c r="AH3" s="81" t="s">
        <v>15</v>
      </c>
      <c r="AI3" s="81" t="s">
        <v>16</v>
      </c>
      <c r="AJ3" s="81" t="s">
        <v>17</v>
      </c>
      <c r="AK3" s="81" t="s">
        <v>18</v>
      </c>
      <c r="AL3" s="81" t="s">
        <v>19</v>
      </c>
      <c r="AM3"/>
      <c r="AN3" s="91" t="s">
        <v>30</v>
      </c>
      <c r="AO3" s="81" t="s">
        <v>13</v>
      </c>
      <c r="AP3" s="81" t="s">
        <v>14</v>
      </c>
      <c r="AQ3" s="81" t="s">
        <v>15</v>
      </c>
      <c r="AR3" s="81" t="s">
        <v>16</v>
      </c>
      <c r="AS3" s="81" t="s">
        <v>17</v>
      </c>
      <c r="AT3" s="81" t="s">
        <v>18</v>
      </c>
      <c r="AU3" s="81" t="s">
        <v>19</v>
      </c>
      <c r="AV3"/>
      <c r="AW3" s="91" t="s">
        <v>30</v>
      </c>
      <c r="AX3" s="81" t="s">
        <v>13</v>
      </c>
      <c r="AY3" s="81" t="s">
        <v>14</v>
      </c>
      <c r="AZ3" s="81" t="s">
        <v>15</v>
      </c>
      <c r="BA3" s="81" t="s">
        <v>16</v>
      </c>
      <c r="BB3" s="81" t="s">
        <v>17</v>
      </c>
      <c r="BC3" s="81" t="s">
        <v>18</v>
      </c>
      <c r="BD3" s="81" t="s">
        <v>19</v>
      </c>
      <c r="BE3"/>
      <c r="BF3" s="91" t="s">
        <v>30</v>
      </c>
      <c r="BG3" s="81" t="s">
        <v>13</v>
      </c>
      <c r="BH3" s="81" t="s">
        <v>14</v>
      </c>
      <c r="BI3" s="81" t="s">
        <v>15</v>
      </c>
      <c r="BJ3" s="81" t="s">
        <v>16</v>
      </c>
      <c r="BK3" s="81" t="s">
        <v>17</v>
      </c>
      <c r="BL3" s="81" t="s">
        <v>18</v>
      </c>
      <c r="BM3" s="81" t="s">
        <v>19</v>
      </c>
      <c r="BN3"/>
      <c r="BO3" s="91" t="s">
        <v>30</v>
      </c>
      <c r="BP3" s="81" t="s">
        <v>13</v>
      </c>
      <c r="BQ3" s="81" t="s">
        <v>14</v>
      </c>
      <c r="BR3" s="81" t="s">
        <v>15</v>
      </c>
      <c r="BS3" s="81" t="s">
        <v>16</v>
      </c>
      <c r="BT3" s="81" t="s">
        <v>17</v>
      </c>
      <c r="BU3" s="81" t="s">
        <v>18</v>
      </c>
      <c r="BV3" s="81" t="s">
        <v>19</v>
      </c>
      <c r="BW3"/>
      <c r="BX3" s="91" t="s">
        <v>30</v>
      </c>
      <c r="BY3" s="81" t="s">
        <v>13</v>
      </c>
      <c r="BZ3" s="81" t="s">
        <v>14</v>
      </c>
      <c r="CA3" s="81" t="s">
        <v>15</v>
      </c>
      <c r="CB3" s="81" t="s">
        <v>16</v>
      </c>
      <c r="CC3" s="81" t="s">
        <v>17</v>
      </c>
      <c r="CD3" s="81" t="s">
        <v>18</v>
      </c>
      <c r="CE3" s="81" t="s">
        <v>19</v>
      </c>
      <c r="CF3"/>
      <c r="CG3" s="91" t="s">
        <v>30</v>
      </c>
      <c r="CH3" s="81" t="s">
        <v>13</v>
      </c>
      <c r="CI3" s="81" t="s">
        <v>14</v>
      </c>
      <c r="CJ3" s="81" t="s">
        <v>15</v>
      </c>
      <c r="CK3" s="81" t="s">
        <v>16</v>
      </c>
      <c r="CL3" s="81" t="s">
        <v>17</v>
      </c>
      <c r="CM3" s="81" t="s">
        <v>18</v>
      </c>
      <c r="CN3" s="81" t="s">
        <v>19</v>
      </c>
      <c r="CO3"/>
      <c r="CP3"/>
      <c r="CQ3"/>
      <c r="CR3"/>
      <c r="CS3"/>
      <c r="CT3"/>
      <c r="CU3"/>
      <c r="CV3"/>
      <c r="CW3"/>
      <c r="CX3"/>
      <c r="CY3"/>
    </row>
    <row r="4" spans="1:103" ht="16" customHeight="1" x14ac:dyDescent="0.2">
      <c r="A4" s="140" t="s">
        <v>40</v>
      </c>
      <c r="B4" s="75" t="s">
        <v>5</v>
      </c>
      <c r="C4" s="77">
        <v>26.2146030821098</v>
      </c>
      <c r="D4" s="77">
        <v>11.683710878089</v>
      </c>
      <c r="E4"/>
      <c r="F4" s="67" t="s">
        <v>13</v>
      </c>
      <c r="G4" s="67" t="s">
        <v>14</v>
      </c>
      <c r="H4" s="8"/>
      <c r="I4" s="67" t="s">
        <v>13</v>
      </c>
      <c r="J4" s="67" t="s">
        <v>14</v>
      </c>
      <c r="K4" s="8"/>
      <c r="L4" s="8"/>
      <c r="M4" s="8"/>
      <c r="N4" s="1"/>
      <c r="O4" s="56">
        <v>135</v>
      </c>
      <c r="P4" s="37">
        <v>1</v>
      </c>
      <c r="Q4" s="15">
        <v>99.63</v>
      </c>
      <c r="R4" s="57">
        <v>2111</v>
      </c>
      <c r="S4" s="16">
        <v>7.3566823488412612E-3</v>
      </c>
      <c r="T4" s="17">
        <v>2111</v>
      </c>
      <c r="U4" s="18">
        <v>7.3566823488412612E-3</v>
      </c>
      <c r="V4" s="28"/>
      <c r="W4" s="56">
        <v>160</v>
      </c>
      <c r="X4" s="37">
        <v>1</v>
      </c>
      <c r="Y4" s="15">
        <v>99.96</v>
      </c>
      <c r="Z4" s="57">
        <v>242</v>
      </c>
      <c r="AA4" s="16">
        <v>8.4615680474407252E-4</v>
      </c>
      <c r="AB4" s="17">
        <v>242</v>
      </c>
      <c r="AC4" s="16">
        <v>8.4615680474407252E-4</v>
      </c>
      <c r="AD4"/>
      <c r="AE4" s="92">
        <v>50</v>
      </c>
      <c r="AF4" s="93">
        <v>70</v>
      </c>
      <c r="AG4" s="92">
        <v>1</v>
      </c>
      <c r="AH4" s="94">
        <v>99.61</v>
      </c>
      <c r="AI4" s="95">
        <v>745</v>
      </c>
      <c r="AJ4" s="96">
        <v>7.7520993101151889E-3</v>
      </c>
      <c r="AK4" s="97">
        <v>745</v>
      </c>
      <c r="AL4" s="96">
        <v>7.7520993101151889E-3</v>
      </c>
      <c r="AM4"/>
      <c r="AN4" s="92">
        <v>50</v>
      </c>
      <c r="AO4" s="93">
        <v>73</v>
      </c>
      <c r="AP4" s="92">
        <v>1</v>
      </c>
      <c r="AQ4" s="94">
        <v>99.21</v>
      </c>
      <c r="AR4" s="95">
        <v>361</v>
      </c>
      <c r="AS4" s="96">
        <v>1.5787632292486663E-2</v>
      </c>
      <c r="AT4" s="97">
        <v>361</v>
      </c>
      <c r="AU4" s="96">
        <v>1.5787632292486663E-2</v>
      </c>
      <c r="AV4"/>
      <c r="AW4" s="92">
        <v>50</v>
      </c>
      <c r="AX4" s="93">
        <v>76</v>
      </c>
      <c r="AY4" s="92">
        <v>1</v>
      </c>
      <c r="AZ4" s="94">
        <v>99.36</v>
      </c>
      <c r="BA4" s="95">
        <v>332</v>
      </c>
      <c r="BB4" s="96">
        <v>1.2827447647013369E-2</v>
      </c>
      <c r="BC4" s="97">
        <v>332</v>
      </c>
      <c r="BD4" s="96">
        <v>1.2827447647013369E-2</v>
      </c>
      <c r="BE4"/>
      <c r="BF4" s="92">
        <v>50</v>
      </c>
      <c r="BG4" s="93">
        <v>75</v>
      </c>
      <c r="BH4" s="92">
        <v>1</v>
      </c>
      <c r="BI4" s="94">
        <v>99.66</v>
      </c>
      <c r="BJ4" s="95">
        <v>260</v>
      </c>
      <c r="BK4" s="96">
        <v>6.7145292082020558E-3</v>
      </c>
      <c r="BL4" s="97">
        <v>260</v>
      </c>
      <c r="BM4" s="96">
        <v>6.7145292082020558E-3</v>
      </c>
      <c r="BN4"/>
      <c r="BO4" s="92">
        <v>50</v>
      </c>
      <c r="BP4" s="93">
        <v>74</v>
      </c>
      <c r="BQ4" s="92">
        <v>1</v>
      </c>
      <c r="BR4" s="94">
        <v>99.43</v>
      </c>
      <c r="BS4" s="95">
        <v>544</v>
      </c>
      <c r="BT4" s="96">
        <v>1.1337584927681214E-2</v>
      </c>
      <c r="BU4" s="97">
        <v>544</v>
      </c>
      <c r="BV4" s="96">
        <v>1.1337584927681214E-2</v>
      </c>
      <c r="BW4"/>
      <c r="BX4" s="92">
        <v>50</v>
      </c>
      <c r="BY4" s="93">
        <v>75</v>
      </c>
      <c r="BZ4" s="92">
        <v>1</v>
      </c>
      <c r="CA4" s="94">
        <v>99.82</v>
      </c>
      <c r="CB4" s="95">
        <v>295</v>
      </c>
      <c r="CC4" s="96">
        <v>3.5278219585989164E-3</v>
      </c>
      <c r="CD4" s="97">
        <v>295</v>
      </c>
      <c r="CE4" s="96">
        <v>3.5278219585989164E-3</v>
      </c>
      <c r="CF4"/>
      <c r="CG4" s="92">
        <v>50</v>
      </c>
      <c r="CH4" s="93">
        <v>78</v>
      </c>
      <c r="CI4" s="92">
        <v>1</v>
      </c>
      <c r="CJ4" s="94">
        <v>99.65</v>
      </c>
      <c r="CK4" s="95">
        <v>519</v>
      </c>
      <c r="CL4" s="96">
        <v>6.9765566189912897E-3</v>
      </c>
      <c r="CM4" s="97">
        <v>519</v>
      </c>
      <c r="CN4" s="96">
        <v>6.9765566189912897E-3</v>
      </c>
      <c r="CO4"/>
      <c r="CP4"/>
      <c r="CQ4"/>
      <c r="CR4"/>
      <c r="CS4"/>
      <c r="CT4"/>
      <c r="CU4"/>
      <c r="CV4"/>
      <c r="CW4"/>
      <c r="CX4"/>
      <c r="CY4"/>
    </row>
    <row r="5" spans="1:103" ht="16" customHeight="1" x14ac:dyDescent="0.2">
      <c r="A5" s="139"/>
      <c r="B5" s="7" t="s">
        <v>20</v>
      </c>
      <c r="C5" s="55">
        <v>21.385856730516899</v>
      </c>
      <c r="D5" s="55">
        <v>12.2650625083633</v>
      </c>
      <c r="E5"/>
      <c r="F5" s="68">
        <v>130</v>
      </c>
      <c r="G5" s="67">
        <v>1</v>
      </c>
      <c r="H5" s="1"/>
      <c r="I5" s="68">
        <v>138</v>
      </c>
      <c r="J5" s="67">
        <v>1</v>
      </c>
      <c r="K5" s="1"/>
      <c r="L5" s="1"/>
      <c r="M5" s="1"/>
      <c r="N5" s="1"/>
      <c r="O5" s="56">
        <v>133</v>
      </c>
      <c r="P5" s="83">
        <v>1</v>
      </c>
      <c r="Q5" s="15">
        <v>98.9</v>
      </c>
      <c r="R5" s="57">
        <v>2088</v>
      </c>
      <c r="S5" s="16">
        <v>7.2765290120230001E-3</v>
      </c>
      <c r="T5" s="17">
        <v>4199</v>
      </c>
      <c r="U5" s="16">
        <v>1.4633211360864262E-2</v>
      </c>
      <c r="V5" s="28"/>
      <c r="W5" s="56">
        <v>159</v>
      </c>
      <c r="X5" s="83">
        <v>1</v>
      </c>
      <c r="Y5" s="15">
        <v>99.91</v>
      </c>
      <c r="Z5" s="57">
        <v>8</v>
      </c>
      <c r="AA5" s="16">
        <v>2.7972125776663555E-5</v>
      </c>
      <c r="AB5" s="17">
        <v>250</v>
      </c>
      <c r="AC5" s="16">
        <v>8.7412893052073604E-4</v>
      </c>
      <c r="AD5"/>
      <c r="AE5" s="92">
        <v>48</v>
      </c>
      <c r="AF5" s="93">
        <v>69</v>
      </c>
      <c r="AG5" s="98">
        <v>1</v>
      </c>
      <c r="AH5" s="94">
        <v>99.12</v>
      </c>
      <c r="AI5" s="95">
        <v>211</v>
      </c>
      <c r="AJ5" s="96">
        <v>2.1955610126634965E-3</v>
      </c>
      <c r="AK5" s="97">
        <v>956</v>
      </c>
      <c r="AL5" s="96">
        <v>9.9476603227786845E-3</v>
      </c>
      <c r="AM5"/>
      <c r="AN5" s="92">
        <v>48</v>
      </c>
      <c r="AO5" s="93">
        <v>72</v>
      </c>
      <c r="AP5" s="98">
        <v>1</v>
      </c>
      <c r="AQ5" s="94">
        <v>97.94</v>
      </c>
      <c r="AR5" s="95">
        <v>219</v>
      </c>
      <c r="AS5" s="96">
        <v>9.577538703752296E-3</v>
      </c>
      <c r="AT5" s="97">
        <v>580</v>
      </c>
      <c r="AU5" s="96">
        <v>2.5365170996238959E-2</v>
      </c>
      <c r="AV5"/>
      <c r="AW5" s="92">
        <v>48</v>
      </c>
      <c r="AX5" s="93">
        <v>74</v>
      </c>
      <c r="AY5" s="98">
        <v>1</v>
      </c>
      <c r="AZ5" s="94">
        <v>98.33</v>
      </c>
      <c r="BA5" s="95">
        <v>198</v>
      </c>
      <c r="BB5" s="96">
        <v>7.6501043196043582E-3</v>
      </c>
      <c r="BC5" s="97">
        <v>530</v>
      </c>
      <c r="BD5" s="96">
        <v>2.0477551966617727E-2</v>
      </c>
      <c r="BE5"/>
      <c r="BF5" s="92">
        <v>48</v>
      </c>
      <c r="BG5" s="93">
        <v>73</v>
      </c>
      <c r="BH5" s="98">
        <v>1</v>
      </c>
      <c r="BI5" s="94">
        <v>99.13</v>
      </c>
      <c r="BJ5" s="95">
        <v>155</v>
      </c>
      <c r="BK5" s="96">
        <v>4.0028924125819947E-3</v>
      </c>
      <c r="BL5" s="97">
        <v>415</v>
      </c>
      <c r="BM5" s="96">
        <v>1.071742162078405E-2</v>
      </c>
      <c r="BN5"/>
      <c r="BO5" s="92">
        <v>48</v>
      </c>
      <c r="BP5" s="93">
        <v>72</v>
      </c>
      <c r="BQ5" s="98">
        <v>1</v>
      </c>
      <c r="BR5" s="94">
        <v>98.72</v>
      </c>
      <c r="BS5" s="95">
        <v>141</v>
      </c>
      <c r="BT5" s="96">
        <v>2.9386019757409029E-3</v>
      </c>
      <c r="BU5" s="97">
        <v>685</v>
      </c>
      <c r="BV5" s="96">
        <v>1.4276186903422116E-2</v>
      </c>
      <c r="BW5"/>
      <c r="BX5" s="92">
        <v>48</v>
      </c>
      <c r="BY5" s="144">
        <v>73</v>
      </c>
      <c r="BZ5" s="146">
        <v>1</v>
      </c>
      <c r="CA5" s="148">
        <v>99.21</v>
      </c>
      <c r="CB5" s="150">
        <v>738</v>
      </c>
      <c r="CC5" s="157">
        <v>8.825534255749154E-3</v>
      </c>
      <c r="CD5" s="159">
        <v>1033</v>
      </c>
      <c r="CE5" s="157">
        <v>1.235335621434807E-2</v>
      </c>
      <c r="CF5"/>
      <c r="CG5" s="92">
        <v>48</v>
      </c>
      <c r="CH5" s="93">
        <v>76</v>
      </c>
      <c r="CI5" s="98">
        <v>1</v>
      </c>
      <c r="CJ5" s="94">
        <v>99.09</v>
      </c>
      <c r="CK5" s="95">
        <v>315</v>
      </c>
      <c r="CL5" s="96">
        <v>4.2343262716421116E-3</v>
      </c>
      <c r="CM5" s="97">
        <v>834</v>
      </c>
      <c r="CN5" s="96">
        <v>1.1210882890633402E-2</v>
      </c>
      <c r="CO5"/>
      <c r="CP5"/>
      <c r="CQ5"/>
      <c r="CR5"/>
      <c r="CS5"/>
      <c r="CT5"/>
      <c r="CU5"/>
      <c r="CV5"/>
      <c r="CW5"/>
      <c r="CX5"/>
      <c r="CY5"/>
    </row>
    <row r="6" spans="1:103" ht="16" customHeight="1" x14ac:dyDescent="0.2">
      <c r="A6" s="139"/>
      <c r="B6" s="7" t="s">
        <v>6</v>
      </c>
      <c r="C6" s="55">
        <v>21.2658604435515</v>
      </c>
      <c r="D6" s="55">
        <v>11.118645599803701</v>
      </c>
      <c r="E6"/>
      <c r="F6" s="68">
        <v>125</v>
      </c>
      <c r="G6" s="67">
        <v>2</v>
      </c>
      <c r="H6" s="1"/>
      <c r="I6" s="68">
        <v>128</v>
      </c>
      <c r="J6" s="67">
        <v>2</v>
      </c>
      <c r="K6" s="1"/>
      <c r="L6" s="1"/>
      <c r="M6" s="1"/>
      <c r="N6" s="1"/>
      <c r="O6" s="56">
        <v>132</v>
      </c>
      <c r="P6" s="83">
        <v>1</v>
      </c>
      <c r="Q6" s="15">
        <v>98.05</v>
      </c>
      <c r="R6" s="57">
        <v>2765</v>
      </c>
      <c r="S6" s="16">
        <v>9.6358250566300745E-3</v>
      </c>
      <c r="T6" s="17">
        <v>6964</v>
      </c>
      <c r="U6" s="16">
        <v>2.4269036417494338E-2</v>
      </c>
      <c r="V6" s="28"/>
      <c r="W6" s="56">
        <v>158</v>
      </c>
      <c r="X6" s="83">
        <v>1</v>
      </c>
      <c r="Y6" s="15">
        <v>99.91</v>
      </c>
      <c r="Z6" s="57">
        <v>27</v>
      </c>
      <c r="AA6" s="16">
        <v>9.4405924496239493E-5</v>
      </c>
      <c r="AB6" s="17">
        <v>277</v>
      </c>
      <c r="AC6" s="16">
        <v>9.6853485501697558E-4</v>
      </c>
      <c r="AD6"/>
      <c r="AE6" s="92">
        <v>47</v>
      </c>
      <c r="AF6" s="93">
        <v>68</v>
      </c>
      <c r="AG6" s="98">
        <v>1</v>
      </c>
      <c r="AH6" s="94">
        <v>97.77</v>
      </c>
      <c r="AI6" s="95">
        <v>2367</v>
      </c>
      <c r="AJ6" s="96">
        <v>2.4629824251063963E-2</v>
      </c>
      <c r="AK6" s="97">
        <v>3323</v>
      </c>
      <c r="AL6" s="96">
        <v>3.4577484573842646E-2</v>
      </c>
      <c r="AM6"/>
      <c r="AN6" s="92">
        <v>47</v>
      </c>
      <c r="AO6" s="93">
        <v>71</v>
      </c>
      <c r="AP6" s="98">
        <v>1</v>
      </c>
      <c r="AQ6" s="94">
        <v>96.77</v>
      </c>
      <c r="AR6" s="95">
        <v>316</v>
      </c>
      <c r="AS6" s="96">
        <v>1.3819644887606052E-2</v>
      </c>
      <c r="AT6" s="97">
        <v>896</v>
      </c>
      <c r="AU6" s="96">
        <v>3.9184815883845009E-2</v>
      </c>
      <c r="AV6"/>
      <c r="AW6" s="92">
        <v>47</v>
      </c>
      <c r="AX6" s="93">
        <v>73</v>
      </c>
      <c r="AY6" s="98">
        <v>1</v>
      </c>
      <c r="AZ6" s="94">
        <v>97.47</v>
      </c>
      <c r="BA6" s="95">
        <v>248</v>
      </c>
      <c r="BB6" s="96">
        <v>9.5819488447569743E-3</v>
      </c>
      <c r="BC6" s="97">
        <v>778</v>
      </c>
      <c r="BD6" s="96">
        <v>3.0059500811374699E-2</v>
      </c>
      <c r="BE6"/>
      <c r="BF6" s="92">
        <v>47</v>
      </c>
      <c r="BG6" s="93">
        <v>72</v>
      </c>
      <c r="BH6" s="98">
        <v>1</v>
      </c>
      <c r="BI6" s="94">
        <v>98.52</v>
      </c>
      <c r="BJ6" s="95">
        <v>318</v>
      </c>
      <c r="BK6" s="96">
        <v>8.2123857238778995E-3</v>
      </c>
      <c r="BL6" s="97">
        <v>733</v>
      </c>
      <c r="BM6" s="96">
        <v>1.8929807344661948E-2</v>
      </c>
      <c r="BN6"/>
      <c r="BO6" s="92">
        <v>47</v>
      </c>
      <c r="BP6" s="93">
        <v>71</v>
      </c>
      <c r="BQ6" s="98">
        <v>1</v>
      </c>
      <c r="BR6" s="94">
        <v>97.74</v>
      </c>
      <c r="BS6" s="95">
        <v>803</v>
      </c>
      <c r="BT6" s="96">
        <v>1.6735442457588262E-2</v>
      </c>
      <c r="BU6" s="97">
        <v>1488</v>
      </c>
      <c r="BV6" s="96">
        <v>3.101162936101038E-2</v>
      </c>
      <c r="BW6"/>
      <c r="BX6" s="92">
        <v>47</v>
      </c>
      <c r="BY6" s="145"/>
      <c r="BZ6" s="147"/>
      <c r="CA6" s="149"/>
      <c r="CB6" s="151"/>
      <c r="CC6" s="158"/>
      <c r="CD6" s="160"/>
      <c r="CE6" s="158"/>
      <c r="CF6"/>
      <c r="CG6" s="92">
        <v>47</v>
      </c>
      <c r="CH6" s="93">
        <v>75</v>
      </c>
      <c r="CI6" s="98">
        <v>1</v>
      </c>
      <c r="CJ6" s="94">
        <v>98.47</v>
      </c>
      <c r="CK6" s="95">
        <v>608</v>
      </c>
      <c r="CL6" s="96">
        <v>8.1729218195504896E-3</v>
      </c>
      <c r="CM6" s="97">
        <v>1442</v>
      </c>
      <c r="CN6" s="96">
        <v>1.9383804710183892E-2</v>
      </c>
      <c r="CO6"/>
      <c r="CP6"/>
      <c r="CQ6"/>
      <c r="CR6"/>
      <c r="CS6"/>
      <c r="CT6"/>
      <c r="CU6"/>
      <c r="CV6"/>
      <c r="CW6"/>
      <c r="CX6"/>
      <c r="CY6"/>
    </row>
    <row r="7" spans="1:103" ht="16" customHeight="1" x14ac:dyDescent="0.2">
      <c r="A7" s="139"/>
      <c r="B7" s="7" t="s">
        <v>21</v>
      </c>
      <c r="C7" s="55">
        <v>23.425143753267101</v>
      </c>
      <c r="D7" s="55">
        <v>12.315650131128301</v>
      </c>
      <c r="E7"/>
      <c r="F7" s="68">
        <v>117</v>
      </c>
      <c r="G7" s="67">
        <v>3</v>
      </c>
      <c r="H7" s="1"/>
      <c r="I7" s="68">
        <v>118</v>
      </c>
      <c r="J7" s="67">
        <v>3</v>
      </c>
      <c r="K7" s="1"/>
      <c r="L7" s="1"/>
      <c r="M7" s="1"/>
      <c r="N7" s="1"/>
      <c r="O7" s="56">
        <v>131</v>
      </c>
      <c r="P7" s="83">
        <v>1</v>
      </c>
      <c r="Q7" s="15">
        <v>97.31</v>
      </c>
      <c r="R7" s="57">
        <v>1498</v>
      </c>
      <c r="S7" s="16">
        <v>5.2204216762502175E-3</v>
      </c>
      <c r="T7" s="17">
        <v>8462</v>
      </c>
      <c r="U7" s="16">
        <v>2.9489458093744553E-2</v>
      </c>
      <c r="V7" s="28"/>
      <c r="W7" s="56">
        <v>157</v>
      </c>
      <c r="X7" s="83">
        <v>1</v>
      </c>
      <c r="Y7" s="15">
        <v>99.86</v>
      </c>
      <c r="Z7" s="57">
        <v>225</v>
      </c>
      <c r="AA7" s="16">
        <v>7.8671603746866253E-4</v>
      </c>
      <c r="AB7" s="17">
        <v>502</v>
      </c>
      <c r="AC7" s="16">
        <v>1.755250892485638E-3</v>
      </c>
      <c r="AD7"/>
      <c r="AE7" s="92">
        <v>46</v>
      </c>
      <c r="AF7" s="93">
        <v>67</v>
      </c>
      <c r="AG7" s="98">
        <v>1</v>
      </c>
      <c r="AH7" s="94">
        <v>96.51</v>
      </c>
      <c r="AI7" s="95">
        <v>57</v>
      </c>
      <c r="AJ7" s="96">
        <v>5.9311363849203456E-4</v>
      </c>
      <c r="AK7" s="97">
        <v>3380</v>
      </c>
      <c r="AL7" s="96">
        <v>3.5170598212334682E-2</v>
      </c>
      <c r="AM7"/>
      <c r="AN7" s="99">
        <v>46</v>
      </c>
      <c r="AO7" s="100">
        <v>70</v>
      </c>
      <c r="AP7" s="101">
        <v>1</v>
      </c>
      <c r="AQ7" s="102">
        <v>95.88</v>
      </c>
      <c r="AR7" s="103">
        <v>91</v>
      </c>
      <c r="AS7" s="104">
        <v>3.9797078632030089E-3</v>
      </c>
      <c r="AT7" s="105">
        <v>987</v>
      </c>
      <c r="AU7" s="104">
        <v>4.3164523747048017E-2</v>
      </c>
      <c r="AV7"/>
      <c r="AW7" s="92">
        <v>46</v>
      </c>
      <c r="AX7" s="93">
        <v>72</v>
      </c>
      <c r="AY7" s="98">
        <v>1</v>
      </c>
      <c r="AZ7" s="94">
        <v>96.84</v>
      </c>
      <c r="BA7" s="95">
        <v>82</v>
      </c>
      <c r="BB7" s="96">
        <v>3.1682250212502899E-3</v>
      </c>
      <c r="BC7" s="97">
        <v>860</v>
      </c>
      <c r="BD7" s="96">
        <v>3.3227725832624989E-2</v>
      </c>
      <c r="BE7"/>
      <c r="BF7" s="92">
        <v>46</v>
      </c>
      <c r="BG7" s="93">
        <v>71</v>
      </c>
      <c r="BH7" s="98">
        <v>1</v>
      </c>
      <c r="BI7" s="94">
        <v>98.03</v>
      </c>
      <c r="BJ7" s="95">
        <v>59</v>
      </c>
      <c r="BK7" s="96">
        <v>1.5236816280150818E-3</v>
      </c>
      <c r="BL7" s="97">
        <v>792</v>
      </c>
      <c r="BM7" s="96">
        <v>2.0453488972677032E-2</v>
      </c>
      <c r="BN7"/>
      <c r="BO7" s="92">
        <v>46</v>
      </c>
      <c r="BP7" s="93">
        <v>70</v>
      </c>
      <c r="BQ7" s="98">
        <v>1</v>
      </c>
      <c r="BR7" s="94">
        <v>96.88</v>
      </c>
      <c r="BS7" s="95">
        <v>22</v>
      </c>
      <c r="BT7" s="96">
        <v>4.5850527281063731E-4</v>
      </c>
      <c r="BU7" s="97">
        <v>1510</v>
      </c>
      <c r="BV7" s="96">
        <v>3.1470134633821013E-2</v>
      </c>
      <c r="BW7"/>
      <c r="BX7" s="92">
        <v>46</v>
      </c>
      <c r="BY7" s="93">
        <v>72</v>
      </c>
      <c r="BZ7" s="98">
        <v>1</v>
      </c>
      <c r="CA7" s="94">
        <v>98.74</v>
      </c>
      <c r="CB7" s="95">
        <v>48</v>
      </c>
      <c r="CC7" s="96">
        <v>5.7401848817880676E-4</v>
      </c>
      <c r="CD7" s="97">
        <v>1081</v>
      </c>
      <c r="CE7" s="96">
        <v>1.2927374702526877E-2</v>
      </c>
      <c r="CF7"/>
      <c r="CG7" s="92">
        <v>46</v>
      </c>
      <c r="CH7" s="93">
        <v>74</v>
      </c>
      <c r="CI7" s="98">
        <v>1</v>
      </c>
      <c r="CJ7" s="94">
        <v>97.97</v>
      </c>
      <c r="CK7" s="95">
        <v>135</v>
      </c>
      <c r="CL7" s="96">
        <v>1.8147112592751908E-3</v>
      </c>
      <c r="CM7" s="97">
        <v>1577</v>
      </c>
      <c r="CN7" s="96">
        <v>2.119851596945908E-2</v>
      </c>
      <c r="CO7"/>
      <c r="CP7"/>
      <c r="CQ7"/>
      <c r="CR7"/>
      <c r="CS7"/>
      <c r="CT7"/>
      <c r="CU7"/>
      <c r="CV7"/>
      <c r="CW7"/>
      <c r="CX7"/>
      <c r="CY7"/>
    </row>
    <row r="8" spans="1:103" ht="16" customHeight="1" x14ac:dyDescent="0.2">
      <c r="A8" s="139"/>
      <c r="B8" s="7" t="s">
        <v>22</v>
      </c>
      <c r="C8" s="55">
        <v>22.080568388632202</v>
      </c>
      <c r="D8" s="55">
        <v>12.218249174602301</v>
      </c>
      <c r="E8"/>
      <c r="F8" s="68">
        <v>108</v>
      </c>
      <c r="G8" s="67">
        <v>4</v>
      </c>
      <c r="H8" s="1"/>
      <c r="I8" s="68">
        <v>103</v>
      </c>
      <c r="J8" s="67">
        <v>4</v>
      </c>
      <c r="K8" s="1"/>
      <c r="L8" s="1"/>
      <c r="M8" s="1"/>
      <c r="N8" s="1"/>
      <c r="O8" s="60">
        <v>130</v>
      </c>
      <c r="P8" s="84">
        <v>1</v>
      </c>
      <c r="Q8" s="33">
        <v>96.22</v>
      </c>
      <c r="R8" s="61">
        <v>4763</v>
      </c>
      <c r="S8" s="34">
        <v>1.6598710576755531E-2</v>
      </c>
      <c r="T8" s="35">
        <v>13225</v>
      </c>
      <c r="U8" s="34">
        <v>4.6088168670500085E-2</v>
      </c>
      <c r="V8" s="28"/>
      <c r="W8" s="56">
        <v>156</v>
      </c>
      <c r="X8" s="83">
        <v>1</v>
      </c>
      <c r="Y8" s="15">
        <v>99.8</v>
      </c>
      <c r="Z8" s="57">
        <v>120</v>
      </c>
      <c r="AA8" s="16">
        <v>4.1958188664995331E-4</v>
      </c>
      <c r="AB8" s="17">
        <v>622</v>
      </c>
      <c r="AC8" s="16">
        <v>2.1748327791355914E-3</v>
      </c>
      <c r="AD8"/>
      <c r="AE8" s="99">
        <v>45</v>
      </c>
      <c r="AF8" s="100">
        <v>66</v>
      </c>
      <c r="AG8" s="101">
        <v>1</v>
      </c>
      <c r="AH8" s="102">
        <v>95.97</v>
      </c>
      <c r="AI8" s="103">
        <v>983</v>
      </c>
      <c r="AJ8" s="104">
        <v>1.0228608888380175E-2</v>
      </c>
      <c r="AK8" s="105">
        <v>4363</v>
      </c>
      <c r="AL8" s="104">
        <v>4.5399207100714857E-2</v>
      </c>
      <c r="AM8"/>
      <c r="AN8" s="92">
        <v>45</v>
      </c>
      <c r="AO8" s="93">
        <v>69</v>
      </c>
      <c r="AP8" s="98">
        <v>2</v>
      </c>
      <c r="AQ8" s="94">
        <v>94.92</v>
      </c>
      <c r="AR8" s="95">
        <v>350</v>
      </c>
      <c r="AS8" s="96">
        <v>1.5306568704626957E-2</v>
      </c>
      <c r="AT8" s="97">
        <v>1337</v>
      </c>
      <c r="AU8" s="96">
        <v>5.8471092451674977E-2</v>
      </c>
      <c r="AV8"/>
      <c r="AW8" s="99">
        <v>45</v>
      </c>
      <c r="AX8" s="100">
        <v>71</v>
      </c>
      <c r="AY8" s="101">
        <v>1</v>
      </c>
      <c r="AZ8" s="102">
        <v>96.18</v>
      </c>
      <c r="BA8" s="103">
        <v>259</v>
      </c>
      <c r="BB8" s="104">
        <v>1.000695464029055E-2</v>
      </c>
      <c r="BC8" s="105">
        <v>1119</v>
      </c>
      <c r="BD8" s="104">
        <v>4.3234680472915538E-2</v>
      </c>
      <c r="BE8"/>
      <c r="BF8" s="92">
        <v>45</v>
      </c>
      <c r="BG8" s="93">
        <v>70</v>
      </c>
      <c r="BH8" s="98">
        <v>1</v>
      </c>
      <c r="BI8" s="94">
        <v>97.46</v>
      </c>
      <c r="BJ8" s="95">
        <v>383</v>
      </c>
      <c r="BK8" s="96">
        <v>9.8910180259284136E-3</v>
      </c>
      <c r="BL8" s="97">
        <v>1175</v>
      </c>
      <c r="BM8" s="96">
        <v>3.0344506998605445E-2</v>
      </c>
      <c r="BN8"/>
      <c r="BO8" s="92">
        <v>45</v>
      </c>
      <c r="BP8" s="93">
        <v>69</v>
      </c>
      <c r="BQ8" s="98">
        <v>1</v>
      </c>
      <c r="BR8" s="94">
        <v>96.47</v>
      </c>
      <c r="BS8" s="95">
        <v>370</v>
      </c>
      <c r="BT8" s="96">
        <v>7.7112250427243548E-3</v>
      </c>
      <c r="BU8" s="97">
        <v>1880</v>
      </c>
      <c r="BV8" s="96">
        <v>3.9181359676545374E-2</v>
      </c>
      <c r="BW8"/>
      <c r="BX8" s="92">
        <v>45</v>
      </c>
      <c r="BY8" s="93">
        <v>71</v>
      </c>
      <c r="BZ8" s="98">
        <v>1</v>
      </c>
      <c r="CA8" s="94">
        <v>98.29</v>
      </c>
      <c r="CB8" s="95">
        <v>694</v>
      </c>
      <c r="CC8" s="96">
        <v>8.2993506415852472E-3</v>
      </c>
      <c r="CD8" s="97">
        <v>1775</v>
      </c>
      <c r="CE8" s="96">
        <v>2.1226725344112126E-2</v>
      </c>
      <c r="CF8"/>
      <c r="CG8" s="92">
        <v>45</v>
      </c>
      <c r="CH8" s="93">
        <v>73</v>
      </c>
      <c r="CI8" s="98">
        <v>1</v>
      </c>
      <c r="CJ8" s="94">
        <v>97.43</v>
      </c>
      <c r="CK8" s="95">
        <v>672</v>
      </c>
      <c r="CL8" s="96">
        <v>9.0332293795031722E-3</v>
      </c>
      <c r="CM8" s="97">
        <v>2249</v>
      </c>
      <c r="CN8" s="96">
        <v>3.0231745348962252E-2</v>
      </c>
      <c r="CO8"/>
      <c r="CP8"/>
      <c r="CQ8"/>
      <c r="CR8"/>
      <c r="CS8"/>
      <c r="CT8"/>
      <c r="CU8"/>
      <c r="CV8"/>
      <c r="CW8"/>
      <c r="CX8"/>
      <c r="CY8"/>
    </row>
    <row r="9" spans="1:103" ht="16" customHeight="1" x14ac:dyDescent="0.2">
      <c r="A9" s="139"/>
      <c r="B9" s="7" t="s">
        <v>23</v>
      </c>
      <c r="C9" s="55">
        <v>20.645196970986099</v>
      </c>
      <c r="D9" s="55">
        <v>12.1809664694873</v>
      </c>
      <c r="E9"/>
      <c r="F9" s="68">
        <v>96</v>
      </c>
      <c r="G9" s="67">
        <v>5</v>
      </c>
      <c r="H9" s="1"/>
      <c r="I9" s="68">
        <v>89</v>
      </c>
      <c r="J9" s="67">
        <v>5</v>
      </c>
      <c r="K9" s="1"/>
      <c r="L9" s="1"/>
      <c r="M9" s="1"/>
      <c r="N9" s="1"/>
      <c r="O9" s="56">
        <v>129</v>
      </c>
      <c r="P9" s="83">
        <v>2</v>
      </c>
      <c r="Q9" s="15">
        <v>94.86</v>
      </c>
      <c r="R9" s="57">
        <v>3076</v>
      </c>
      <c r="S9" s="16">
        <v>1.0719637567520474E-2</v>
      </c>
      <c r="T9" s="17">
        <v>16301</v>
      </c>
      <c r="U9" s="16">
        <v>5.6807806238020564E-2</v>
      </c>
      <c r="V9" s="28"/>
      <c r="W9" s="56">
        <v>155</v>
      </c>
      <c r="X9" s="83">
        <v>1</v>
      </c>
      <c r="Y9" s="15">
        <v>99.78</v>
      </c>
      <c r="Z9" s="57">
        <v>18</v>
      </c>
      <c r="AA9" s="16">
        <v>6.2937282997493004E-5</v>
      </c>
      <c r="AB9" s="17">
        <v>640</v>
      </c>
      <c r="AC9" s="16">
        <v>2.2377700621330843E-3</v>
      </c>
      <c r="AD9"/>
      <c r="AE9" s="92">
        <v>44</v>
      </c>
      <c r="AF9" s="93">
        <v>65</v>
      </c>
      <c r="AG9" s="98">
        <v>2</v>
      </c>
      <c r="AH9" s="94">
        <v>93.94</v>
      </c>
      <c r="AI9" s="95">
        <v>2921</v>
      </c>
      <c r="AJ9" s="96">
        <v>3.039447259710935E-2</v>
      </c>
      <c r="AK9" s="97">
        <v>7284</v>
      </c>
      <c r="AL9" s="96">
        <v>7.5793679697824204E-2</v>
      </c>
      <c r="AM9"/>
      <c r="AN9" s="92">
        <v>44</v>
      </c>
      <c r="AO9" s="144">
        <v>68</v>
      </c>
      <c r="AP9" s="146">
        <v>2</v>
      </c>
      <c r="AQ9" s="148">
        <v>93.22</v>
      </c>
      <c r="AR9" s="150">
        <v>425</v>
      </c>
      <c r="AS9" s="157">
        <v>1.8586547712761307E-2</v>
      </c>
      <c r="AT9" s="159">
        <v>1762</v>
      </c>
      <c r="AU9" s="157">
        <v>7.7057640164436281E-2</v>
      </c>
      <c r="AV9"/>
      <c r="AW9" s="92">
        <v>44</v>
      </c>
      <c r="AX9" s="144">
        <v>70</v>
      </c>
      <c r="AY9" s="146">
        <v>2</v>
      </c>
      <c r="AZ9" s="148">
        <v>94.94</v>
      </c>
      <c r="BA9" s="150">
        <v>381</v>
      </c>
      <c r="BB9" s="157">
        <v>1.4720655281662932E-2</v>
      </c>
      <c r="BC9" s="159">
        <v>1500</v>
      </c>
      <c r="BD9" s="157">
        <v>5.7955335754578473E-2</v>
      </c>
      <c r="BE9"/>
      <c r="BF9" s="92">
        <v>44</v>
      </c>
      <c r="BG9" s="93">
        <v>69</v>
      </c>
      <c r="BH9" s="98">
        <v>1</v>
      </c>
      <c r="BI9" s="94">
        <v>96.53</v>
      </c>
      <c r="BJ9" s="95">
        <v>337</v>
      </c>
      <c r="BK9" s="96">
        <v>8.7030628583234342E-3</v>
      </c>
      <c r="BL9" s="97">
        <v>1512</v>
      </c>
      <c r="BM9" s="96">
        <v>3.9047569856928879E-2</v>
      </c>
      <c r="BN9"/>
      <c r="BO9" s="99">
        <v>44</v>
      </c>
      <c r="BP9" s="100">
        <v>68</v>
      </c>
      <c r="BQ9" s="101">
        <v>1</v>
      </c>
      <c r="BR9" s="102">
        <v>95.06</v>
      </c>
      <c r="BS9" s="103">
        <v>985</v>
      </c>
      <c r="BT9" s="104">
        <v>2.052853153265808E-2</v>
      </c>
      <c r="BU9" s="105">
        <v>2865</v>
      </c>
      <c r="BV9" s="104">
        <v>5.9709891209203454E-2</v>
      </c>
      <c r="BW9"/>
      <c r="BX9" s="92">
        <v>44</v>
      </c>
      <c r="BY9" s="93">
        <v>70</v>
      </c>
      <c r="BZ9" s="98">
        <v>1</v>
      </c>
      <c r="CA9" s="94">
        <v>97.32</v>
      </c>
      <c r="CB9" s="95">
        <v>927</v>
      </c>
      <c r="CC9" s="96">
        <v>1.1085732052953205E-2</v>
      </c>
      <c r="CD9" s="97">
        <v>2702</v>
      </c>
      <c r="CE9" s="96">
        <v>3.2312457397065328E-2</v>
      </c>
      <c r="CF9"/>
      <c r="CG9" s="92">
        <v>44</v>
      </c>
      <c r="CH9" s="93">
        <v>72</v>
      </c>
      <c r="CI9" s="98">
        <v>1</v>
      </c>
      <c r="CJ9" s="94">
        <v>96.6</v>
      </c>
      <c r="CK9" s="95">
        <v>562</v>
      </c>
      <c r="CL9" s="96">
        <v>7.5545757608344987E-3</v>
      </c>
      <c r="CM9" s="97">
        <v>2811</v>
      </c>
      <c r="CN9" s="96">
        <v>3.7786321109796753E-2</v>
      </c>
      <c r="CO9"/>
      <c r="CP9"/>
      <c r="CQ9"/>
      <c r="CR9"/>
      <c r="CS9"/>
      <c r="CT9"/>
      <c r="CU9"/>
      <c r="CV9"/>
      <c r="CW9"/>
      <c r="CX9"/>
      <c r="CY9"/>
    </row>
    <row r="10" spans="1:103" ht="16" customHeight="1" x14ac:dyDescent="0.2">
      <c r="A10" s="139"/>
      <c r="B10" s="7" t="s">
        <v>24</v>
      </c>
      <c r="C10" s="55">
        <v>20.503864360931299</v>
      </c>
      <c r="D10" s="55">
        <v>11.159303500900499</v>
      </c>
      <c r="E10"/>
      <c r="F10" s="68">
        <v>83</v>
      </c>
      <c r="G10" s="67">
        <v>6</v>
      </c>
      <c r="H10" s="1"/>
      <c r="I10" s="68">
        <v>81</v>
      </c>
      <c r="J10" s="67">
        <v>6</v>
      </c>
      <c r="K10" s="1"/>
      <c r="L10" s="1"/>
      <c r="M10" s="1"/>
      <c r="N10" s="1"/>
      <c r="O10" s="56">
        <v>128</v>
      </c>
      <c r="P10" s="83">
        <v>2</v>
      </c>
      <c r="Q10" s="15">
        <v>93.55</v>
      </c>
      <c r="R10" s="57">
        <v>4398</v>
      </c>
      <c r="S10" s="16">
        <v>1.5326711970726608E-2</v>
      </c>
      <c r="T10" s="17">
        <v>20699</v>
      </c>
      <c r="U10" s="16">
        <v>7.2134518208747167E-2</v>
      </c>
      <c r="V10" s="28"/>
      <c r="W10" s="56">
        <v>154</v>
      </c>
      <c r="X10" s="83">
        <v>1</v>
      </c>
      <c r="Y10" s="15">
        <v>99.76</v>
      </c>
      <c r="Z10" s="57">
        <v>86</v>
      </c>
      <c r="AA10" s="16">
        <v>3.0070035209913321E-4</v>
      </c>
      <c r="AB10" s="17">
        <v>726</v>
      </c>
      <c r="AC10" s="16">
        <v>2.5384704142322177E-3</v>
      </c>
      <c r="AD10"/>
      <c r="AE10" s="92">
        <v>43</v>
      </c>
      <c r="AF10" s="144">
        <v>64</v>
      </c>
      <c r="AG10" s="146">
        <v>2</v>
      </c>
      <c r="AH10" s="148">
        <v>91.13</v>
      </c>
      <c r="AI10" s="150">
        <v>2477</v>
      </c>
      <c r="AJ10" s="157">
        <v>2.5774429518329294E-2</v>
      </c>
      <c r="AK10" s="159">
        <v>9761</v>
      </c>
      <c r="AL10" s="157">
        <v>0.1015681092161535</v>
      </c>
      <c r="AM10"/>
      <c r="AN10" s="92">
        <v>43</v>
      </c>
      <c r="AO10" s="145"/>
      <c r="AP10" s="147"/>
      <c r="AQ10" s="149"/>
      <c r="AR10" s="151"/>
      <c r="AS10" s="158"/>
      <c r="AT10" s="160"/>
      <c r="AU10" s="158"/>
      <c r="AV10"/>
      <c r="AW10" s="92">
        <v>43</v>
      </c>
      <c r="AX10" s="145"/>
      <c r="AY10" s="147"/>
      <c r="AZ10" s="149"/>
      <c r="BA10" s="151"/>
      <c r="BB10" s="158"/>
      <c r="BC10" s="160"/>
      <c r="BD10" s="158"/>
      <c r="BE10"/>
      <c r="BF10" s="92">
        <v>43</v>
      </c>
      <c r="BG10" s="152">
        <v>68</v>
      </c>
      <c r="BH10" s="153">
        <v>1</v>
      </c>
      <c r="BI10" s="154">
        <v>94.96</v>
      </c>
      <c r="BJ10" s="155">
        <v>880</v>
      </c>
      <c r="BK10" s="161">
        <v>2.2726098858530035E-2</v>
      </c>
      <c r="BL10" s="162">
        <v>2392</v>
      </c>
      <c r="BM10" s="161">
        <v>6.1773668715458911E-2</v>
      </c>
      <c r="BN10"/>
      <c r="BO10" s="92">
        <v>43</v>
      </c>
      <c r="BP10" s="93">
        <v>67</v>
      </c>
      <c r="BQ10" s="98">
        <v>2</v>
      </c>
      <c r="BR10" s="94">
        <v>93.92</v>
      </c>
      <c r="BS10" s="95">
        <v>104</v>
      </c>
      <c r="BT10" s="96">
        <v>2.1674794714684675E-3</v>
      </c>
      <c r="BU10" s="97">
        <v>2969</v>
      </c>
      <c r="BV10" s="96">
        <v>6.1877370680671916E-2</v>
      </c>
      <c r="BW10"/>
      <c r="BX10" s="92">
        <v>43</v>
      </c>
      <c r="BY10" s="93">
        <v>69</v>
      </c>
      <c r="BZ10" s="98">
        <v>1</v>
      </c>
      <c r="CA10" s="94">
        <v>96.53</v>
      </c>
      <c r="CB10" s="95">
        <v>406</v>
      </c>
      <c r="CC10" s="96">
        <v>4.8552397125124075E-3</v>
      </c>
      <c r="CD10" s="97">
        <v>3108</v>
      </c>
      <c r="CE10" s="96">
        <v>3.7167697109577735E-2</v>
      </c>
      <c r="CF10"/>
      <c r="CG10" s="99">
        <v>43</v>
      </c>
      <c r="CH10" s="100">
        <v>71</v>
      </c>
      <c r="CI10" s="101">
        <v>1</v>
      </c>
      <c r="CJ10" s="102">
        <v>95.94</v>
      </c>
      <c r="CK10" s="103">
        <v>412</v>
      </c>
      <c r="CL10" s="104">
        <v>5.5382299171953973E-3</v>
      </c>
      <c r="CM10" s="105">
        <v>3223</v>
      </c>
      <c r="CN10" s="104">
        <v>4.3324551026992147E-2</v>
      </c>
      <c r="CO10"/>
      <c r="CP10"/>
      <c r="CQ10"/>
      <c r="CR10"/>
      <c r="CS10"/>
      <c r="CT10"/>
      <c r="CU10"/>
      <c r="CV10"/>
      <c r="CW10"/>
      <c r="CX10"/>
      <c r="CY10"/>
    </row>
    <row r="11" spans="1:103" ht="16" customHeight="1" x14ac:dyDescent="0.2">
      <c r="A11" s="139"/>
      <c r="B11" s="7" t="s">
        <v>25</v>
      </c>
      <c r="C11" s="55">
        <v>18.473209141540199</v>
      </c>
      <c r="D11" s="55">
        <v>10.373160591814599</v>
      </c>
      <c r="E11"/>
      <c r="F11" s="68">
        <v>71</v>
      </c>
      <c r="G11" s="67">
        <v>7</v>
      </c>
      <c r="H11" s="1"/>
      <c r="I11" s="68">
        <v>79</v>
      </c>
      <c r="J11" s="67">
        <v>7</v>
      </c>
      <c r="K11" s="1"/>
      <c r="L11" s="1"/>
      <c r="M11" s="1"/>
      <c r="N11" s="1"/>
      <c r="O11" s="56">
        <v>127</v>
      </c>
      <c r="P11" s="83">
        <v>2</v>
      </c>
      <c r="Q11" s="15">
        <v>92.21</v>
      </c>
      <c r="R11" s="57">
        <v>3316</v>
      </c>
      <c r="S11" s="16">
        <v>1.1556020212580589E-2</v>
      </c>
      <c r="T11" s="17">
        <v>24015</v>
      </c>
      <c r="U11" s="16">
        <v>8.3690538421327759E-2</v>
      </c>
      <c r="V11" s="28"/>
      <c r="W11" s="56">
        <v>153</v>
      </c>
      <c r="X11" s="83">
        <v>1</v>
      </c>
      <c r="Y11" s="15">
        <v>99.66</v>
      </c>
      <c r="Z11" s="57">
        <v>500</v>
      </c>
      <c r="AA11" s="16">
        <v>1.7482578610414721E-3</v>
      </c>
      <c r="AB11" s="17">
        <v>1226</v>
      </c>
      <c r="AC11" s="16">
        <v>4.2867282752736902E-3</v>
      </c>
      <c r="AD11"/>
      <c r="AE11" s="92">
        <v>42</v>
      </c>
      <c r="AF11" s="145"/>
      <c r="AG11" s="147"/>
      <c r="AH11" s="149"/>
      <c r="AI11" s="151"/>
      <c r="AJ11" s="158"/>
      <c r="AK11" s="160"/>
      <c r="AL11" s="158"/>
      <c r="AM11"/>
      <c r="AN11" s="92">
        <v>42</v>
      </c>
      <c r="AO11" s="93">
        <v>67</v>
      </c>
      <c r="AP11" s="98">
        <v>2</v>
      </c>
      <c r="AQ11" s="94">
        <v>91.58</v>
      </c>
      <c r="AR11" s="95">
        <v>328</v>
      </c>
      <c r="AS11" s="96">
        <v>1.4344441528907549E-2</v>
      </c>
      <c r="AT11" s="97">
        <v>2090</v>
      </c>
      <c r="AU11" s="96">
        <v>9.1402081693343823E-2</v>
      </c>
      <c r="AV11"/>
      <c r="AW11" s="92">
        <v>42</v>
      </c>
      <c r="AX11" s="93">
        <v>69</v>
      </c>
      <c r="AY11" s="98">
        <v>2</v>
      </c>
      <c r="AZ11" s="94">
        <v>93.66</v>
      </c>
      <c r="BA11" s="95">
        <v>280</v>
      </c>
      <c r="BB11" s="96">
        <v>1.0818329340854648E-2</v>
      </c>
      <c r="BC11" s="97">
        <v>1780</v>
      </c>
      <c r="BD11" s="96">
        <v>6.8773665095433117E-2</v>
      </c>
      <c r="BE11"/>
      <c r="BF11" s="99">
        <v>42</v>
      </c>
      <c r="BG11" s="145"/>
      <c r="BH11" s="147"/>
      <c r="BI11" s="149"/>
      <c r="BJ11" s="151"/>
      <c r="BK11" s="158"/>
      <c r="BL11" s="160"/>
      <c r="BM11" s="158"/>
      <c r="BN11"/>
      <c r="BO11" s="92">
        <v>42</v>
      </c>
      <c r="BP11" s="93">
        <v>66</v>
      </c>
      <c r="BQ11" s="98">
        <v>2</v>
      </c>
      <c r="BR11" s="94">
        <v>93.05</v>
      </c>
      <c r="BS11" s="95">
        <v>730</v>
      </c>
      <c r="BT11" s="96">
        <v>1.5214038597807511E-2</v>
      </c>
      <c r="BU11" s="97">
        <v>3699</v>
      </c>
      <c r="BV11" s="96">
        <v>7.7091409278479434E-2</v>
      </c>
      <c r="BW11"/>
      <c r="BX11" s="99">
        <v>42</v>
      </c>
      <c r="BY11" s="100">
        <v>68</v>
      </c>
      <c r="BZ11" s="101">
        <v>1</v>
      </c>
      <c r="CA11" s="102">
        <v>95.45</v>
      </c>
      <c r="CB11" s="103">
        <v>1390</v>
      </c>
      <c r="CC11" s="104">
        <v>1.6622618720177947E-2</v>
      </c>
      <c r="CD11" s="105">
        <v>4498</v>
      </c>
      <c r="CE11" s="104">
        <v>5.3790315829755686E-2</v>
      </c>
      <c r="CF11"/>
      <c r="CG11" s="92">
        <v>42</v>
      </c>
      <c r="CH11" s="93">
        <v>70</v>
      </c>
      <c r="CI11" s="98">
        <v>2</v>
      </c>
      <c r="CJ11" s="94">
        <v>95.1</v>
      </c>
      <c r="CK11" s="95">
        <v>846</v>
      </c>
      <c r="CL11" s="96">
        <v>1.137219055812453E-2</v>
      </c>
      <c r="CM11" s="97">
        <v>4069</v>
      </c>
      <c r="CN11" s="96">
        <v>5.4696741585116677E-2</v>
      </c>
      <c r="CO11"/>
      <c r="CP11"/>
      <c r="CQ11"/>
      <c r="CR11"/>
      <c r="CS11"/>
      <c r="CT11"/>
      <c r="CU11"/>
      <c r="CV11"/>
      <c r="CW11"/>
      <c r="CX11"/>
      <c r="CY11"/>
    </row>
    <row r="12" spans="1:103" ht="16" customHeight="1" x14ac:dyDescent="0.2">
      <c r="A12" s="139"/>
      <c r="B12" s="29" t="s">
        <v>26</v>
      </c>
      <c r="C12" s="55">
        <v>23.502556990552101</v>
      </c>
      <c r="D12" s="55">
        <v>11.945434886536299</v>
      </c>
      <c r="E12"/>
      <c r="F12" s="68">
        <v>65</v>
      </c>
      <c r="G12" s="67">
        <v>8</v>
      </c>
      <c r="H12" s="1"/>
      <c r="I12" s="68">
        <v>75</v>
      </c>
      <c r="J12" s="67">
        <v>8</v>
      </c>
      <c r="K12" s="1"/>
      <c r="L12" s="1"/>
      <c r="M12" s="1"/>
      <c r="N12" s="1"/>
      <c r="O12" s="56">
        <v>126</v>
      </c>
      <c r="P12" s="83">
        <v>2</v>
      </c>
      <c r="Q12" s="15">
        <v>90.86</v>
      </c>
      <c r="R12" s="57">
        <v>4396</v>
      </c>
      <c r="S12" s="16">
        <v>1.5319742115351106E-2</v>
      </c>
      <c r="T12" s="17">
        <v>28411</v>
      </c>
      <c r="U12" s="16">
        <v>9.901028053667886E-2</v>
      </c>
      <c r="V12" s="28"/>
      <c r="W12" s="56">
        <v>152</v>
      </c>
      <c r="X12" s="83">
        <v>1</v>
      </c>
      <c r="Y12" s="15">
        <v>99.56</v>
      </c>
      <c r="Z12" s="57">
        <v>91</v>
      </c>
      <c r="AA12" s="16">
        <v>3.1818293070954792E-4</v>
      </c>
      <c r="AB12" s="17">
        <v>1317</v>
      </c>
      <c r="AC12" s="16">
        <v>4.604911205983238E-3</v>
      </c>
      <c r="AD12"/>
      <c r="AE12" s="99">
        <v>41</v>
      </c>
      <c r="AF12" s="100">
        <v>63</v>
      </c>
      <c r="AG12" s="101">
        <v>2</v>
      </c>
      <c r="AH12" s="102">
        <v>88.3</v>
      </c>
      <c r="AI12" s="103">
        <v>2965</v>
      </c>
      <c r="AJ12" s="104">
        <v>3.0852314704015484E-2</v>
      </c>
      <c r="AK12" s="105">
        <v>12726</v>
      </c>
      <c r="AL12" s="104">
        <v>0.13242042392016898</v>
      </c>
      <c r="AM12"/>
      <c r="AN12" s="92">
        <v>41</v>
      </c>
      <c r="AO12" s="93">
        <v>66</v>
      </c>
      <c r="AP12" s="98">
        <v>2</v>
      </c>
      <c r="AQ12" s="94">
        <v>90.44</v>
      </c>
      <c r="AR12" s="95">
        <v>194</v>
      </c>
      <c r="AS12" s="96">
        <v>8.4842123677075134E-3</v>
      </c>
      <c r="AT12" s="97">
        <v>2284</v>
      </c>
      <c r="AU12" s="96">
        <v>9.9886294061051345E-2</v>
      </c>
      <c r="AV12"/>
      <c r="AW12" s="92">
        <v>41</v>
      </c>
      <c r="AX12" s="93">
        <v>68</v>
      </c>
      <c r="AY12" s="98">
        <v>2</v>
      </c>
      <c r="AZ12" s="94">
        <v>92.79</v>
      </c>
      <c r="BA12" s="95">
        <v>172</v>
      </c>
      <c r="BB12" s="96">
        <v>6.6455451665249979E-3</v>
      </c>
      <c r="BC12" s="97">
        <v>1952</v>
      </c>
      <c r="BD12" s="96">
        <v>7.5419210261958122E-2</v>
      </c>
      <c r="BE12"/>
      <c r="BF12" s="92">
        <v>41</v>
      </c>
      <c r="BG12" s="93">
        <v>67</v>
      </c>
      <c r="BH12" s="98">
        <v>2</v>
      </c>
      <c r="BI12" s="94">
        <v>93.37</v>
      </c>
      <c r="BJ12" s="95">
        <v>350</v>
      </c>
      <c r="BK12" s="96">
        <v>9.0387893187335363E-3</v>
      </c>
      <c r="BL12" s="97">
        <v>2742</v>
      </c>
      <c r="BM12" s="96">
        <v>7.0812458034192449E-2</v>
      </c>
      <c r="BN12"/>
      <c r="BO12" s="92">
        <v>41</v>
      </c>
      <c r="BP12" s="93">
        <v>65</v>
      </c>
      <c r="BQ12" s="98">
        <v>2</v>
      </c>
      <c r="BR12" s="94">
        <v>91.17</v>
      </c>
      <c r="BS12" s="95">
        <v>1078</v>
      </c>
      <c r="BT12" s="96">
        <v>2.2466758367721228E-2</v>
      </c>
      <c r="BU12" s="97">
        <v>4777</v>
      </c>
      <c r="BV12" s="96">
        <v>9.9558167646200665E-2</v>
      </c>
      <c r="BW12"/>
      <c r="BX12" s="92">
        <v>41</v>
      </c>
      <c r="BY12" s="93">
        <v>67</v>
      </c>
      <c r="BZ12" s="98">
        <v>2</v>
      </c>
      <c r="CA12" s="94">
        <v>94.08</v>
      </c>
      <c r="CB12" s="95">
        <v>905</v>
      </c>
      <c r="CC12" s="96">
        <v>1.0822640245871252E-2</v>
      </c>
      <c r="CD12" s="97">
        <v>5403</v>
      </c>
      <c r="CE12" s="96">
        <v>6.4612956075626934E-2</v>
      </c>
      <c r="CF12"/>
      <c r="CG12" s="92">
        <v>41</v>
      </c>
      <c r="CH12" s="93">
        <v>69</v>
      </c>
      <c r="CI12" s="98">
        <v>2</v>
      </c>
      <c r="CJ12" s="94">
        <v>94.21</v>
      </c>
      <c r="CK12" s="95">
        <v>477</v>
      </c>
      <c r="CL12" s="96">
        <v>6.4119797827723408E-3</v>
      </c>
      <c r="CM12" s="97">
        <v>4546</v>
      </c>
      <c r="CN12" s="96">
        <v>6.1108721367889023E-2</v>
      </c>
      <c r="CO12"/>
      <c r="CP12"/>
      <c r="CQ12"/>
      <c r="CR12"/>
      <c r="CS12"/>
      <c r="CT12"/>
      <c r="CU12"/>
      <c r="CV12"/>
      <c r="CW12"/>
      <c r="CX12"/>
      <c r="CY12"/>
    </row>
    <row r="13" spans="1:103" ht="16" customHeight="1" x14ac:dyDescent="0.2">
      <c r="A13" s="139" t="s">
        <v>41</v>
      </c>
      <c r="B13" s="7" t="s">
        <v>7</v>
      </c>
      <c r="C13" s="55">
        <v>23.395330819689001</v>
      </c>
      <c r="D13" s="55">
        <v>10.6143017956271</v>
      </c>
      <c r="E13"/>
      <c r="F13" s="68">
        <v>48</v>
      </c>
      <c r="G13" s="67">
        <v>9</v>
      </c>
      <c r="H13" s="1"/>
      <c r="I13" s="68">
        <v>66</v>
      </c>
      <c r="J13" s="67">
        <v>9</v>
      </c>
      <c r="K13" s="1"/>
      <c r="L13" s="1"/>
      <c r="M13" s="1"/>
      <c r="N13" s="1"/>
      <c r="O13" s="60">
        <v>125</v>
      </c>
      <c r="P13" s="84">
        <v>2</v>
      </c>
      <c r="Q13" s="33">
        <v>89.33</v>
      </c>
      <c r="R13" s="61">
        <v>4424</v>
      </c>
      <c r="S13" s="34">
        <v>1.541732009060812E-2</v>
      </c>
      <c r="T13" s="35">
        <v>32835</v>
      </c>
      <c r="U13" s="34">
        <v>0.11442760062728699</v>
      </c>
      <c r="V13" s="28"/>
      <c r="W13" s="56">
        <v>151</v>
      </c>
      <c r="X13" s="83">
        <v>1</v>
      </c>
      <c r="Y13" s="15">
        <v>99.53</v>
      </c>
      <c r="Z13" s="57">
        <v>33</v>
      </c>
      <c r="AA13" s="16">
        <v>1.1538501882873716E-4</v>
      </c>
      <c r="AB13" s="17">
        <v>1350</v>
      </c>
      <c r="AC13" s="16">
        <v>4.7202962248119752E-3</v>
      </c>
      <c r="AD13"/>
      <c r="AE13" s="92">
        <v>40</v>
      </c>
      <c r="AF13" s="93">
        <v>62</v>
      </c>
      <c r="AG13" s="98">
        <v>3</v>
      </c>
      <c r="AH13" s="94">
        <v>86.19</v>
      </c>
      <c r="AI13" s="95">
        <v>1100</v>
      </c>
      <c r="AJ13" s="96">
        <v>1.1446052672653299E-2</v>
      </c>
      <c r="AK13" s="97">
        <v>13826</v>
      </c>
      <c r="AL13" s="96">
        <v>0.14386647659282228</v>
      </c>
      <c r="AM13"/>
      <c r="AN13" s="99">
        <v>40</v>
      </c>
      <c r="AO13" s="100">
        <v>65</v>
      </c>
      <c r="AP13" s="101">
        <v>2</v>
      </c>
      <c r="AQ13" s="102">
        <v>89.33</v>
      </c>
      <c r="AR13" s="103">
        <v>312</v>
      </c>
      <c r="AS13" s="104">
        <v>1.3644712673838887E-2</v>
      </c>
      <c r="AT13" s="105">
        <v>2596</v>
      </c>
      <c r="AU13" s="104">
        <v>0.11353100673489024</v>
      </c>
      <c r="AV13"/>
      <c r="AW13" s="92">
        <v>40</v>
      </c>
      <c r="AX13" s="93">
        <v>67</v>
      </c>
      <c r="AY13" s="98">
        <v>2</v>
      </c>
      <c r="AZ13" s="94">
        <v>91.98</v>
      </c>
      <c r="BA13" s="95">
        <v>250</v>
      </c>
      <c r="BB13" s="96">
        <v>9.6592226257630788E-3</v>
      </c>
      <c r="BC13" s="97">
        <v>2202</v>
      </c>
      <c r="BD13" s="96">
        <v>8.5078432887721198E-2</v>
      </c>
      <c r="BE13"/>
      <c r="BF13" s="92">
        <v>40</v>
      </c>
      <c r="BG13" s="93">
        <v>66</v>
      </c>
      <c r="BH13" s="98">
        <v>2</v>
      </c>
      <c r="BI13" s="94">
        <v>92.24</v>
      </c>
      <c r="BJ13" s="95">
        <v>525</v>
      </c>
      <c r="BK13" s="96">
        <v>1.3558183978100305E-2</v>
      </c>
      <c r="BL13" s="97">
        <v>3267</v>
      </c>
      <c r="BM13" s="96">
        <v>8.437064201229276E-2</v>
      </c>
      <c r="BN13"/>
      <c r="BO13" s="92">
        <v>40</v>
      </c>
      <c r="BP13" s="93">
        <v>64</v>
      </c>
      <c r="BQ13" s="98">
        <v>2</v>
      </c>
      <c r="BR13" s="94">
        <v>89.73</v>
      </c>
      <c r="BS13" s="95">
        <v>304</v>
      </c>
      <c r="BT13" s="96">
        <v>6.3357092242924433E-3</v>
      </c>
      <c r="BU13" s="97">
        <v>5081</v>
      </c>
      <c r="BV13" s="96">
        <v>0.10589387687049311</v>
      </c>
      <c r="BW13"/>
      <c r="BX13" s="92">
        <v>40</v>
      </c>
      <c r="BY13" s="93">
        <v>66</v>
      </c>
      <c r="BZ13" s="98">
        <v>2</v>
      </c>
      <c r="CA13" s="94">
        <v>92.81</v>
      </c>
      <c r="CB13" s="95">
        <v>1214</v>
      </c>
      <c r="CC13" s="96">
        <v>1.451788426352232E-2</v>
      </c>
      <c r="CD13" s="97">
        <v>6617</v>
      </c>
      <c r="CE13" s="96">
        <v>7.9130840339149258E-2</v>
      </c>
      <c r="CF13"/>
      <c r="CG13" s="92">
        <v>40</v>
      </c>
      <c r="CH13" s="93">
        <v>68</v>
      </c>
      <c r="CI13" s="98">
        <v>2</v>
      </c>
      <c r="CJ13" s="94">
        <v>93.41</v>
      </c>
      <c r="CK13" s="95">
        <v>710</v>
      </c>
      <c r="CL13" s="96">
        <v>9.5440369932250774E-3</v>
      </c>
      <c r="CM13" s="97">
        <v>5256</v>
      </c>
      <c r="CN13" s="96">
        <v>7.0652758361114093E-2</v>
      </c>
      <c r="CO13"/>
      <c r="CP13"/>
      <c r="CQ13"/>
      <c r="CR13"/>
      <c r="CS13"/>
      <c r="CT13"/>
      <c r="CU13"/>
      <c r="CV13"/>
      <c r="CW13"/>
      <c r="CX13"/>
      <c r="CY13"/>
    </row>
    <row r="14" spans="1:103" ht="16" customHeight="1" x14ac:dyDescent="0.2">
      <c r="A14" s="139"/>
      <c r="B14" s="7" t="s">
        <v>8</v>
      </c>
      <c r="C14" s="55">
        <v>24.321245467050101</v>
      </c>
      <c r="D14" s="55">
        <v>10.908550028454099</v>
      </c>
      <c r="E14"/>
      <c r="F14" s="1"/>
      <c r="G14" s="1"/>
      <c r="H14" s="1"/>
      <c r="I14" s="1"/>
      <c r="J14" s="1"/>
      <c r="K14" s="1"/>
      <c r="L14" s="1"/>
      <c r="M14" s="1"/>
      <c r="N14"/>
      <c r="O14" s="56">
        <v>124</v>
      </c>
      <c r="P14" s="83">
        <v>3</v>
      </c>
      <c r="Q14" s="15">
        <v>87.83</v>
      </c>
      <c r="R14" s="57">
        <v>4164</v>
      </c>
      <c r="S14" s="16">
        <v>1.4511238891792995E-2</v>
      </c>
      <c r="T14" s="17">
        <v>36999</v>
      </c>
      <c r="U14" s="16">
        <v>0.12893883951907997</v>
      </c>
      <c r="V14" s="28"/>
      <c r="W14" s="56">
        <v>150</v>
      </c>
      <c r="X14" s="83">
        <v>1</v>
      </c>
      <c r="Y14" s="15">
        <v>99.5</v>
      </c>
      <c r="Z14" s="57">
        <v>145</v>
      </c>
      <c r="AA14" s="16">
        <v>5.0699477970202688E-4</v>
      </c>
      <c r="AB14" s="17">
        <v>1495</v>
      </c>
      <c r="AC14" s="16">
        <v>5.2272910045140014E-3</v>
      </c>
      <c r="AD14"/>
      <c r="AE14" s="92">
        <v>39</v>
      </c>
      <c r="AF14" s="93">
        <v>61</v>
      </c>
      <c r="AG14" s="98">
        <v>3</v>
      </c>
      <c r="AH14" s="94">
        <v>84.11</v>
      </c>
      <c r="AI14" s="95">
        <v>2881</v>
      </c>
      <c r="AJ14" s="96">
        <v>2.9978252499921958E-2</v>
      </c>
      <c r="AK14" s="97">
        <v>16707</v>
      </c>
      <c r="AL14" s="96">
        <v>0.17384472909274423</v>
      </c>
      <c r="AM14"/>
      <c r="AN14" s="92">
        <v>39</v>
      </c>
      <c r="AO14" s="144">
        <v>64</v>
      </c>
      <c r="AP14" s="146">
        <v>3</v>
      </c>
      <c r="AQ14" s="148">
        <v>87.53</v>
      </c>
      <c r="AR14" s="150">
        <v>513</v>
      </c>
      <c r="AS14" s="157">
        <v>2.2435056415638938E-2</v>
      </c>
      <c r="AT14" s="159">
        <v>3109</v>
      </c>
      <c r="AU14" s="157">
        <v>0.13596606315052917</v>
      </c>
      <c r="AV14"/>
      <c r="AW14" s="92">
        <v>39</v>
      </c>
      <c r="AX14" s="93">
        <v>66</v>
      </c>
      <c r="AY14" s="98">
        <v>2</v>
      </c>
      <c r="AZ14" s="94">
        <v>90.96</v>
      </c>
      <c r="BA14" s="95">
        <v>274</v>
      </c>
      <c r="BB14" s="96">
        <v>1.0586507997836335E-2</v>
      </c>
      <c r="BC14" s="97">
        <v>2476</v>
      </c>
      <c r="BD14" s="96">
        <v>9.5664940885557534E-2</v>
      </c>
      <c r="BE14"/>
      <c r="BF14" s="92">
        <v>39</v>
      </c>
      <c r="BG14" s="93">
        <v>65</v>
      </c>
      <c r="BH14" s="98">
        <v>2</v>
      </c>
      <c r="BI14" s="94">
        <v>90.61</v>
      </c>
      <c r="BJ14" s="95">
        <v>736</v>
      </c>
      <c r="BK14" s="96">
        <v>1.9007282681679664E-2</v>
      </c>
      <c r="BL14" s="97">
        <v>4003</v>
      </c>
      <c r="BM14" s="96">
        <v>0.10337792469397242</v>
      </c>
      <c r="BN14"/>
      <c r="BO14" s="92">
        <v>39</v>
      </c>
      <c r="BP14" s="152">
        <v>63</v>
      </c>
      <c r="BQ14" s="153">
        <v>2</v>
      </c>
      <c r="BR14" s="154">
        <v>87.43</v>
      </c>
      <c r="BS14" s="155">
        <v>1904</v>
      </c>
      <c r="BT14" s="161">
        <v>3.9681547246884247E-2</v>
      </c>
      <c r="BU14" s="162">
        <v>6985</v>
      </c>
      <c r="BV14" s="161">
        <v>0.14557542411737734</v>
      </c>
      <c r="BW14"/>
      <c r="BX14" s="92">
        <v>39</v>
      </c>
      <c r="BY14" s="93">
        <v>65</v>
      </c>
      <c r="BZ14" s="98">
        <v>2</v>
      </c>
      <c r="CA14" s="94">
        <v>91</v>
      </c>
      <c r="CB14" s="95">
        <v>1811</v>
      </c>
      <c r="CC14" s="96">
        <v>2.1657239210246228E-2</v>
      </c>
      <c r="CD14" s="97">
        <v>8428</v>
      </c>
      <c r="CE14" s="96">
        <v>0.10078807954939549</v>
      </c>
      <c r="CF14"/>
      <c r="CG14" s="92">
        <v>39</v>
      </c>
      <c r="CH14" s="93">
        <v>67</v>
      </c>
      <c r="CI14" s="98">
        <v>2</v>
      </c>
      <c r="CJ14" s="94">
        <v>92.36</v>
      </c>
      <c r="CK14" s="95">
        <v>859</v>
      </c>
      <c r="CL14" s="96">
        <v>1.1546940531239919E-2</v>
      </c>
      <c r="CM14" s="97">
        <v>6115</v>
      </c>
      <c r="CN14" s="96">
        <v>8.2199698892354012E-2</v>
      </c>
      <c r="CO14"/>
      <c r="CP14"/>
      <c r="CQ14"/>
      <c r="CR14"/>
      <c r="CS14"/>
      <c r="CT14"/>
      <c r="CU14"/>
      <c r="CV14"/>
      <c r="CW14"/>
      <c r="CX14"/>
      <c r="CY14"/>
    </row>
    <row r="15" spans="1:103" ht="16" customHeight="1" thickBot="1" x14ac:dyDescent="0.25">
      <c r="A15" s="139"/>
      <c r="B15" s="7" t="s">
        <v>9</v>
      </c>
      <c r="C15" s="55">
        <v>23.237715406416999</v>
      </c>
      <c r="D15" s="55">
        <v>10.552720309122501</v>
      </c>
      <c r="E15"/>
      <c r="F15" s="142" t="s">
        <v>27</v>
      </c>
      <c r="G15" s="143"/>
      <c r="H15" s="8"/>
      <c r="I15" s="117" t="s">
        <v>28</v>
      </c>
      <c r="J15" s="118"/>
      <c r="K15" s="36"/>
      <c r="L15" s="36"/>
      <c r="M15" s="36"/>
      <c r="N15"/>
      <c r="O15" s="56">
        <v>123</v>
      </c>
      <c r="P15" s="83">
        <v>3</v>
      </c>
      <c r="Q15" s="15">
        <v>86.26</v>
      </c>
      <c r="R15" s="57">
        <v>4868</v>
      </c>
      <c r="S15" s="16">
        <v>1.6964627983969333E-2</v>
      </c>
      <c r="T15" s="17">
        <v>41867</v>
      </c>
      <c r="U15" s="16">
        <v>0.14590346750304931</v>
      </c>
      <c r="V15" s="28"/>
      <c r="W15" s="56">
        <v>149</v>
      </c>
      <c r="X15" s="83">
        <v>1</v>
      </c>
      <c r="Y15" s="15">
        <v>99.33</v>
      </c>
      <c r="Z15" s="57">
        <v>838</v>
      </c>
      <c r="AA15" s="16">
        <v>2.9300801751055072E-3</v>
      </c>
      <c r="AB15" s="17">
        <v>2333</v>
      </c>
      <c r="AC15" s="16">
        <v>8.1573711796195086E-3</v>
      </c>
      <c r="AD15"/>
      <c r="AE15" s="92">
        <v>38</v>
      </c>
      <c r="AF15" s="93">
        <v>60</v>
      </c>
      <c r="AG15" s="98">
        <v>3</v>
      </c>
      <c r="AH15" s="94">
        <v>81.19</v>
      </c>
      <c r="AI15" s="95">
        <v>2731</v>
      </c>
      <c r="AJ15" s="96">
        <v>2.8417427135469235E-2</v>
      </c>
      <c r="AK15" s="97">
        <v>19438</v>
      </c>
      <c r="AL15" s="96">
        <v>0.20226215622821347</v>
      </c>
      <c r="AM15"/>
      <c r="AN15" s="92">
        <v>38</v>
      </c>
      <c r="AO15" s="145"/>
      <c r="AP15" s="147"/>
      <c r="AQ15" s="149"/>
      <c r="AR15" s="151"/>
      <c r="AS15" s="158"/>
      <c r="AT15" s="160"/>
      <c r="AU15" s="158"/>
      <c r="AV15"/>
      <c r="AW15" s="92">
        <v>38</v>
      </c>
      <c r="AX15" s="93">
        <v>65</v>
      </c>
      <c r="AY15" s="98">
        <v>2</v>
      </c>
      <c r="AZ15" s="94">
        <v>90</v>
      </c>
      <c r="BA15" s="95">
        <v>222</v>
      </c>
      <c r="BB15" s="96">
        <v>8.577389691677614E-3</v>
      </c>
      <c r="BC15" s="97">
        <v>2698</v>
      </c>
      <c r="BD15" s="96">
        <v>0.10424233057723514</v>
      </c>
      <c r="BE15"/>
      <c r="BF15" s="99">
        <v>38</v>
      </c>
      <c r="BG15" s="100">
        <v>64</v>
      </c>
      <c r="BH15" s="101">
        <v>2</v>
      </c>
      <c r="BI15" s="102">
        <v>89.03</v>
      </c>
      <c r="BJ15" s="103">
        <v>488</v>
      </c>
      <c r="BK15" s="104">
        <v>1.2602654821548473E-2</v>
      </c>
      <c r="BL15" s="105">
        <v>4491</v>
      </c>
      <c r="BM15" s="104">
        <v>0.11598057951552089</v>
      </c>
      <c r="BN15"/>
      <c r="BO15" s="99">
        <v>38</v>
      </c>
      <c r="BP15" s="145"/>
      <c r="BQ15" s="147"/>
      <c r="BR15" s="149"/>
      <c r="BS15" s="151"/>
      <c r="BT15" s="158"/>
      <c r="BU15" s="160"/>
      <c r="BV15" s="158"/>
      <c r="BW15"/>
      <c r="BX15" s="99">
        <v>38</v>
      </c>
      <c r="BY15" s="100">
        <v>64</v>
      </c>
      <c r="BZ15" s="101">
        <v>2</v>
      </c>
      <c r="CA15" s="102">
        <v>89.27</v>
      </c>
      <c r="CB15" s="103">
        <v>1082</v>
      </c>
      <c r="CC15" s="104">
        <v>1.2939333421030602E-2</v>
      </c>
      <c r="CD15" s="105">
        <v>9510</v>
      </c>
      <c r="CE15" s="104">
        <v>0.11372741297042609</v>
      </c>
      <c r="CF15"/>
      <c r="CG15" s="92">
        <v>38</v>
      </c>
      <c r="CH15" s="93">
        <v>66</v>
      </c>
      <c r="CI15" s="98">
        <v>2</v>
      </c>
      <c r="CJ15" s="94">
        <v>91.37</v>
      </c>
      <c r="CK15" s="95">
        <v>608</v>
      </c>
      <c r="CL15" s="96">
        <v>8.1729218195504896E-3</v>
      </c>
      <c r="CM15" s="97">
        <v>6723</v>
      </c>
      <c r="CN15" s="96">
        <v>9.0372620711904508E-2</v>
      </c>
      <c r="CO15"/>
      <c r="CP15"/>
      <c r="CQ15"/>
      <c r="CR15"/>
      <c r="CS15"/>
      <c r="CT15"/>
      <c r="CU15"/>
      <c r="CV15"/>
      <c r="CW15"/>
      <c r="CX15"/>
      <c r="CY15"/>
    </row>
    <row r="16" spans="1:103" ht="16" customHeight="1" x14ac:dyDescent="0.2">
      <c r="A16" s="139"/>
      <c r="B16" s="7" t="s">
        <v>10</v>
      </c>
      <c r="C16" s="55">
        <v>20.663565974836001</v>
      </c>
      <c r="D16" s="55">
        <v>10.6156997714731</v>
      </c>
      <c r="E16"/>
      <c r="F16" s="10" t="s">
        <v>30</v>
      </c>
      <c r="G16" s="10" t="s">
        <v>14</v>
      </c>
      <c r="H16" s="8"/>
      <c r="I16" s="30" t="s">
        <v>30</v>
      </c>
      <c r="J16" s="30" t="s">
        <v>14</v>
      </c>
      <c r="K16" s="36"/>
      <c r="L16" s="36"/>
      <c r="M16" s="36"/>
      <c r="N16"/>
      <c r="O16" s="56">
        <v>122</v>
      </c>
      <c r="P16" s="83">
        <v>3</v>
      </c>
      <c r="Q16" s="15">
        <v>84.54</v>
      </c>
      <c r="R16" s="57">
        <v>5019</v>
      </c>
      <c r="S16" s="16">
        <v>1.7490852064819654E-2</v>
      </c>
      <c r="T16" s="17">
        <v>46886</v>
      </c>
      <c r="U16" s="16">
        <v>0.16339431956786896</v>
      </c>
      <c r="V16" s="28"/>
      <c r="W16" s="56">
        <v>148</v>
      </c>
      <c r="X16" s="83">
        <v>1</v>
      </c>
      <c r="Y16" s="15">
        <v>99.18</v>
      </c>
      <c r="Z16" s="57">
        <v>47</v>
      </c>
      <c r="AA16" s="16">
        <v>1.6433623893789839E-4</v>
      </c>
      <c r="AB16" s="17">
        <v>2380</v>
      </c>
      <c r="AC16" s="16">
        <v>8.3217074185574069E-3</v>
      </c>
      <c r="AD16"/>
      <c r="AE16" s="92">
        <v>37</v>
      </c>
      <c r="AF16" s="93">
        <v>59</v>
      </c>
      <c r="AG16" s="98">
        <v>3</v>
      </c>
      <c r="AH16" s="94">
        <v>78.75</v>
      </c>
      <c r="AI16" s="95">
        <v>1975</v>
      </c>
      <c r="AJ16" s="96">
        <v>2.0550867298627516E-2</v>
      </c>
      <c r="AK16" s="97">
        <v>21413</v>
      </c>
      <c r="AL16" s="96">
        <v>0.22281302352684099</v>
      </c>
      <c r="AM16"/>
      <c r="AN16" s="92">
        <v>37</v>
      </c>
      <c r="AO16" s="93">
        <v>63</v>
      </c>
      <c r="AP16" s="98">
        <v>3</v>
      </c>
      <c r="AQ16" s="94">
        <v>85.65</v>
      </c>
      <c r="AR16" s="95">
        <v>343</v>
      </c>
      <c r="AS16" s="96">
        <v>1.5000437330534418E-2</v>
      </c>
      <c r="AT16" s="97">
        <v>3452</v>
      </c>
      <c r="AU16" s="96">
        <v>0.15096650048106358</v>
      </c>
      <c r="AV16"/>
      <c r="AW16" s="99">
        <v>37</v>
      </c>
      <c r="AX16" s="100">
        <v>64</v>
      </c>
      <c r="AY16" s="101">
        <v>2</v>
      </c>
      <c r="AZ16" s="102">
        <v>89.03</v>
      </c>
      <c r="BA16" s="103">
        <v>285</v>
      </c>
      <c r="BB16" s="104">
        <v>1.101151379336991E-2</v>
      </c>
      <c r="BC16" s="105">
        <v>2983</v>
      </c>
      <c r="BD16" s="104">
        <v>0.11525384437060505</v>
      </c>
      <c r="BE16"/>
      <c r="BF16" s="92">
        <v>37</v>
      </c>
      <c r="BG16" s="93">
        <v>63</v>
      </c>
      <c r="BH16" s="98">
        <v>3</v>
      </c>
      <c r="BI16" s="94">
        <v>87.35</v>
      </c>
      <c r="BJ16" s="95">
        <v>818</v>
      </c>
      <c r="BK16" s="96">
        <v>2.1124941893497236E-2</v>
      </c>
      <c r="BL16" s="97">
        <v>5309</v>
      </c>
      <c r="BM16" s="96">
        <v>0.13710552140901813</v>
      </c>
      <c r="BN16"/>
      <c r="BO16" s="92">
        <v>37</v>
      </c>
      <c r="BP16" s="93">
        <v>62</v>
      </c>
      <c r="BQ16" s="98">
        <v>3</v>
      </c>
      <c r="BR16" s="94">
        <v>84.79</v>
      </c>
      <c r="BS16" s="95">
        <v>623</v>
      </c>
      <c r="BT16" s="96">
        <v>1.2984035680046684E-2</v>
      </c>
      <c r="BU16" s="97">
        <v>7608</v>
      </c>
      <c r="BV16" s="96">
        <v>0.15855945979742403</v>
      </c>
      <c r="BW16"/>
      <c r="BX16" s="92">
        <v>37</v>
      </c>
      <c r="BY16" s="93">
        <v>63</v>
      </c>
      <c r="BZ16" s="98">
        <v>3</v>
      </c>
      <c r="CA16" s="94">
        <v>87.47</v>
      </c>
      <c r="CB16" s="95">
        <v>1933</v>
      </c>
      <c r="CC16" s="96">
        <v>2.3116202867700698E-2</v>
      </c>
      <c r="CD16" s="97">
        <v>11443</v>
      </c>
      <c r="CE16" s="96">
        <v>0.13684361583812679</v>
      </c>
      <c r="CF16"/>
      <c r="CG16" s="92">
        <v>37</v>
      </c>
      <c r="CH16" s="93">
        <v>65</v>
      </c>
      <c r="CI16" s="98">
        <v>2</v>
      </c>
      <c r="CJ16" s="94">
        <v>90.34</v>
      </c>
      <c r="CK16" s="95">
        <v>932</v>
      </c>
      <c r="CL16" s="96">
        <v>1.2528228841810948E-2</v>
      </c>
      <c r="CM16" s="97">
        <v>7655</v>
      </c>
      <c r="CN16" s="96">
        <v>0.10290084955371545</v>
      </c>
      <c r="CO16"/>
      <c r="CP16"/>
      <c r="CQ16"/>
      <c r="CR16"/>
      <c r="CS16"/>
      <c r="CT16"/>
      <c r="CU16"/>
      <c r="CV16"/>
      <c r="CW16"/>
      <c r="CX16"/>
      <c r="CY16"/>
    </row>
    <row r="17" spans="1:103" ht="16" customHeight="1" x14ac:dyDescent="0.2">
      <c r="A17" s="139"/>
      <c r="B17" s="7" t="s">
        <v>29</v>
      </c>
      <c r="C17" s="55">
        <v>16.745185966763302</v>
      </c>
      <c r="D17" s="55">
        <v>10.267124003619299</v>
      </c>
      <c r="E17"/>
      <c r="F17" s="27">
        <v>90</v>
      </c>
      <c r="G17" s="27">
        <v>1</v>
      </c>
      <c r="H17" s="1"/>
      <c r="I17" s="85">
        <v>40</v>
      </c>
      <c r="J17" s="85">
        <v>1</v>
      </c>
      <c r="K17" s="70"/>
      <c r="L17" s="70"/>
      <c r="M17" s="70"/>
      <c r="N17"/>
      <c r="O17" s="56">
        <v>121</v>
      </c>
      <c r="P17" s="83">
        <v>3</v>
      </c>
      <c r="Q17" s="15">
        <v>82.87</v>
      </c>
      <c r="R17" s="57">
        <v>4527</v>
      </c>
      <c r="S17" s="16">
        <v>1.5776267642446419E-2</v>
      </c>
      <c r="T17" s="17">
        <v>51413</v>
      </c>
      <c r="U17" s="16">
        <v>0.1791705872103154</v>
      </c>
      <c r="V17" s="28"/>
      <c r="W17" s="56">
        <v>147</v>
      </c>
      <c r="X17" s="83">
        <v>1</v>
      </c>
      <c r="Y17" s="15">
        <v>99.14</v>
      </c>
      <c r="Z17" s="57">
        <v>136</v>
      </c>
      <c r="AA17" s="16">
        <v>4.7552613820328046E-4</v>
      </c>
      <c r="AB17" s="17">
        <v>2516</v>
      </c>
      <c r="AC17" s="16">
        <v>8.7972335567606877E-3</v>
      </c>
      <c r="AD17"/>
      <c r="AE17" s="92">
        <v>36</v>
      </c>
      <c r="AF17" s="152">
        <v>58</v>
      </c>
      <c r="AG17" s="153">
        <v>3</v>
      </c>
      <c r="AH17" s="154">
        <v>74.75</v>
      </c>
      <c r="AI17" s="155">
        <v>5703</v>
      </c>
      <c r="AJ17" s="161">
        <v>5.9342580356492515E-2</v>
      </c>
      <c r="AK17" s="162">
        <v>27116</v>
      </c>
      <c r="AL17" s="161">
        <v>0.28215560388333349</v>
      </c>
      <c r="AM17"/>
      <c r="AN17" s="92">
        <v>36</v>
      </c>
      <c r="AO17" s="93">
        <v>62</v>
      </c>
      <c r="AP17" s="98">
        <v>3</v>
      </c>
      <c r="AQ17" s="94">
        <v>84.32</v>
      </c>
      <c r="AR17" s="95">
        <v>266</v>
      </c>
      <c r="AS17" s="96">
        <v>1.1632992215516487E-2</v>
      </c>
      <c r="AT17" s="97">
        <v>3718</v>
      </c>
      <c r="AU17" s="96">
        <v>0.16259949269658008</v>
      </c>
      <c r="AV17"/>
      <c r="AW17" s="92">
        <v>36</v>
      </c>
      <c r="AX17" s="93">
        <v>63</v>
      </c>
      <c r="AY17" s="98">
        <v>3</v>
      </c>
      <c r="AZ17" s="94">
        <v>87.96</v>
      </c>
      <c r="BA17" s="95">
        <v>267</v>
      </c>
      <c r="BB17" s="96">
        <v>1.0316049764314968E-2</v>
      </c>
      <c r="BC17" s="97">
        <v>3250</v>
      </c>
      <c r="BD17" s="96">
        <v>0.12556989413492003</v>
      </c>
      <c r="BE17"/>
      <c r="BF17" s="92">
        <v>36</v>
      </c>
      <c r="BG17" s="93">
        <v>62</v>
      </c>
      <c r="BH17" s="98">
        <v>3</v>
      </c>
      <c r="BI17" s="94">
        <v>85.4</v>
      </c>
      <c r="BJ17" s="95">
        <v>692</v>
      </c>
      <c r="BK17" s="96">
        <v>1.7870977738753163E-2</v>
      </c>
      <c r="BL17" s="97">
        <v>6001</v>
      </c>
      <c r="BM17" s="96">
        <v>0.15497649914777128</v>
      </c>
      <c r="BN17"/>
      <c r="BO17" s="92">
        <v>36</v>
      </c>
      <c r="BP17" s="93">
        <v>61</v>
      </c>
      <c r="BQ17" s="98">
        <v>3</v>
      </c>
      <c r="BR17" s="94">
        <v>82.89</v>
      </c>
      <c r="BS17" s="95">
        <v>1199</v>
      </c>
      <c r="BT17" s="96">
        <v>2.4988537368179735E-2</v>
      </c>
      <c r="BU17" s="97">
        <v>8807</v>
      </c>
      <c r="BV17" s="96">
        <v>0.18354799716560377</v>
      </c>
      <c r="BW17"/>
      <c r="BX17" s="92">
        <v>36</v>
      </c>
      <c r="BY17" s="93">
        <v>62</v>
      </c>
      <c r="BZ17" s="98">
        <v>3</v>
      </c>
      <c r="CA17" s="94">
        <v>85.32</v>
      </c>
      <c r="CB17" s="95">
        <v>1658</v>
      </c>
      <c r="CC17" s="96">
        <v>1.9827555279176283E-2</v>
      </c>
      <c r="CD17" s="97">
        <v>13101</v>
      </c>
      <c r="CE17" s="96">
        <v>0.15667117111730308</v>
      </c>
      <c r="CF17"/>
      <c r="CG17" s="92">
        <v>36</v>
      </c>
      <c r="CH17" s="152">
        <v>64</v>
      </c>
      <c r="CI17" s="153">
        <v>2</v>
      </c>
      <c r="CJ17" s="154">
        <v>88.54</v>
      </c>
      <c r="CK17" s="155">
        <v>1748</v>
      </c>
      <c r="CL17" s="161">
        <v>2.3497150231207655E-2</v>
      </c>
      <c r="CM17" s="162">
        <v>9403</v>
      </c>
      <c r="CN17" s="161">
        <v>0.12639799978492311</v>
      </c>
      <c r="CO17"/>
      <c r="CP17"/>
      <c r="CQ17"/>
      <c r="CR17"/>
      <c r="CS17"/>
      <c r="CT17"/>
      <c r="CU17"/>
      <c r="CV17"/>
      <c r="CW17"/>
      <c r="CX17"/>
      <c r="CY17"/>
    </row>
    <row r="18" spans="1:103" ht="16" customHeight="1" x14ac:dyDescent="0.2">
      <c r="A18" s="139"/>
      <c r="B18" s="7" t="s">
        <v>31</v>
      </c>
      <c r="C18" s="55">
        <v>16.338200659444102</v>
      </c>
      <c r="D18" s="55">
        <v>10.874875474818101</v>
      </c>
      <c r="E18"/>
      <c r="F18" s="27">
        <v>80</v>
      </c>
      <c r="G18" s="27">
        <v>2</v>
      </c>
      <c r="H18" s="1"/>
      <c r="I18" s="85">
        <v>35</v>
      </c>
      <c r="J18" s="85">
        <v>2</v>
      </c>
      <c r="K18" s="70"/>
      <c r="L18" s="70"/>
      <c r="M18" s="70"/>
      <c r="N18"/>
      <c r="O18" s="56">
        <v>120</v>
      </c>
      <c r="P18" s="83">
        <v>3</v>
      </c>
      <c r="Q18" s="15">
        <v>81.27</v>
      </c>
      <c r="R18" s="57">
        <v>4671</v>
      </c>
      <c r="S18" s="16">
        <v>1.6278097229482487E-2</v>
      </c>
      <c r="T18" s="17">
        <v>56084</v>
      </c>
      <c r="U18" s="16">
        <v>0.19544868443979788</v>
      </c>
      <c r="V18" s="28"/>
      <c r="W18" s="56">
        <v>146</v>
      </c>
      <c r="X18" s="83">
        <v>1</v>
      </c>
      <c r="Y18" s="15">
        <v>99.07</v>
      </c>
      <c r="Z18" s="57">
        <v>280</v>
      </c>
      <c r="AA18" s="16">
        <v>9.7902440218322444E-4</v>
      </c>
      <c r="AB18" s="17">
        <v>2796</v>
      </c>
      <c r="AC18" s="16">
        <v>9.7762579589439121E-3</v>
      </c>
      <c r="AD18"/>
      <c r="AE18" s="99">
        <v>35</v>
      </c>
      <c r="AF18" s="145"/>
      <c r="AG18" s="147"/>
      <c r="AH18" s="149"/>
      <c r="AI18" s="151"/>
      <c r="AJ18" s="158"/>
      <c r="AK18" s="160"/>
      <c r="AL18" s="158"/>
      <c r="AM18"/>
      <c r="AN18" s="92">
        <v>35</v>
      </c>
      <c r="AO18" s="93">
        <v>61</v>
      </c>
      <c r="AP18" s="98">
        <v>3</v>
      </c>
      <c r="AQ18" s="94">
        <v>82.98</v>
      </c>
      <c r="AR18" s="95">
        <v>348</v>
      </c>
      <c r="AS18" s="96">
        <v>1.5219102597743374E-2</v>
      </c>
      <c r="AT18" s="97">
        <v>4066</v>
      </c>
      <c r="AU18" s="96">
        <v>0.17781859529432345</v>
      </c>
      <c r="AV18"/>
      <c r="AW18" s="92">
        <v>35</v>
      </c>
      <c r="AX18" s="93">
        <v>62</v>
      </c>
      <c r="AY18" s="98">
        <v>3</v>
      </c>
      <c r="AZ18" s="94">
        <v>86.84</v>
      </c>
      <c r="BA18" s="95">
        <v>313</v>
      </c>
      <c r="BB18" s="96">
        <v>1.2093346727455375E-2</v>
      </c>
      <c r="BC18" s="97">
        <v>3563</v>
      </c>
      <c r="BD18" s="96">
        <v>0.13766324086237539</v>
      </c>
      <c r="BE18"/>
      <c r="BF18" s="92">
        <v>35</v>
      </c>
      <c r="BG18" s="93">
        <v>61</v>
      </c>
      <c r="BH18" s="98">
        <v>3</v>
      </c>
      <c r="BI18" s="94">
        <v>83.64</v>
      </c>
      <c r="BJ18" s="95">
        <v>670</v>
      </c>
      <c r="BK18" s="96">
        <v>1.7302825267289913E-2</v>
      </c>
      <c r="BL18" s="97">
        <v>6671</v>
      </c>
      <c r="BM18" s="96">
        <v>0.17227932441506122</v>
      </c>
      <c r="BN18"/>
      <c r="BO18" s="92">
        <v>35</v>
      </c>
      <c r="BP18" s="93">
        <v>60</v>
      </c>
      <c r="BQ18" s="98">
        <v>3</v>
      </c>
      <c r="BR18" s="94">
        <v>80.709999999999994</v>
      </c>
      <c r="BS18" s="95">
        <v>895</v>
      </c>
      <c r="BT18" s="96">
        <v>1.8652828143887291E-2</v>
      </c>
      <c r="BU18" s="97">
        <v>9702</v>
      </c>
      <c r="BV18" s="96">
        <v>0.20220082530949107</v>
      </c>
      <c r="BW18"/>
      <c r="BX18" s="92">
        <v>35</v>
      </c>
      <c r="BY18" s="93">
        <v>61</v>
      </c>
      <c r="BZ18" s="98">
        <v>3</v>
      </c>
      <c r="CA18" s="94">
        <v>83.39</v>
      </c>
      <c r="CB18" s="95">
        <v>1584</v>
      </c>
      <c r="CC18" s="96">
        <v>1.8942610109900622E-2</v>
      </c>
      <c r="CD18" s="97">
        <v>14685</v>
      </c>
      <c r="CE18" s="96">
        <v>0.1756137812272037</v>
      </c>
      <c r="CF18"/>
      <c r="CG18" s="99">
        <v>35</v>
      </c>
      <c r="CH18" s="145"/>
      <c r="CI18" s="147"/>
      <c r="CJ18" s="149"/>
      <c r="CK18" s="151"/>
      <c r="CL18" s="158"/>
      <c r="CM18" s="160"/>
      <c r="CN18" s="158"/>
      <c r="CO18"/>
      <c r="CP18"/>
      <c r="CQ18"/>
      <c r="CR18"/>
      <c r="CS18"/>
      <c r="CT18"/>
      <c r="CU18"/>
      <c r="CV18"/>
      <c r="CW18"/>
      <c r="CX18"/>
      <c r="CY18"/>
    </row>
    <row r="19" spans="1:103" ht="16" customHeight="1" x14ac:dyDescent="0.2">
      <c r="A19" s="139"/>
      <c r="B19" s="7" t="s">
        <v>32</v>
      </c>
      <c r="C19" s="55">
        <v>27.71</v>
      </c>
      <c r="D19" s="55">
        <v>12.28</v>
      </c>
      <c r="E19"/>
      <c r="F19" s="27">
        <v>70</v>
      </c>
      <c r="G19" s="27">
        <v>3</v>
      </c>
      <c r="H19" s="1"/>
      <c r="I19" s="85">
        <v>30</v>
      </c>
      <c r="J19" s="85">
        <v>3</v>
      </c>
      <c r="K19" s="70"/>
      <c r="L19" s="70"/>
      <c r="M19" s="70"/>
      <c r="N19"/>
      <c r="O19" s="56">
        <v>119</v>
      </c>
      <c r="P19" s="83">
        <v>3</v>
      </c>
      <c r="Q19" s="15">
        <v>79.599999999999994</v>
      </c>
      <c r="R19" s="57">
        <v>4927</v>
      </c>
      <c r="S19" s="16">
        <v>1.717023871754661E-2</v>
      </c>
      <c r="T19" s="17">
        <v>61011</v>
      </c>
      <c r="U19" s="16">
        <v>0.21261892315734449</v>
      </c>
      <c r="V19" s="28"/>
      <c r="W19" s="56">
        <v>145</v>
      </c>
      <c r="X19" s="83">
        <v>1</v>
      </c>
      <c r="Y19" s="15">
        <v>98.8</v>
      </c>
      <c r="Z19" s="57">
        <v>1299</v>
      </c>
      <c r="AA19" s="16">
        <v>4.5419739229857446E-3</v>
      </c>
      <c r="AB19" s="17">
        <v>4095</v>
      </c>
      <c r="AC19" s="16">
        <v>1.4318231881929657E-2</v>
      </c>
      <c r="AD19"/>
      <c r="AE19" s="92">
        <v>34</v>
      </c>
      <c r="AF19" s="93">
        <v>57</v>
      </c>
      <c r="AG19" s="98">
        <v>4</v>
      </c>
      <c r="AH19" s="94">
        <v>70.400000000000006</v>
      </c>
      <c r="AI19" s="95">
        <v>2659</v>
      </c>
      <c r="AJ19" s="96">
        <v>2.766823096053193E-2</v>
      </c>
      <c r="AK19" s="97">
        <v>29775</v>
      </c>
      <c r="AL19" s="96">
        <v>0.30982383484386544</v>
      </c>
      <c r="AM19"/>
      <c r="AN19" s="92">
        <v>34</v>
      </c>
      <c r="AO19" s="93">
        <v>60</v>
      </c>
      <c r="AP19" s="98">
        <v>3</v>
      </c>
      <c r="AQ19" s="94">
        <v>81.38</v>
      </c>
      <c r="AR19" s="95">
        <v>382</v>
      </c>
      <c r="AS19" s="96">
        <v>1.6706026414764277E-2</v>
      </c>
      <c r="AT19" s="97">
        <v>4448</v>
      </c>
      <c r="AU19" s="96">
        <v>0.19452462170908774</v>
      </c>
      <c r="AV19"/>
      <c r="AW19" s="92">
        <v>34</v>
      </c>
      <c r="AX19" s="144">
        <v>61</v>
      </c>
      <c r="AY19" s="146">
        <v>3</v>
      </c>
      <c r="AZ19" s="148">
        <v>84.8</v>
      </c>
      <c r="BA19" s="150">
        <v>743</v>
      </c>
      <c r="BB19" s="157">
        <v>2.870720964376787E-2</v>
      </c>
      <c r="BC19" s="159">
        <v>4306</v>
      </c>
      <c r="BD19" s="157">
        <v>0.16637045050614327</v>
      </c>
      <c r="BE19"/>
      <c r="BF19" s="92">
        <v>34</v>
      </c>
      <c r="BG19" s="93">
        <v>60</v>
      </c>
      <c r="BH19" s="98">
        <v>3</v>
      </c>
      <c r="BI19" s="94">
        <v>81.5</v>
      </c>
      <c r="BJ19" s="95">
        <v>984</v>
      </c>
      <c r="BK19" s="96">
        <v>2.5411910541810856E-2</v>
      </c>
      <c r="BL19" s="97">
        <v>7655</v>
      </c>
      <c r="BM19" s="96">
        <v>0.19769123495687208</v>
      </c>
      <c r="BN19"/>
      <c r="BO19" s="92">
        <v>34</v>
      </c>
      <c r="BP19" s="93">
        <v>59</v>
      </c>
      <c r="BQ19" s="98">
        <v>3</v>
      </c>
      <c r="BR19" s="94">
        <v>78.680000000000007</v>
      </c>
      <c r="BS19" s="95">
        <v>1060</v>
      </c>
      <c r="BT19" s="96">
        <v>2.209161768996707E-2</v>
      </c>
      <c r="BU19" s="97">
        <v>10762</v>
      </c>
      <c r="BV19" s="96">
        <v>0.22429244299945814</v>
      </c>
      <c r="BW19"/>
      <c r="BX19" s="92">
        <v>34</v>
      </c>
      <c r="BY19" s="93">
        <v>60</v>
      </c>
      <c r="BZ19" s="98">
        <v>3</v>
      </c>
      <c r="CA19" s="94">
        <v>81.13</v>
      </c>
      <c r="CB19" s="95">
        <v>2181</v>
      </c>
      <c r="CC19" s="96">
        <v>2.6081965056624534E-2</v>
      </c>
      <c r="CD19" s="97">
        <v>16866</v>
      </c>
      <c r="CE19" s="96">
        <v>0.20169574628382822</v>
      </c>
      <c r="CF19"/>
      <c r="CG19" s="92">
        <v>34</v>
      </c>
      <c r="CH19" s="93">
        <v>63</v>
      </c>
      <c r="CI19" s="98">
        <v>3</v>
      </c>
      <c r="CJ19" s="94">
        <v>86.59</v>
      </c>
      <c r="CK19" s="95">
        <v>1142</v>
      </c>
      <c r="CL19" s="96">
        <v>1.5351113022905689E-2</v>
      </c>
      <c r="CM19" s="97">
        <v>10545</v>
      </c>
      <c r="CN19" s="96">
        <v>0.14174911280782879</v>
      </c>
      <c r="CO19"/>
      <c r="CP19"/>
      <c r="CQ19"/>
      <c r="CR19"/>
      <c r="CS19"/>
      <c r="CT19"/>
      <c r="CU19"/>
      <c r="CV19"/>
      <c r="CW19"/>
      <c r="CX19"/>
      <c r="CY19"/>
    </row>
    <row r="20" spans="1:103" ht="16" customHeight="1" x14ac:dyDescent="0.2">
      <c r="A20" s="139"/>
      <c r="B20" s="7" t="s">
        <v>33</v>
      </c>
      <c r="C20" s="55">
        <v>14.0083761660003</v>
      </c>
      <c r="D20" s="55">
        <v>10.080785728314501</v>
      </c>
      <c r="E20"/>
      <c r="F20" s="27">
        <v>60</v>
      </c>
      <c r="G20" s="27">
        <v>4</v>
      </c>
      <c r="H20" s="1"/>
      <c r="I20" s="85">
        <v>25</v>
      </c>
      <c r="J20" s="85">
        <v>4</v>
      </c>
      <c r="K20" s="70"/>
      <c r="L20" s="70"/>
      <c r="M20" s="70"/>
      <c r="N20"/>
      <c r="O20" s="56">
        <v>118</v>
      </c>
      <c r="P20" s="83">
        <v>3</v>
      </c>
      <c r="Q20" s="15">
        <v>77.91</v>
      </c>
      <c r="R20" s="57">
        <v>4755</v>
      </c>
      <c r="S20" s="16">
        <v>1.657083115525353E-2</v>
      </c>
      <c r="T20" s="17">
        <v>65766</v>
      </c>
      <c r="U20" s="16">
        <v>0.22918975431259803</v>
      </c>
      <c r="V20" s="28"/>
      <c r="W20" s="56">
        <v>144</v>
      </c>
      <c r="X20" s="83">
        <v>1</v>
      </c>
      <c r="Y20" s="15">
        <v>98.53</v>
      </c>
      <c r="Z20" s="57">
        <v>203</v>
      </c>
      <c r="AA20" s="16">
        <v>7.0979269158283765E-4</v>
      </c>
      <c r="AB20" s="17">
        <v>4298</v>
      </c>
      <c r="AC20" s="16">
        <v>1.5028024573512495E-2</v>
      </c>
      <c r="AD20"/>
      <c r="AE20" s="92">
        <v>33</v>
      </c>
      <c r="AF20" s="93">
        <v>56</v>
      </c>
      <c r="AG20" s="98">
        <v>4</v>
      </c>
      <c r="AH20" s="94">
        <v>67.41</v>
      </c>
      <c r="AI20" s="95">
        <v>3097</v>
      </c>
      <c r="AJ20" s="96">
        <v>3.222584102473388E-2</v>
      </c>
      <c r="AK20" s="97">
        <v>32872</v>
      </c>
      <c r="AL20" s="96">
        <v>0.3420496758685993</v>
      </c>
      <c r="AM20"/>
      <c r="AN20" s="92">
        <v>33</v>
      </c>
      <c r="AO20" s="144">
        <v>59</v>
      </c>
      <c r="AP20" s="146">
        <v>3</v>
      </c>
      <c r="AQ20" s="148">
        <v>78.930000000000007</v>
      </c>
      <c r="AR20" s="150">
        <v>741</v>
      </c>
      <c r="AS20" s="157">
        <v>3.240619260036736E-2</v>
      </c>
      <c r="AT20" s="159">
        <v>5189</v>
      </c>
      <c r="AU20" s="157">
        <v>0.22693081430945508</v>
      </c>
      <c r="AV20"/>
      <c r="AW20" s="92">
        <v>33</v>
      </c>
      <c r="AX20" s="145"/>
      <c r="AY20" s="147"/>
      <c r="AZ20" s="149"/>
      <c r="BA20" s="151"/>
      <c r="BB20" s="158"/>
      <c r="BC20" s="160"/>
      <c r="BD20" s="158"/>
      <c r="BE20"/>
      <c r="BF20" s="92">
        <v>33</v>
      </c>
      <c r="BG20" s="93">
        <v>59</v>
      </c>
      <c r="BH20" s="98">
        <v>3</v>
      </c>
      <c r="BI20" s="94">
        <v>79.27</v>
      </c>
      <c r="BJ20" s="95">
        <v>743</v>
      </c>
      <c r="BK20" s="96">
        <v>1.9188058468054336E-2</v>
      </c>
      <c r="BL20" s="97">
        <v>8398</v>
      </c>
      <c r="BM20" s="96">
        <v>0.2168792934249264</v>
      </c>
      <c r="BN20"/>
      <c r="BO20" s="99">
        <v>33</v>
      </c>
      <c r="BP20" s="100">
        <v>58</v>
      </c>
      <c r="BQ20" s="101">
        <v>3</v>
      </c>
      <c r="BR20" s="102">
        <v>76.36</v>
      </c>
      <c r="BS20" s="103">
        <v>1159</v>
      </c>
      <c r="BT20" s="104">
        <v>2.415489141761494E-2</v>
      </c>
      <c r="BU20" s="105">
        <v>11921</v>
      </c>
      <c r="BV20" s="104">
        <v>0.24844733441707306</v>
      </c>
      <c r="BW20"/>
      <c r="BX20" s="92">
        <v>33</v>
      </c>
      <c r="BY20" s="93">
        <v>59</v>
      </c>
      <c r="BZ20" s="98">
        <v>3</v>
      </c>
      <c r="CA20" s="94">
        <v>78.83</v>
      </c>
      <c r="CB20" s="95">
        <v>1671</v>
      </c>
      <c r="CC20" s="96">
        <v>1.9983018619724711E-2</v>
      </c>
      <c r="CD20" s="97">
        <v>18537</v>
      </c>
      <c r="CE20" s="96">
        <v>0.22167876490355293</v>
      </c>
      <c r="CF20"/>
      <c r="CG20" s="92">
        <v>33</v>
      </c>
      <c r="CH20" s="93">
        <v>62</v>
      </c>
      <c r="CI20" s="98">
        <v>3</v>
      </c>
      <c r="CJ20" s="94">
        <v>85.19</v>
      </c>
      <c r="CK20" s="95">
        <v>944</v>
      </c>
      <c r="CL20" s="96">
        <v>1.2689536509302076E-2</v>
      </c>
      <c r="CM20" s="97">
        <v>11489</v>
      </c>
      <c r="CN20" s="96">
        <v>0.15443864931713086</v>
      </c>
      <c r="CO20"/>
      <c r="CP20"/>
      <c r="CQ20"/>
      <c r="CR20"/>
      <c r="CS20"/>
      <c r="CT20"/>
      <c r="CU20"/>
      <c r="CV20"/>
      <c r="CW20"/>
      <c r="CX20"/>
      <c r="CY20"/>
    </row>
    <row r="21" spans="1:103" ht="16" customHeight="1" x14ac:dyDescent="0.2">
      <c r="A21"/>
      <c r="B21"/>
      <c r="C21"/>
      <c r="D21"/>
      <c r="E21"/>
      <c r="F21" s="27">
        <v>50</v>
      </c>
      <c r="G21" s="27">
        <v>5</v>
      </c>
      <c r="H21" s="1"/>
      <c r="I21" s="85">
        <v>20</v>
      </c>
      <c r="J21" s="85">
        <v>5</v>
      </c>
      <c r="K21" s="70"/>
      <c r="L21" s="70"/>
      <c r="M21" s="70"/>
      <c r="N21"/>
      <c r="O21" s="60">
        <v>117</v>
      </c>
      <c r="P21" s="84">
        <v>3</v>
      </c>
      <c r="Q21" s="33">
        <v>76.12</v>
      </c>
      <c r="R21" s="61">
        <v>5514</v>
      </c>
      <c r="S21" s="34">
        <v>1.9215891270256143E-2</v>
      </c>
      <c r="T21" s="35">
        <v>71280</v>
      </c>
      <c r="U21" s="34">
        <v>0.24840564558285416</v>
      </c>
      <c r="V21" s="28"/>
      <c r="W21" s="56">
        <v>143</v>
      </c>
      <c r="X21" s="83">
        <v>1</v>
      </c>
      <c r="Y21" s="15">
        <v>98.43</v>
      </c>
      <c r="Z21" s="57">
        <v>398</v>
      </c>
      <c r="AA21" s="16">
        <v>1.3916132573890119E-3</v>
      </c>
      <c r="AB21" s="17">
        <v>4696</v>
      </c>
      <c r="AC21" s="16">
        <v>1.6419637830901508E-2</v>
      </c>
      <c r="AD21"/>
      <c r="AE21" s="92">
        <v>32</v>
      </c>
      <c r="AF21" s="93">
        <v>55</v>
      </c>
      <c r="AG21" s="98">
        <v>4</v>
      </c>
      <c r="AH21" s="94">
        <v>64.459999999999994</v>
      </c>
      <c r="AI21" s="95">
        <v>2575</v>
      </c>
      <c r="AJ21" s="96">
        <v>2.6794168756438405E-2</v>
      </c>
      <c r="AK21" s="97">
        <v>35447</v>
      </c>
      <c r="AL21" s="96">
        <v>0.36884384462503772</v>
      </c>
      <c r="AM21"/>
      <c r="AN21" s="92">
        <v>32</v>
      </c>
      <c r="AO21" s="145"/>
      <c r="AP21" s="147"/>
      <c r="AQ21" s="149"/>
      <c r="AR21" s="151"/>
      <c r="AS21" s="158"/>
      <c r="AT21" s="160"/>
      <c r="AU21" s="158"/>
      <c r="AV21"/>
      <c r="AW21" s="92">
        <v>32</v>
      </c>
      <c r="AX21" s="93">
        <v>60</v>
      </c>
      <c r="AY21" s="98">
        <v>3</v>
      </c>
      <c r="AZ21" s="94">
        <v>82.54</v>
      </c>
      <c r="BA21" s="95">
        <v>427</v>
      </c>
      <c r="BB21" s="96">
        <v>1.6497952244803337E-2</v>
      </c>
      <c r="BC21" s="97">
        <v>4733</v>
      </c>
      <c r="BD21" s="96">
        <v>0.1828684027509466</v>
      </c>
      <c r="BE21"/>
      <c r="BF21" s="99">
        <v>32</v>
      </c>
      <c r="BG21" s="100">
        <v>58</v>
      </c>
      <c r="BH21" s="101">
        <v>3</v>
      </c>
      <c r="BI21" s="102">
        <v>77.099999999999994</v>
      </c>
      <c r="BJ21" s="103">
        <v>936</v>
      </c>
      <c r="BK21" s="104">
        <v>2.4172305149527399E-2</v>
      </c>
      <c r="BL21" s="105">
        <v>9334</v>
      </c>
      <c r="BM21" s="104">
        <v>0.2410515985744538</v>
      </c>
      <c r="BN21"/>
      <c r="BO21" s="92">
        <v>32</v>
      </c>
      <c r="BP21" s="93">
        <v>57</v>
      </c>
      <c r="BQ21" s="98">
        <v>4</v>
      </c>
      <c r="BR21" s="94">
        <v>74.14</v>
      </c>
      <c r="BS21" s="95">
        <v>973</v>
      </c>
      <c r="BT21" s="96">
        <v>2.027843774748864E-2</v>
      </c>
      <c r="BU21" s="97">
        <v>12894</v>
      </c>
      <c r="BV21" s="96">
        <v>0.26872577216456173</v>
      </c>
      <c r="BW21"/>
      <c r="BX21" s="99">
        <v>32</v>
      </c>
      <c r="BY21" s="100">
        <v>58</v>
      </c>
      <c r="BZ21" s="101">
        <v>3</v>
      </c>
      <c r="CA21" s="102">
        <v>76.58</v>
      </c>
      <c r="CB21" s="103">
        <v>2087</v>
      </c>
      <c r="CC21" s="104">
        <v>2.4957845517274369E-2</v>
      </c>
      <c r="CD21" s="105">
        <v>20624</v>
      </c>
      <c r="CE21" s="104">
        <v>0.2466366104208273</v>
      </c>
      <c r="CF21"/>
      <c r="CG21" s="92">
        <v>32</v>
      </c>
      <c r="CH21" s="93">
        <v>61</v>
      </c>
      <c r="CI21" s="98">
        <v>3</v>
      </c>
      <c r="CJ21" s="94">
        <v>83.75</v>
      </c>
      <c r="CK21" s="95">
        <v>1201</v>
      </c>
      <c r="CL21" s="96">
        <v>1.6144209054737069E-2</v>
      </c>
      <c r="CM21" s="97">
        <v>12690</v>
      </c>
      <c r="CN21" s="96">
        <v>0.17058285837186793</v>
      </c>
      <c r="CO21"/>
      <c r="CP21"/>
      <c r="CQ21"/>
      <c r="CR21"/>
      <c r="CS21"/>
      <c r="CT21"/>
      <c r="CU21"/>
      <c r="CV21"/>
      <c r="CW21"/>
      <c r="CX21"/>
      <c r="CY21"/>
    </row>
    <row r="22" spans="1:103" ht="16" customHeight="1" x14ac:dyDescent="0.2">
      <c r="A22"/>
      <c r="B22"/>
      <c r="C22"/>
      <c r="D22"/>
      <c r="E22"/>
      <c r="F22" s="27">
        <v>40</v>
      </c>
      <c r="G22" s="27">
        <v>6</v>
      </c>
      <c r="H22" s="1"/>
      <c r="I22" s="85">
        <v>15</v>
      </c>
      <c r="J22" s="85">
        <v>6</v>
      </c>
      <c r="K22" s="70"/>
      <c r="L22" s="70"/>
      <c r="M22" s="70"/>
      <c r="N22"/>
      <c r="O22" s="56">
        <v>116</v>
      </c>
      <c r="P22" s="83">
        <v>4</v>
      </c>
      <c r="Q22" s="15">
        <v>74.37</v>
      </c>
      <c r="R22" s="57">
        <v>4553</v>
      </c>
      <c r="S22" s="16">
        <v>1.5866875762327932E-2</v>
      </c>
      <c r="T22" s="17">
        <v>75833</v>
      </c>
      <c r="U22" s="16">
        <v>0.26427252134518209</v>
      </c>
      <c r="V22" s="28"/>
      <c r="W22" s="56">
        <v>142</v>
      </c>
      <c r="X22" s="83">
        <v>1</v>
      </c>
      <c r="Y22" s="15">
        <v>98.03</v>
      </c>
      <c r="Z22" s="57">
        <v>1866</v>
      </c>
      <c r="AA22" s="16">
        <v>6.5244983374067745E-3</v>
      </c>
      <c r="AB22" s="17">
        <v>6562</v>
      </c>
      <c r="AC22" s="16">
        <v>2.2944136168308281E-2</v>
      </c>
      <c r="AD22"/>
      <c r="AE22" s="99">
        <v>31</v>
      </c>
      <c r="AF22" s="100">
        <v>54</v>
      </c>
      <c r="AG22" s="101">
        <v>4</v>
      </c>
      <c r="AH22" s="102">
        <v>61.52</v>
      </c>
      <c r="AI22" s="103">
        <v>3065</v>
      </c>
      <c r="AJ22" s="104">
        <v>3.1892864946983963E-2</v>
      </c>
      <c r="AK22" s="105">
        <v>38512</v>
      </c>
      <c r="AL22" s="104">
        <v>0.40073670957202168</v>
      </c>
      <c r="AM22"/>
      <c r="AN22" s="99">
        <v>31</v>
      </c>
      <c r="AO22" s="100">
        <v>58</v>
      </c>
      <c r="AP22" s="101">
        <v>3</v>
      </c>
      <c r="AQ22" s="102">
        <v>76.48</v>
      </c>
      <c r="AR22" s="103">
        <v>379</v>
      </c>
      <c r="AS22" s="104">
        <v>1.6574827254438904E-2</v>
      </c>
      <c r="AT22" s="105">
        <v>5568</v>
      </c>
      <c r="AU22" s="104">
        <v>0.24350564156389398</v>
      </c>
      <c r="AV22"/>
      <c r="AW22" s="92">
        <v>31</v>
      </c>
      <c r="AX22" s="93">
        <v>59</v>
      </c>
      <c r="AY22" s="98">
        <v>3</v>
      </c>
      <c r="AZ22" s="94">
        <v>80.81</v>
      </c>
      <c r="BA22" s="95">
        <v>467</v>
      </c>
      <c r="BB22" s="96">
        <v>1.8043427864925431E-2</v>
      </c>
      <c r="BC22" s="97">
        <v>5200</v>
      </c>
      <c r="BD22" s="96">
        <v>0.20091183061587203</v>
      </c>
      <c r="BE22"/>
      <c r="BF22" s="92">
        <v>31</v>
      </c>
      <c r="BG22" s="93">
        <v>57</v>
      </c>
      <c r="BH22" s="98">
        <v>4</v>
      </c>
      <c r="BI22" s="94">
        <v>74.680000000000007</v>
      </c>
      <c r="BJ22" s="95">
        <v>937</v>
      </c>
      <c r="BK22" s="96">
        <v>2.4198130261866638E-2</v>
      </c>
      <c r="BL22" s="97">
        <v>10271</v>
      </c>
      <c r="BM22" s="96">
        <v>0.26524972883632042</v>
      </c>
      <c r="BN22"/>
      <c r="BO22" s="92">
        <v>31</v>
      </c>
      <c r="BP22" s="93">
        <v>56</v>
      </c>
      <c r="BQ22" s="98">
        <v>4</v>
      </c>
      <c r="BR22" s="94">
        <v>71.83</v>
      </c>
      <c r="BS22" s="95">
        <v>1241</v>
      </c>
      <c r="BT22" s="96">
        <v>2.5863865616272769E-2</v>
      </c>
      <c r="BU22" s="97">
        <v>14135</v>
      </c>
      <c r="BV22" s="96">
        <v>0.29458963778083447</v>
      </c>
      <c r="BW22"/>
      <c r="BX22" s="92">
        <v>31</v>
      </c>
      <c r="BY22" s="93">
        <v>57</v>
      </c>
      <c r="BZ22" s="98">
        <v>4</v>
      </c>
      <c r="CA22" s="94">
        <v>74.180000000000007</v>
      </c>
      <c r="CB22" s="95">
        <v>1929</v>
      </c>
      <c r="CC22" s="96">
        <v>2.3068367993685796E-2</v>
      </c>
      <c r="CD22" s="97">
        <v>22553</v>
      </c>
      <c r="CE22" s="96">
        <v>0.26970497841451307</v>
      </c>
      <c r="CF22"/>
      <c r="CG22" s="92">
        <v>31</v>
      </c>
      <c r="CH22" s="93">
        <v>60</v>
      </c>
      <c r="CI22" s="98">
        <v>3</v>
      </c>
      <c r="CJ22" s="94">
        <v>82.15</v>
      </c>
      <c r="CK22" s="95">
        <v>1174</v>
      </c>
      <c r="CL22" s="96">
        <v>1.578126680288203E-2</v>
      </c>
      <c r="CM22" s="97">
        <v>13864</v>
      </c>
      <c r="CN22" s="96">
        <v>0.18636412517474998</v>
      </c>
      <c r="CO22"/>
      <c r="CP22"/>
      <c r="CQ22"/>
      <c r="CR22"/>
      <c r="CS22"/>
      <c r="CT22"/>
      <c r="CU22"/>
      <c r="CV22"/>
      <c r="CW22"/>
      <c r="CX22"/>
      <c r="CY22"/>
    </row>
    <row r="23" spans="1:103" ht="16" customHeight="1" x14ac:dyDescent="0.2">
      <c r="A23"/>
      <c r="B23"/>
      <c r="C23"/>
      <c r="D23"/>
      <c r="E23"/>
      <c r="F23" s="27">
        <v>30</v>
      </c>
      <c r="G23" s="27">
        <v>7</v>
      </c>
      <c r="H23" s="1"/>
      <c r="I23" s="85">
        <v>10</v>
      </c>
      <c r="J23" s="85">
        <v>7</v>
      </c>
      <c r="K23" s="70"/>
      <c r="L23" s="70"/>
      <c r="M23" s="70"/>
      <c r="N23"/>
      <c r="O23" s="56">
        <v>115</v>
      </c>
      <c r="P23" s="83">
        <v>4</v>
      </c>
      <c r="Q23" s="15">
        <v>72.72</v>
      </c>
      <c r="R23" s="57">
        <v>4902</v>
      </c>
      <c r="S23" s="16">
        <v>1.7083115525352847E-2</v>
      </c>
      <c r="T23" s="17">
        <v>80735</v>
      </c>
      <c r="U23" s="16">
        <v>0.28135563687053494</v>
      </c>
      <c r="V23" s="28"/>
      <c r="W23" s="56">
        <v>141</v>
      </c>
      <c r="X23" s="83">
        <v>1</v>
      </c>
      <c r="Y23" s="15">
        <v>97.59</v>
      </c>
      <c r="Z23" s="57">
        <v>651</v>
      </c>
      <c r="AA23" s="16">
        <v>2.2762317350759967E-3</v>
      </c>
      <c r="AB23" s="17">
        <v>7213</v>
      </c>
      <c r="AC23" s="16">
        <v>2.5220367903384278E-2</v>
      </c>
      <c r="AD23"/>
      <c r="AE23" s="92">
        <v>30</v>
      </c>
      <c r="AF23" s="93">
        <v>53</v>
      </c>
      <c r="AG23" s="98">
        <v>5</v>
      </c>
      <c r="AH23" s="94">
        <v>58.54</v>
      </c>
      <c r="AI23" s="95">
        <v>2656</v>
      </c>
      <c r="AJ23" s="96">
        <v>2.7637014453242875E-2</v>
      </c>
      <c r="AK23" s="97">
        <v>41168</v>
      </c>
      <c r="AL23" s="96">
        <v>0.42837372402526458</v>
      </c>
      <c r="AM23"/>
      <c r="AN23" s="92">
        <v>30</v>
      </c>
      <c r="AO23" s="93">
        <v>57</v>
      </c>
      <c r="AP23" s="98">
        <v>4</v>
      </c>
      <c r="AQ23" s="94">
        <v>74.72</v>
      </c>
      <c r="AR23" s="95">
        <v>425</v>
      </c>
      <c r="AS23" s="96">
        <v>1.8586547712761307E-2</v>
      </c>
      <c r="AT23" s="97">
        <v>5993</v>
      </c>
      <c r="AU23" s="96">
        <v>0.26209218927665529</v>
      </c>
      <c r="AV23"/>
      <c r="AW23" s="92">
        <v>30</v>
      </c>
      <c r="AX23" s="93">
        <v>58</v>
      </c>
      <c r="AY23" s="98">
        <v>3</v>
      </c>
      <c r="AZ23" s="94">
        <v>79.040000000000006</v>
      </c>
      <c r="BA23" s="95">
        <v>450</v>
      </c>
      <c r="BB23" s="96">
        <v>1.738660072637354E-2</v>
      </c>
      <c r="BC23" s="97">
        <v>5650</v>
      </c>
      <c r="BD23" s="96">
        <v>0.21829843134224558</v>
      </c>
      <c r="BE23"/>
      <c r="BF23" s="92">
        <v>30</v>
      </c>
      <c r="BG23" s="93">
        <v>56</v>
      </c>
      <c r="BH23" s="98">
        <v>4</v>
      </c>
      <c r="BI23" s="94">
        <v>72.239999999999995</v>
      </c>
      <c r="BJ23" s="95">
        <v>959</v>
      </c>
      <c r="BK23" s="96">
        <v>2.476628273332989E-2</v>
      </c>
      <c r="BL23" s="97">
        <v>11230</v>
      </c>
      <c r="BM23" s="96">
        <v>0.29001601156965034</v>
      </c>
      <c r="BN23"/>
      <c r="BO23" s="92">
        <v>30</v>
      </c>
      <c r="BP23" s="93">
        <v>55</v>
      </c>
      <c r="BQ23" s="98">
        <v>4</v>
      </c>
      <c r="BR23" s="94">
        <v>69.400000000000006</v>
      </c>
      <c r="BS23" s="95">
        <v>1094</v>
      </c>
      <c r="BT23" s="96">
        <v>2.2800216747947147E-2</v>
      </c>
      <c r="BU23" s="97">
        <v>15229</v>
      </c>
      <c r="BV23" s="96">
        <v>0.3173898545287816</v>
      </c>
      <c r="BW23"/>
      <c r="BX23" s="92">
        <v>30</v>
      </c>
      <c r="BY23" s="93">
        <v>56</v>
      </c>
      <c r="BZ23" s="98">
        <v>4</v>
      </c>
      <c r="CA23" s="94">
        <v>71.86</v>
      </c>
      <c r="CB23" s="95">
        <v>1948</v>
      </c>
      <c r="CC23" s="96">
        <v>2.3295583645256576E-2</v>
      </c>
      <c r="CD23" s="97">
        <v>24501</v>
      </c>
      <c r="CE23" s="96">
        <v>0.29300056205976965</v>
      </c>
      <c r="CF23"/>
      <c r="CG23" s="92">
        <v>30</v>
      </c>
      <c r="CH23" s="93">
        <v>59</v>
      </c>
      <c r="CI23" s="98">
        <v>3</v>
      </c>
      <c r="CJ23" s="94">
        <v>80.52</v>
      </c>
      <c r="CK23" s="95">
        <v>1261</v>
      </c>
      <c r="CL23" s="96">
        <v>1.6950747392192708E-2</v>
      </c>
      <c r="CM23" s="97">
        <v>15125</v>
      </c>
      <c r="CN23" s="96">
        <v>0.20331487256694269</v>
      </c>
      <c r="CO23"/>
      <c r="CP23"/>
      <c r="CQ23"/>
      <c r="CR23"/>
      <c r="CS23"/>
      <c r="CT23"/>
      <c r="CU23"/>
      <c r="CV23"/>
      <c r="CW23"/>
      <c r="CX23"/>
      <c r="CY23"/>
    </row>
    <row r="24" spans="1:103" ht="16" customHeight="1" x14ac:dyDescent="0.2">
      <c r="A24"/>
      <c r="B24"/>
      <c r="C24"/>
      <c r="D24"/>
      <c r="E24"/>
      <c r="F24" s="27">
        <v>20</v>
      </c>
      <c r="G24" s="27">
        <v>8</v>
      </c>
      <c r="H24" s="1"/>
      <c r="I24" s="85">
        <v>5</v>
      </c>
      <c r="J24" s="85">
        <v>8</v>
      </c>
      <c r="K24" s="70"/>
      <c r="L24" s="70"/>
      <c r="M24" s="70"/>
      <c r="N24"/>
      <c r="O24" s="56">
        <v>114</v>
      </c>
      <c r="P24" s="83">
        <v>4</v>
      </c>
      <c r="Q24" s="15">
        <v>70.86</v>
      </c>
      <c r="R24" s="57">
        <v>5746</v>
      </c>
      <c r="S24" s="16">
        <v>2.0024394493814254E-2</v>
      </c>
      <c r="T24" s="17">
        <v>86481</v>
      </c>
      <c r="U24" s="16">
        <v>0.30138003136434921</v>
      </c>
      <c r="V24" s="28"/>
      <c r="W24" s="56">
        <v>140</v>
      </c>
      <c r="X24" s="83">
        <v>1</v>
      </c>
      <c r="Y24" s="15">
        <v>97.4</v>
      </c>
      <c r="Z24" s="57">
        <v>433</v>
      </c>
      <c r="AA24" s="16">
        <v>1.5139913076619149E-3</v>
      </c>
      <c r="AB24" s="17">
        <v>7646</v>
      </c>
      <c r="AC24" s="16">
        <v>2.6734359211046194E-2</v>
      </c>
      <c r="AD24"/>
      <c r="AE24" s="92">
        <v>29</v>
      </c>
      <c r="AF24" s="144">
        <v>52</v>
      </c>
      <c r="AG24" s="146">
        <v>5</v>
      </c>
      <c r="AH24" s="148">
        <v>54.39</v>
      </c>
      <c r="AI24" s="150">
        <v>5323</v>
      </c>
      <c r="AJ24" s="157">
        <v>5.5388489433212285E-2</v>
      </c>
      <c r="AK24" s="159">
        <v>46491</v>
      </c>
      <c r="AL24" s="157">
        <v>0.48376221345847686</v>
      </c>
      <c r="AM24"/>
      <c r="AN24" s="92">
        <v>29</v>
      </c>
      <c r="AO24" s="93">
        <v>56</v>
      </c>
      <c r="AP24" s="98">
        <v>4</v>
      </c>
      <c r="AQ24" s="94">
        <v>72.83</v>
      </c>
      <c r="AR24" s="95">
        <v>438</v>
      </c>
      <c r="AS24" s="96">
        <v>1.9155077407504592E-2</v>
      </c>
      <c r="AT24" s="97">
        <v>6431</v>
      </c>
      <c r="AU24" s="96">
        <v>0.28124726668415989</v>
      </c>
      <c r="AV24"/>
      <c r="AW24" s="99">
        <v>29</v>
      </c>
      <c r="AX24" s="100">
        <v>57</v>
      </c>
      <c r="AY24" s="101">
        <v>3</v>
      </c>
      <c r="AZ24" s="102">
        <v>77.010000000000005</v>
      </c>
      <c r="BA24" s="103">
        <v>602</v>
      </c>
      <c r="BB24" s="104">
        <v>2.3259408082837493E-2</v>
      </c>
      <c r="BC24" s="105">
        <v>6252</v>
      </c>
      <c r="BD24" s="104">
        <v>0.24155783942508308</v>
      </c>
      <c r="BE24"/>
      <c r="BF24" s="92">
        <v>29</v>
      </c>
      <c r="BG24" s="93">
        <v>55</v>
      </c>
      <c r="BH24" s="98">
        <v>4</v>
      </c>
      <c r="BI24" s="94">
        <v>69.63</v>
      </c>
      <c r="BJ24" s="95">
        <v>1057</v>
      </c>
      <c r="BK24" s="96">
        <v>2.7297143742575282E-2</v>
      </c>
      <c r="BL24" s="97">
        <v>12287</v>
      </c>
      <c r="BM24" s="96">
        <v>0.31731315531222559</v>
      </c>
      <c r="BN24"/>
      <c r="BO24" s="92">
        <v>29</v>
      </c>
      <c r="BP24" s="93">
        <v>54</v>
      </c>
      <c r="BQ24" s="98">
        <v>4</v>
      </c>
      <c r="BR24" s="94">
        <v>67</v>
      </c>
      <c r="BS24" s="95">
        <v>1213</v>
      </c>
      <c r="BT24" s="96">
        <v>2.5280313450877414E-2</v>
      </c>
      <c r="BU24" s="97">
        <v>16442</v>
      </c>
      <c r="BV24" s="96">
        <v>0.34267016797965905</v>
      </c>
      <c r="BW24"/>
      <c r="BX24" s="92">
        <v>29</v>
      </c>
      <c r="BY24" s="144">
        <v>55</v>
      </c>
      <c r="BZ24" s="146">
        <v>4</v>
      </c>
      <c r="CA24" s="148">
        <v>68.19</v>
      </c>
      <c r="CB24" s="150">
        <v>4200</v>
      </c>
      <c r="CC24" s="157">
        <v>5.0226617715645593E-2</v>
      </c>
      <c r="CD24" s="159">
        <v>28701</v>
      </c>
      <c r="CE24" s="157">
        <v>0.34322717977541528</v>
      </c>
      <c r="CF24"/>
      <c r="CG24" s="92">
        <v>29</v>
      </c>
      <c r="CH24" s="93">
        <v>58</v>
      </c>
      <c r="CI24" s="98">
        <v>3</v>
      </c>
      <c r="CJ24" s="94">
        <v>78.67</v>
      </c>
      <c r="CK24" s="95">
        <v>1480</v>
      </c>
      <c r="CL24" s="96">
        <v>1.9894612323905797E-2</v>
      </c>
      <c r="CM24" s="97">
        <v>16605</v>
      </c>
      <c r="CN24" s="96">
        <v>0.22320948489084849</v>
      </c>
      <c r="CO24"/>
      <c r="CP24"/>
      <c r="CQ24"/>
      <c r="CR24"/>
      <c r="CS24"/>
      <c r="CT24"/>
      <c r="CU24"/>
      <c r="CV24"/>
      <c r="CW24"/>
      <c r="CX24"/>
      <c r="CY24"/>
    </row>
    <row r="25" spans="1:103" ht="16" customHeight="1" x14ac:dyDescent="0.2">
      <c r="A25"/>
      <c r="B25"/>
      <c r="C25"/>
      <c r="D25"/>
      <c r="E25"/>
      <c r="F25" s="27">
        <v>0</v>
      </c>
      <c r="G25" s="27">
        <v>9</v>
      </c>
      <c r="H25" s="1"/>
      <c r="I25" s="85">
        <v>0</v>
      </c>
      <c r="J25" s="85">
        <v>9</v>
      </c>
      <c r="K25" s="70"/>
      <c r="L25" s="70"/>
      <c r="M25" s="70"/>
      <c r="N25"/>
      <c r="O25" s="56">
        <v>113</v>
      </c>
      <c r="P25" s="83">
        <v>4</v>
      </c>
      <c r="Q25" s="15">
        <v>69.069999999999993</v>
      </c>
      <c r="R25" s="57">
        <v>4546</v>
      </c>
      <c r="S25" s="16">
        <v>1.5842481268513679E-2</v>
      </c>
      <c r="T25" s="17">
        <v>91027</v>
      </c>
      <c r="U25" s="16">
        <v>0.31722251263286289</v>
      </c>
      <c r="V25" s="28"/>
      <c r="W25" s="56">
        <v>139</v>
      </c>
      <c r="X25" s="83">
        <v>1</v>
      </c>
      <c r="Y25" s="15">
        <v>97.12</v>
      </c>
      <c r="Z25" s="57">
        <v>1187</v>
      </c>
      <c r="AA25" s="16">
        <v>4.1503641621124547E-3</v>
      </c>
      <c r="AB25" s="17">
        <v>8833</v>
      </c>
      <c r="AC25" s="16">
        <v>3.0884723373158646E-2</v>
      </c>
      <c r="AD25"/>
      <c r="AE25" s="92">
        <v>28</v>
      </c>
      <c r="AF25" s="145"/>
      <c r="AG25" s="147"/>
      <c r="AH25" s="149"/>
      <c r="AI25" s="151"/>
      <c r="AJ25" s="158"/>
      <c r="AK25" s="160"/>
      <c r="AL25" s="158"/>
      <c r="AM25"/>
      <c r="AN25" s="92">
        <v>28</v>
      </c>
      <c r="AO25" s="144">
        <v>55</v>
      </c>
      <c r="AP25" s="146">
        <v>4</v>
      </c>
      <c r="AQ25" s="148">
        <v>70</v>
      </c>
      <c r="AR25" s="150">
        <v>858</v>
      </c>
      <c r="AS25" s="157">
        <v>3.7522959853056939E-2</v>
      </c>
      <c r="AT25" s="159">
        <v>7289</v>
      </c>
      <c r="AU25" s="157">
        <v>0.31877022653721682</v>
      </c>
      <c r="AV25"/>
      <c r="AW25" s="92">
        <v>28</v>
      </c>
      <c r="AX25" s="93">
        <v>56</v>
      </c>
      <c r="AY25" s="98">
        <v>4</v>
      </c>
      <c r="AZ25" s="94">
        <v>74.78</v>
      </c>
      <c r="BA25" s="95">
        <v>552</v>
      </c>
      <c r="BB25" s="96">
        <v>2.1327563557684878E-2</v>
      </c>
      <c r="BC25" s="97">
        <v>6804</v>
      </c>
      <c r="BD25" s="96">
        <v>0.26288540298276797</v>
      </c>
      <c r="BE25"/>
      <c r="BF25" s="92">
        <v>28</v>
      </c>
      <c r="BG25" s="93">
        <v>54</v>
      </c>
      <c r="BH25" s="98">
        <v>4</v>
      </c>
      <c r="BI25" s="94">
        <v>66.989999999999995</v>
      </c>
      <c r="BJ25" s="95">
        <v>992</v>
      </c>
      <c r="BK25" s="96">
        <v>2.5618511440524766E-2</v>
      </c>
      <c r="BL25" s="97">
        <v>13279</v>
      </c>
      <c r="BM25" s="96">
        <v>0.34293166675275039</v>
      </c>
      <c r="BN25"/>
      <c r="BO25" s="92">
        <v>28</v>
      </c>
      <c r="BP25" s="93">
        <v>53</v>
      </c>
      <c r="BQ25" s="98">
        <v>4</v>
      </c>
      <c r="BR25" s="94">
        <v>64.349999999999994</v>
      </c>
      <c r="BS25" s="95">
        <v>1328</v>
      </c>
      <c r="BT25" s="96">
        <v>2.7677045558751199E-2</v>
      </c>
      <c r="BU25" s="97">
        <v>17770</v>
      </c>
      <c r="BV25" s="96">
        <v>0.37034721353841021</v>
      </c>
      <c r="BW25"/>
      <c r="BX25" s="92">
        <v>28</v>
      </c>
      <c r="BY25" s="145"/>
      <c r="BZ25" s="147"/>
      <c r="CA25" s="149"/>
      <c r="CB25" s="151"/>
      <c r="CC25" s="158"/>
      <c r="CD25" s="160"/>
      <c r="CE25" s="158"/>
      <c r="CF25"/>
      <c r="CG25" s="99">
        <v>28</v>
      </c>
      <c r="CH25" s="100">
        <v>57</v>
      </c>
      <c r="CI25" s="101">
        <v>3</v>
      </c>
      <c r="CJ25" s="102">
        <v>76.75</v>
      </c>
      <c r="CK25" s="103">
        <v>1384</v>
      </c>
      <c r="CL25" s="104">
        <v>1.8604150983976771E-2</v>
      </c>
      <c r="CM25" s="105">
        <v>17989</v>
      </c>
      <c r="CN25" s="104">
        <v>0.24181363587482524</v>
      </c>
      <c r="CO25"/>
      <c r="CP25"/>
      <c r="CQ25"/>
      <c r="CR25"/>
      <c r="CS25"/>
      <c r="CT25"/>
      <c r="CU25"/>
      <c r="CV25"/>
      <c r="CW25"/>
      <c r="CX25"/>
      <c r="CY25"/>
    </row>
    <row r="26" spans="1:103" ht="16" customHeight="1" x14ac:dyDescent="0.2">
      <c r="A26"/>
      <c r="B26"/>
      <c r="C26"/>
      <c r="D26"/>
      <c r="E26"/>
      <c r="F26" s="1"/>
      <c r="G26" s="1"/>
      <c r="H26" s="1"/>
      <c r="I26" s="1"/>
      <c r="J26" s="1"/>
      <c r="K26" s="1"/>
      <c r="L26" s="1"/>
      <c r="M26" s="1"/>
      <c r="N26"/>
      <c r="O26" s="56">
        <v>112</v>
      </c>
      <c r="P26" s="83">
        <v>4</v>
      </c>
      <c r="Q26" s="15">
        <v>67.349999999999994</v>
      </c>
      <c r="R26" s="57">
        <v>5300</v>
      </c>
      <c r="S26" s="16">
        <v>1.847011674507754E-2</v>
      </c>
      <c r="T26" s="17">
        <v>96327</v>
      </c>
      <c r="U26" s="16">
        <v>0.33569262937794042</v>
      </c>
      <c r="V26" s="28"/>
      <c r="W26" s="60">
        <v>138</v>
      </c>
      <c r="X26" s="84">
        <v>1</v>
      </c>
      <c r="Y26" s="33">
        <v>96.39</v>
      </c>
      <c r="Z26" s="61">
        <v>2967</v>
      </c>
      <c r="AA26" s="34">
        <v>1.0374162147420096E-2</v>
      </c>
      <c r="AB26" s="35">
        <v>11800</v>
      </c>
      <c r="AC26" s="34">
        <v>4.1258885520578742E-2</v>
      </c>
      <c r="AD26"/>
      <c r="AE26" s="92">
        <v>27</v>
      </c>
      <c r="AF26" s="93">
        <v>51</v>
      </c>
      <c r="AG26" s="98">
        <v>5</v>
      </c>
      <c r="AH26" s="94">
        <v>50.37</v>
      </c>
      <c r="AI26" s="95">
        <v>2416</v>
      </c>
      <c r="AJ26" s="96">
        <v>2.513969387011852E-2</v>
      </c>
      <c r="AK26" s="97">
        <v>48907</v>
      </c>
      <c r="AL26" s="96">
        <v>0.50890190732859542</v>
      </c>
      <c r="AM26"/>
      <c r="AN26" s="92">
        <v>27</v>
      </c>
      <c r="AO26" s="145"/>
      <c r="AP26" s="147"/>
      <c r="AQ26" s="149"/>
      <c r="AR26" s="151"/>
      <c r="AS26" s="158"/>
      <c r="AT26" s="160"/>
      <c r="AU26" s="158"/>
      <c r="AV26"/>
      <c r="AW26" s="92">
        <v>27</v>
      </c>
      <c r="AX26" s="93">
        <v>55</v>
      </c>
      <c r="AY26" s="98">
        <v>4</v>
      </c>
      <c r="AZ26" s="94">
        <v>72.41</v>
      </c>
      <c r="BA26" s="95">
        <v>673</v>
      </c>
      <c r="BB26" s="96">
        <v>2.6002627308554207E-2</v>
      </c>
      <c r="BC26" s="97">
        <v>7477</v>
      </c>
      <c r="BD26" s="96">
        <v>0.28888803029132215</v>
      </c>
      <c r="BE26"/>
      <c r="BF26" s="92">
        <v>27</v>
      </c>
      <c r="BG26" s="93">
        <v>53</v>
      </c>
      <c r="BH26" s="98">
        <v>4</v>
      </c>
      <c r="BI26" s="94">
        <v>64.290000000000006</v>
      </c>
      <c r="BJ26" s="95">
        <v>1094</v>
      </c>
      <c r="BK26" s="96">
        <v>2.8252672899127113E-2</v>
      </c>
      <c r="BL26" s="97">
        <v>14373</v>
      </c>
      <c r="BM26" s="96">
        <v>0.37118433965187747</v>
      </c>
      <c r="BN26"/>
      <c r="BO26" s="92">
        <v>27</v>
      </c>
      <c r="BP26" s="152">
        <v>52</v>
      </c>
      <c r="BQ26" s="153">
        <v>4</v>
      </c>
      <c r="BR26" s="154">
        <v>60.17</v>
      </c>
      <c r="BS26" s="155">
        <v>2686</v>
      </c>
      <c r="BT26" s="161">
        <v>5.5979325580425995E-2</v>
      </c>
      <c r="BU26" s="162">
        <v>20456</v>
      </c>
      <c r="BV26" s="161">
        <v>0.42632653911883622</v>
      </c>
      <c r="BW26"/>
      <c r="BX26" s="92">
        <v>27</v>
      </c>
      <c r="BY26" s="93">
        <v>54</v>
      </c>
      <c r="BZ26" s="98">
        <v>4</v>
      </c>
      <c r="CA26" s="94">
        <v>64.3</v>
      </c>
      <c r="CB26" s="95">
        <v>2305</v>
      </c>
      <c r="CC26" s="96">
        <v>2.7564846151086449E-2</v>
      </c>
      <c r="CD26" s="97">
        <v>31006</v>
      </c>
      <c r="CE26" s="96">
        <v>0.37079202592650173</v>
      </c>
      <c r="CF26"/>
      <c r="CG26" s="92">
        <v>27</v>
      </c>
      <c r="CH26" s="93">
        <v>56</v>
      </c>
      <c r="CI26" s="98">
        <v>4</v>
      </c>
      <c r="CJ26" s="94">
        <v>74.739999999999995</v>
      </c>
      <c r="CK26" s="95">
        <v>1612</v>
      </c>
      <c r="CL26" s="96">
        <v>2.1668996666308206E-2</v>
      </c>
      <c r="CM26" s="97">
        <v>19601</v>
      </c>
      <c r="CN26" s="96">
        <v>0.26348263254113347</v>
      </c>
      <c r="CO26"/>
      <c r="CP26"/>
      <c r="CQ26"/>
      <c r="CR26"/>
      <c r="CS26"/>
      <c r="CT26"/>
      <c r="CU26"/>
      <c r="CV26"/>
      <c r="CW26"/>
      <c r="CX26"/>
      <c r="CY26"/>
    </row>
    <row r="27" spans="1:103" ht="16" customHeight="1" thickBot="1" x14ac:dyDescent="0.25">
      <c r="A27"/>
      <c r="B27"/>
      <c r="C27"/>
      <c r="D27"/>
      <c r="E27"/>
      <c r="F27" s="117" t="s">
        <v>5</v>
      </c>
      <c r="G27" s="118"/>
      <c r="H27" s="36"/>
      <c r="I27" s="117" t="s">
        <v>20</v>
      </c>
      <c r="J27" s="118"/>
      <c r="K27" s="36"/>
      <c r="L27" s="117" t="s">
        <v>6</v>
      </c>
      <c r="M27" s="118"/>
      <c r="N27"/>
      <c r="O27" s="56">
        <v>111</v>
      </c>
      <c r="P27" s="83">
        <v>4</v>
      </c>
      <c r="Q27" s="15">
        <v>65.489999999999995</v>
      </c>
      <c r="R27" s="57">
        <v>5411</v>
      </c>
      <c r="S27" s="16">
        <v>1.8856943718417844E-2</v>
      </c>
      <c r="T27" s="17">
        <v>101738</v>
      </c>
      <c r="U27" s="16">
        <v>0.35454957309635826</v>
      </c>
      <c r="V27" s="28"/>
      <c r="W27" s="56">
        <v>137</v>
      </c>
      <c r="X27" s="83">
        <v>2</v>
      </c>
      <c r="Y27" s="15">
        <v>95.81</v>
      </c>
      <c r="Z27" s="57">
        <v>392</v>
      </c>
      <c r="AA27" s="16">
        <v>1.3706341630565142E-3</v>
      </c>
      <c r="AB27" s="17">
        <v>12192</v>
      </c>
      <c r="AC27" s="16">
        <v>4.2629519683635257E-2</v>
      </c>
      <c r="AD27"/>
      <c r="AE27" s="92">
        <v>26</v>
      </c>
      <c r="AF27" s="93">
        <v>50</v>
      </c>
      <c r="AG27" s="98">
        <v>5</v>
      </c>
      <c r="AH27" s="94">
        <v>47.77</v>
      </c>
      <c r="AI27" s="95">
        <v>2578</v>
      </c>
      <c r="AJ27" s="96">
        <v>2.682538526372746E-2</v>
      </c>
      <c r="AK27" s="97">
        <v>51485</v>
      </c>
      <c r="AL27" s="96">
        <v>0.53572729259232277</v>
      </c>
      <c r="AM27"/>
      <c r="AN27" s="92">
        <v>26</v>
      </c>
      <c r="AO27" s="93">
        <v>54</v>
      </c>
      <c r="AP27" s="98">
        <v>4</v>
      </c>
      <c r="AQ27" s="94">
        <v>67.150000000000006</v>
      </c>
      <c r="AR27" s="95">
        <v>447</v>
      </c>
      <c r="AS27" s="96">
        <v>1.9548674888480715E-2</v>
      </c>
      <c r="AT27" s="97">
        <v>7736</v>
      </c>
      <c r="AU27" s="96">
        <v>0.33831890142569754</v>
      </c>
      <c r="AV27"/>
      <c r="AW27" s="92">
        <v>26</v>
      </c>
      <c r="AX27" s="93">
        <v>54</v>
      </c>
      <c r="AY27" s="98">
        <v>4</v>
      </c>
      <c r="AZ27" s="94">
        <v>69.81</v>
      </c>
      <c r="BA27" s="95">
        <v>674</v>
      </c>
      <c r="BB27" s="96">
        <v>2.6041264199057258E-2</v>
      </c>
      <c r="BC27" s="97">
        <v>8151</v>
      </c>
      <c r="BD27" s="96">
        <v>0.31492929449037943</v>
      </c>
      <c r="BE27"/>
      <c r="BF27" s="92">
        <v>26</v>
      </c>
      <c r="BG27" s="152">
        <v>52</v>
      </c>
      <c r="BH27" s="153">
        <v>4</v>
      </c>
      <c r="BI27" s="154">
        <v>60.08</v>
      </c>
      <c r="BJ27" s="155">
        <v>2171</v>
      </c>
      <c r="BK27" s="161">
        <v>5.6066318888487163E-2</v>
      </c>
      <c r="BL27" s="162">
        <v>16544</v>
      </c>
      <c r="BM27" s="161">
        <v>0.42725065854036465</v>
      </c>
      <c r="BN27"/>
      <c r="BO27" s="99">
        <v>26</v>
      </c>
      <c r="BP27" s="145"/>
      <c r="BQ27" s="147"/>
      <c r="BR27" s="149"/>
      <c r="BS27" s="151"/>
      <c r="BT27" s="158"/>
      <c r="BU27" s="160"/>
      <c r="BV27" s="158"/>
      <c r="BW27"/>
      <c r="BX27" s="92">
        <v>26</v>
      </c>
      <c r="BY27" s="93">
        <v>53</v>
      </c>
      <c r="BZ27" s="98">
        <v>4</v>
      </c>
      <c r="CA27" s="94">
        <v>61.58</v>
      </c>
      <c r="CB27" s="95">
        <v>2236</v>
      </c>
      <c r="CC27" s="96">
        <v>2.6739694574329415E-2</v>
      </c>
      <c r="CD27" s="97">
        <v>33242</v>
      </c>
      <c r="CE27" s="96">
        <v>0.39753172050083113</v>
      </c>
      <c r="CF27"/>
      <c r="CG27" s="92">
        <v>26</v>
      </c>
      <c r="CH27" s="93">
        <v>55</v>
      </c>
      <c r="CI27" s="98">
        <v>4</v>
      </c>
      <c r="CJ27" s="94">
        <v>72.510000000000005</v>
      </c>
      <c r="CK27" s="95">
        <v>1693</v>
      </c>
      <c r="CL27" s="96">
        <v>2.2757823421873321E-2</v>
      </c>
      <c r="CM27" s="97">
        <v>21294</v>
      </c>
      <c r="CN27" s="96">
        <v>0.28624045596300679</v>
      </c>
      <c r="CO27"/>
      <c r="CP27"/>
      <c r="CQ27"/>
      <c r="CR27"/>
      <c r="CS27"/>
      <c r="CT27"/>
      <c r="CU27"/>
      <c r="CV27"/>
      <c r="CW27"/>
      <c r="CX27"/>
      <c r="CY27"/>
    </row>
    <row r="28" spans="1:103" ht="16" customHeight="1" x14ac:dyDescent="0.2">
      <c r="A28"/>
      <c r="B28"/>
      <c r="C28"/>
      <c r="D28"/>
      <c r="E28"/>
      <c r="F28" s="30" t="s">
        <v>30</v>
      </c>
      <c r="G28" s="30" t="s">
        <v>14</v>
      </c>
      <c r="H28" s="36"/>
      <c r="I28" s="30" t="s">
        <v>30</v>
      </c>
      <c r="J28" s="30" t="s">
        <v>14</v>
      </c>
      <c r="K28" s="36"/>
      <c r="L28" s="30" t="s">
        <v>30</v>
      </c>
      <c r="M28" s="30" t="s">
        <v>14</v>
      </c>
      <c r="N28"/>
      <c r="O28" s="56">
        <v>110</v>
      </c>
      <c r="P28" s="83">
        <v>4</v>
      </c>
      <c r="Q28" s="15">
        <v>63.64</v>
      </c>
      <c r="R28" s="57">
        <v>5188</v>
      </c>
      <c r="S28" s="16">
        <v>1.8079804844049484E-2</v>
      </c>
      <c r="T28" s="17">
        <v>106926</v>
      </c>
      <c r="U28" s="16">
        <v>0.37262937794040774</v>
      </c>
      <c r="V28" s="28"/>
      <c r="W28" s="56">
        <v>136</v>
      </c>
      <c r="X28" s="83">
        <v>2</v>
      </c>
      <c r="Y28" s="15">
        <v>95.58</v>
      </c>
      <c r="Z28" s="57">
        <v>925</v>
      </c>
      <c r="AA28" s="16">
        <v>3.2342770429267236E-3</v>
      </c>
      <c r="AB28" s="17">
        <v>13117</v>
      </c>
      <c r="AC28" s="16">
        <v>4.5863796726561983E-2</v>
      </c>
      <c r="AD28"/>
      <c r="AE28" s="92">
        <v>25</v>
      </c>
      <c r="AF28" s="93">
        <v>49</v>
      </c>
      <c r="AG28" s="98">
        <v>5</v>
      </c>
      <c r="AH28" s="94">
        <v>45.23</v>
      </c>
      <c r="AI28" s="95">
        <v>2298</v>
      </c>
      <c r="AJ28" s="96">
        <v>2.391184458341571E-2</v>
      </c>
      <c r="AK28" s="97">
        <v>53783</v>
      </c>
      <c r="AL28" s="96">
        <v>0.55963913717573854</v>
      </c>
      <c r="AM28"/>
      <c r="AN28" s="92">
        <v>25</v>
      </c>
      <c r="AO28" s="93">
        <v>53</v>
      </c>
      <c r="AP28" s="98">
        <v>4</v>
      </c>
      <c r="AQ28" s="94">
        <v>65.13</v>
      </c>
      <c r="AR28" s="95">
        <v>475</v>
      </c>
      <c r="AS28" s="96">
        <v>2.0773200384850872E-2</v>
      </c>
      <c r="AT28" s="97">
        <v>8211</v>
      </c>
      <c r="AU28" s="96">
        <v>0.3590921018105484</v>
      </c>
      <c r="AV28"/>
      <c r="AW28" s="92">
        <v>25</v>
      </c>
      <c r="AX28" s="93">
        <v>53</v>
      </c>
      <c r="AY28" s="98">
        <v>4</v>
      </c>
      <c r="AZ28" s="94">
        <v>67.16</v>
      </c>
      <c r="BA28" s="95">
        <v>699</v>
      </c>
      <c r="BB28" s="96">
        <v>2.7007186461633567E-2</v>
      </c>
      <c r="BC28" s="97">
        <v>8850</v>
      </c>
      <c r="BD28" s="96">
        <v>0.34193648095201296</v>
      </c>
      <c r="BE28"/>
      <c r="BF28" s="99">
        <v>25</v>
      </c>
      <c r="BG28" s="145"/>
      <c r="BH28" s="147"/>
      <c r="BI28" s="149"/>
      <c r="BJ28" s="151"/>
      <c r="BK28" s="158"/>
      <c r="BL28" s="160"/>
      <c r="BM28" s="158"/>
      <c r="BN28"/>
      <c r="BO28" s="92">
        <v>25</v>
      </c>
      <c r="BP28" s="93">
        <v>51</v>
      </c>
      <c r="BQ28" s="98">
        <v>5</v>
      </c>
      <c r="BR28" s="94">
        <v>56.03</v>
      </c>
      <c r="BS28" s="95">
        <v>1279</v>
      </c>
      <c r="BT28" s="96">
        <v>2.6655829269309324E-2</v>
      </c>
      <c r="BU28" s="97">
        <v>21735</v>
      </c>
      <c r="BV28" s="96">
        <v>0.45298236838814554</v>
      </c>
      <c r="BW28"/>
      <c r="BX28" s="99">
        <v>25</v>
      </c>
      <c r="BY28" s="100">
        <v>52</v>
      </c>
      <c r="BZ28" s="101">
        <v>4</v>
      </c>
      <c r="CA28" s="102">
        <v>58.86</v>
      </c>
      <c r="CB28" s="103">
        <v>2319</v>
      </c>
      <c r="CC28" s="104">
        <v>2.7732268210138602E-2</v>
      </c>
      <c r="CD28" s="105">
        <v>35561</v>
      </c>
      <c r="CE28" s="104">
        <v>0.42526398871096971</v>
      </c>
      <c r="CF28"/>
      <c r="CG28" s="92">
        <v>25</v>
      </c>
      <c r="CH28" s="93">
        <v>54</v>
      </c>
      <c r="CI28" s="98">
        <v>4</v>
      </c>
      <c r="CJ28" s="94">
        <v>70.16</v>
      </c>
      <c r="CK28" s="95">
        <v>1809</v>
      </c>
      <c r="CL28" s="96">
        <v>2.4317130874287558E-2</v>
      </c>
      <c r="CM28" s="97">
        <v>23103</v>
      </c>
      <c r="CN28" s="96">
        <v>0.31055758683729434</v>
      </c>
      <c r="CO28"/>
      <c r="CP28"/>
      <c r="CQ28"/>
      <c r="CR28"/>
      <c r="CS28"/>
      <c r="CT28"/>
      <c r="CU28"/>
      <c r="CV28"/>
      <c r="CW28"/>
      <c r="CX28"/>
      <c r="CY28"/>
    </row>
    <row r="29" spans="1:103" ht="16" customHeight="1" x14ac:dyDescent="0.2">
      <c r="A29"/>
      <c r="B29"/>
      <c r="C29"/>
      <c r="D29"/>
      <c r="E29"/>
      <c r="F29" s="86">
        <v>45</v>
      </c>
      <c r="G29" s="85">
        <v>1</v>
      </c>
      <c r="H29" s="36"/>
      <c r="I29" s="86">
        <v>46</v>
      </c>
      <c r="J29" s="85">
        <v>1</v>
      </c>
      <c r="K29" s="36"/>
      <c r="L29" s="86">
        <v>45</v>
      </c>
      <c r="M29" s="85">
        <v>1</v>
      </c>
      <c r="N29"/>
      <c r="O29" s="56">
        <v>109</v>
      </c>
      <c r="P29" s="83">
        <v>4</v>
      </c>
      <c r="Q29" s="15">
        <v>61.83</v>
      </c>
      <c r="R29" s="57">
        <v>5188</v>
      </c>
      <c r="S29" s="16">
        <v>1.8079804844049484E-2</v>
      </c>
      <c r="T29" s="17">
        <v>112114</v>
      </c>
      <c r="U29" s="16">
        <v>0.39070918278445721</v>
      </c>
      <c r="V29" s="28"/>
      <c r="W29" s="56">
        <v>135</v>
      </c>
      <c r="X29" s="83">
        <v>2</v>
      </c>
      <c r="Y29" s="15">
        <v>95.03</v>
      </c>
      <c r="Z29" s="57">
        <v>2181</v>
      </c>
      <c r="AA29" s="16">
        <v>7.6259007898629013E-3</v>
      </c>
      <c r="AB29" s="17">
        <v>15298</v>
      </c>
      <c r="AC29" s="16">
        <v>5.3489697516424885E-2</v>
      </c>
      <c r="AD29"/>
      <c r="AE29" s="92">
        <v>24</v>
      </c>
      <c r="AF29" s="93">
        <v>48</v>
      </c>
      <c r="AG29" s="98">
        <v>5</v>
      </c>
      <c r="AH29" s="94">
        <v>42.82</v>
      </c>
      <c r="AI29" s="95">
        <v>2343</v>
      </c>
      <c r="AJ29" s="96">
        <v>2.4380092192751526E-2</v>
      </c>
      <c r="AK29" s="97">
        <v>56126</v>
      </c>
      <c r="AL29" s="96">
        <v>0.58401922936849004</v>
      </c>
      <c r="AM29"/>
      <c r="AN29" s="92">
        <v>24</v>
      </c>
      <c r="AO29" s="93">
        <v>52</v>
      </c>
      <c r="AP29" s="98">
        <v>4</v>
      </c>
      <c r="AQ29" s="94">
        <v>62.85</v>
      </c>
      <c r="AR29" s="95">
        <v>567</v>
      </c>
      <c r="AS29" s="96">
        <v>2.479664130149567E-2</v>
      </c>
      <c r="AT29" s="97">
        <v>8778</v>
      </c>
      <c r="AU29" s="96">
        <v>0.38388874311204407</v>
      </c>
      <c r="AV29"/>
      <c r="AW29" s="92">
        <v>24</v>
      </c>
      <c r="AX29" s="152">
        <v>52</v>
      </c>
      <c r="AY29" s="153">
        <v>4</v>
      </c>
      <c r="AZ29" s="154">
        <v>62.81</v>
      </c>
      <c r="BA29" s="155">
        <v>1552</v>
      </c>
      <c r="BB29" s="161">
        <v>5.9964454060737193E-2</v>
      </c>
      <c r="BC29" s="162">
        <v>10402</v>
      </c>
      <c r="BD29" s="161">
        <v>0.40190093501275015</v>
      </c>
      <c r="BE29"/>
      <c r="BF29" s="92">
        <v>24</v>
      </c>
      <c r="BG29" s="93">
        <v>51</v>
      </c>
      <c r="BH29" s="98">
        <v>5</v>
      </c>
      <c r="BI29" s="94">
        <v>55.75</v>
      </c>
      <c r="BJ29" s="95">
        <v>1183</v>
      </c>
      <c r="BK29" s="96">
        <v>3.0551107897319352E-2</v>
      </c>
      <c r="BL29" s="97">
        <v>17727</v>
      </c>
      <c r="BM29" s="96">
        <v>0.457801766437684</v>
      </c>
      <c r="BN29"/>
      <c r="BO29" s="92">
        <v>24</v>
      </c>
      <c r="BP29" s="93">
        <v>50</v>
      </c>
      <c r="BQ29" s="98">
        <v>5</v>
      </c>
      <c r="BR29" s="94">
        <v>53.21</v>
      </c>
      <c r="BS29" s="95">
        <v>1436</v>
      </c>
      <c r="BT29" s="96">
        <v>2.9927889625276146E-2</v>
      </c>
      <c r="BU29" s="97">
        <v>23171</v>
      </c>
      <c r="BV29" s="96">
        <v>0.48291025801342169</v>
      </c>
      <c r="BW29"/>
      <c r="BX29" s="92">
        <v>24</v>
      </c>
      <c r="BY29" s="93">
        <v>51</v>
      </c>
      <c r="BZ29" s="98">
        <v>5</v>
      </c>
      <c r="CA29" s="94">
        <v>55.94</v>
      </c>
      <c r="CB29" s="95">
        <v>2568</v>
      </c>
      <c r="CC29" s="96">
        <v>3.0709989117566162E-2</v>
      </c>
      <c r="CD29" s="97">
        <v>38129</v>
      </c>
      <c r="CE29" s="96">
        <v>0.45597397782853588</v>
      </c>
      <c r="CF29"/>
      <c r="CG29" s="92">
        <v>24</v>
      </c>
      <c r="CH29" s="93">
        <v>53</v>
      </c>
      <c r="CI29" s="98">
        <v>4</v>
      </c>
      <c r="CJ29" s="94">
        <v>67.55</v>
      </c>
      <c r="CK29" s="95">
        <v>2077</v>
      </c>
      <c r="CL29" s="96">
        <v>2.791966878158942E-2</v>
      </c>
      <c r="CM29" s="97">
        <v>25180</v>
      </c>
      <c r="CN29" s="96">
        <v>0.33847725561888375</v>
      </c>
      <c r="CO29"/>
      <c r="CP29"/>
      <c r="CQ29"/>
      <c r="CR29"/>
      <c r="CS29"/>
      <c r="CT29"/>
      <c r="CU29"/>
      <c r="CV29"/>
      <c r="CW29"/>
      <c r="CX29"/>
      <c r="CY29"/>
    </row>
    <row r="30" spans="1:103" ht="16" customHeight="1" x14ac:dyDescent="0.2">
      <c r="A30"/>
      <c r="B30"/>
      <c r="C30"/>
      <c r="D30"/>
      <c r="E30"/>
      <c r="F30" s="86">
        <v>41</v>
      </c>
      <c r="G30" s="85">
        <v>2</v>
      </c>
      <c r="H30" s="36"/>
      <c r="I30" s="86">
        <v>40</v>
      </c>
      <c r="J30" s="85">
        <v>2</v>
      </c>
      <c r="K30" s="36"/>
      <c r="L30" s="86">
        <v>37</v>
      </c>
      <c r="M30" s="85">
        <v>2</v>
      </c>
      <c r="N30"/>
      <c r="O30" s="60">
        <v>108</v>
      </c>
      <c r="P30" s="84">
        <v>4</v>
      </c>
      <c r="Q30" s="33">
        <v>60.09</v>
      </c>
      <c r="R30" s="61">
        <v>4818</v>
      </c>
      <c r="S30" s="34">
        <v>1.6790381599581808E-2</v>
      </c>
      <c r="T30" s="35">
        <v>116932</v>
      </c>
      <c r="U30" s="34">
        <v>0.407499564384039</v>
      </c>
      <c r="V30" s="28"/>
      <c r="W30" s="56">
        <v>134</v>
      </c>
      <c r="X30" s="83">
        <v>2</v>
      </c>
      <c r="Y30" s="15">
        <v>94.05</v>
      </c>
      <c r="Z30" s="57">
        <v>3412</v>
      </c>
      <c r="AA30" s="16">
        <v>1.1930111643747006E-2</v>
      </c>
      <c r="AB30" s="17">
        <v>18710</v>
      </c>
      <c r="AC30" s="16">
        <v>6.5419809160171885E-2</v>
      </c>
      <c r="AD30"/>
      <c r="AE30" s="99">
        <v>23</v>
      </c>
      <c r="AF30" s="100">
        <v>47</v>
      </c>
      <c r="AG30" s="101">
        <v>5</v>
      </c>
      <c r="AH30" s="102">
        <v>40.4</v>
      </c>
      <c r="AI30" s="103">
        <v>2307</v>
      </c>
      <c r="AJ30" s="104">
        <v>2.4005494105282875E-2</v>
      </c>
      <c r="AK30" s="105">
        <v>58433</v>
      </c>
      <c r="AL30" s="104">
        <v>0.6080247234737729</v>
      </c>
      <c r="AM30"/>
      <c r="AN30" s="92">
        <v>23</v>
      </c>
      <c r="AO30" s="152">
        <v>51</v>
      </c>
      <c r="AP30" s="153">
        <v>4</v>
      </c>
      <c r="AQ30" s="154">
        <v>59.46</v>
      </c>
      <c r="AR30" s="155">
        <v>982</v>
      </c>
      <c r="AS30" s="161">
        <v>4.2945858479839061E-2</v>
      </c>
      <c r="AT30" s="162">
        <v>9760</v>
      </c>
      <c r="AU30" s="161">
        <v>0.42683460159188313</v>
      </c>
      <c r="AV30"/>
      <c r="AW30" s="99">
        <v>23</v>
      </c>
      <c r="AX30" s="145"/>
      <c r="AY30" s="147"/>
      <c r="AZ30" s="149"/>
      <c r="BA30" s="151"/>
      <c r="BB30" s="158"/>
      <c r="BC30" s="160"/>
      <c r="BD30" s="158"/>
      <c r="BE30"/>
      <c r="BF30" s="92">
        <v>23</v>
      </c>
      <c r="BG30" s="93">
        <v>50</v>
      </c>
      <c r="BH30" s="98">
        <v>5</v>
      </c>
      <c r="BI30" s="94">
        <v>52.69</v>
      </c>
      <c r="BJ30" s="95">
        <v>1182</v>
      </c>
      <c r="BK30" s="96">
        <v>3.0525282784980113E-2</v>
      </c>
      <c r="BL30" s="97">
        <v>18909</v>
      </c>
      <c r="BM30" s="96">
        <v>0.48832704922266412</v>
      </c>
      <c r="BN30"/>
      <c r="BO30" s="92">
        <v>23</v>
      </c>
      <c r="BP30" s="93">
        <v>49</v>
      </c>
      <c r="BQ30" s="98">
        <v>5</v>
      </c>
      <c r="BR30" s="94">
        <v>50.04</v>
      </c>
      <c r="BS30" s="95">
        <v>1598</v>
      </c>
      <c r="BT30" s="96">
        <v>3.3304155725063567E-2</v>
      </c>
      <c r="BU30" s="97">
        <v>24769</v>
      </c>
      <c r="BV30" s="96">
        <v>0.51621441373848531</v>
      </c>
      <c r="BW30"/>
      <c r="BX30" s="92">
        <v>23</v>
      </c>
      <c r="BY30" s="93">
        <v>50</v>
      </c>
      <c r="BZ30" s="98">
        <v>5</v>
      </c>
      <c r="CA30" s="94">
        <v>52.96</v>
      </c>
      <c r="CB30" s="95">
        <v>2418</v>
      </c>
      <c r="CC30" s="96">
        <v>2.891618134200739E-2</v>
      </c>
      <c r="CD30" s="97">
        <v>40547</v>
      </c>
      <c r="CE30" s="96">
        <v>0.48489015917054329</v>
      </c>
      <c r="CF30"/>
      <c r="CG30" s="92">
        <v>23</v>
      </c>
      <c r="CH30" s="93">
        <v>52</v>
      </c>
      <c r="CI30" s="98">
        <v>4</v>
      </c>
      <c r="CJ30" s="94">
        <v>64.81</v>
      </c>
      <c r="CK30" s="95">
        <v>2004</v>
      </c>
      <c r="CL30" s="96">
        <v>2.6938380471018389E-2</v>
      </c>
      <c r="CM30" s="97">
        <v>27184</v>
      </c>
      <c r="CN30" s="96">
        <v>0.36541563608990213</v>
      </c>
      <c r="CO30"/>
      <c r="CP30"/>
      <c r="CQ30"/>
      <c r="CR30"/>
      <c r="CS30"/>
      <c r="CT30"/>
      <c r="CU30"/>
      <c r="CV30"/>
      <c r="CW30"/>
      <c r="CX30"/>
      <c r="CY30"/>
    </row>
    <row r="31" spans="1:103" ht="16" customHeight="1" x14ac:dyDescent="0.2">
      <c r="A31"/>
      <c r="B31"/>
      <c r="C31"/>
      <c r="D31"/>
      <c r="E31"/>
      <c r="F31" s="86">
        <v>35</v>
      </c>
      <c r="G31" s="85">
        <v>3</v>
      </c>
      <c r="H31" s="36"/>
      <c r="I31" s="86">
        <v>31</v>
      </c>
      <c r="J31" s="85">
        <v>3</v>
      </c>
      <c r="K31" s="36"/>
      <c r="L31" s="86">
        <v>29</v>
      </c>
      <c r="M31" s="85">
        <v>3</v>
      </c>
      <c r="N31"/>
      <c r="O31" s="56">
        <v>107</v>
      </c>
      <c r="P31" s="83">
        <v>5</v>
      </c>
      <c r="Q31" s="15">
        <v>58.36</v>
      </c>
      <c r="R31" s="57">
        <v>5083</v>
      </c>
      <c r="S31" s="16">
        <v>1.7713887436835687E-2</v>
      </c>
      <c r="T31" s="17">
        <v>122015</v>
      </c>
      <c r="U31" s="16">
        <v>0.42521345182087472</v>
      </c>
      <c r="V31" s="28"/>
      <c r="W31" s="56">
        <v>133</v>
      </c>
      <c r="X31" s="83">
        <v>2</v>
      </c>
      <c r="Y31" s="15">
        <v>93.27</v>
      </c>
      <c r="Z31" s="57">
        <v>1053</v>
      </c>
      <c r="AA31" s="16">
        <v>3.6818310553533404E-3</v>
      </c>
      <c r="AB31" s="17">
        <v>19763</v>
      </c>
      <c r="AC31" s="16">
        <v>6.9101640215525229E-2</v>
      </c>
      <c r="AD31"/>
      <c r="AE31" s="92">
        <v>22</v>
      </c>
      <c r="AF31" s="144">
        <v>46</v>
      </c>
      <c r="AG31" s="146">
        <v>6</v>
      </c>
      <c r="AH31" s="148">
        <v>36.909999999999997</v>
      </c>
      <c r="AI31" s="150">
        <v>4400</v>
      </c>
      <c r="AJ31" s="157">
        <v>4.5784210690613197E-2</v>
      </c>
      <c r="AK31" s="159">
        <v>62833</v>
      </c>
      <c r="AL31" s="157">
        <v>0.65380893416438612</v>
      </c>
      <c r="AM31"/>
      <c r="AN31" s="99">
        <v>22</v>
      </c>
      <c r="AO31" s="145"/>
      <c r="AP31" s="147"/>
      <c r="AQ31" s="149"/>
      <c r="AR31" s="151"/>
      <c r="AS31" s="158"/>
      <c r="AT31" s="160"/>
      <c r="AU31" s="158"/>
      <c r="AV31"/>
      <c r="AW31" s="92">
        <v>22</v>
      </c>
      <c r="AX31" s="93">
        <v>51</v>
      </c>
      <c r="AY31" s="98">
        <v>5</v>
      </c>
      <c r="AZ31" s="94">
        <v>58.23</v>
      </c>
      <c r="BA31" s="95">
        <v>820</v>
      </c>
      <c r="BB31" s="96">
        <v>3.1682250212502899E-2</v>
      </c>
      <c r="BC31" s="97">
        <v>11222</v>
      </c>
      <c r="BD31" s="96">
        <v>0.43358318522525308</v>
      </c>
      <c r="BE31"/>
      <c r="BF31" s="92">
        <v>22</v>
      </c>
      <c r="BG31" s="93">
        <v>49</v>
      </c>
      <c r="BH31" s="98">
        <v>5</v>
      </c>
      <c r="BI31" s="94">
        <v>49.48</v>
      </c>
      <c r="BJ31" s="95">
        <v>1303</v>
      </c>
      <c r="BK31" s="96">
        <v>3.3650121378027996E-2</v>
      </c>
      <c r="BL31" s="97">
        <v>20212</v>
      </c>
      <c r="BM31" s="96">
        <v>0.52197717060069215</v>
      </c>
      <c r="BN31"/>
      <c r="BO31" s="92">
        <v>22</v>
      </c>
      <c r="BP31" s="93">
        <v>48</v>
      </c>
      <c r="BQ31" s="98">
        <v>5</v>
      </c>
      <c r="BR31" s="94">
        <v>46.87</v>
      </c>
      <c r="BS31" s="95">
        <v>1443</v>
      </c>
      <c r="BT31" s="96">
        <v>3.0073777666624984E-2</v>
      </c>
      <c r="BU31" s="97">
        <v>26212</v>
      </c>
      <c r="BV31" s="96">
        <v>0.5462881914051102</v>
      </c>
      <c r="BW31"/>
      <c r="BX31" s="92">
        <v>22</v>
      </c>
      <c r="BY31" s="93">
        <v>49</v>
      </c>
      <c r="BZ31" s="98">
        <v>5</v>
      </c>
      <c r="CA31" s="94">
        <v>49.89</v>
      </c>
      <c r="CB31" s="95">
        <v>2706</v>
      </c>
      <c r="CC31" s="96">
        <v>3.2360292271080233E-2</v>
      </c>
      <c r="CD31" s="97">
        <v>43253</v>
      </c>
      <c r="CE31" s="96">
        <v>0.51725045144162352</v>
      </c>
      <c r="CF31"/>
      <c r="CG31" s="92">
        <v>22</v>
      </c>
      <c r="CH31" s="93">
        <v>51</v>
      </c>
      <c r="CI31" s="98">
        <v>4</v>
      </c>
      <c r="CJ31" s="94">
        <v>61.85</v>
      </c>
      <c r="CK31" s="95">
        <v>2398</v>
      </c>
      <c r="CL31" s="96">
        <v>3.2234648886977094E-2</v>
      </c>
      <c r="CM31" s="97">
        <v>29582</v>
      </c>
      <c r="CN31" s="96">
        <v>0.39765028497687921</v>
      </c>
      <c r="CO31"/>
      <c r="CP31"/>
      <c r="CQ31"/>
      <c r="CR31"/>
      <c r="CS31"/>
      <c r="CT31"/>
      <c r="CU31"/>
      <c r="CV31"/>
      <c r="CW31"/>
      <c r="CX31"/>
      <c r="CY31"/>
    </row>
    <row r="32" spans="1:103" ht="16" customHeight="1" x14ac:dyDescent="0.2">
      <c r="A32"/>
      <c r="B32"/>
      <c r="C32"/>
      <c r="D32"/>
      <c r="E32"/>
      <c r="F32" s="86">
        <v>31</v>
      </c>
      <c r="G32" s="85">
        <v>4</v>
      </c>
      <c r="H32" s="36"/>
      <c r="I32" s="86">
        <v>22</v>
      </c>
      <c r="J32" s="85">
        <v>4</v>
      </c>
      <c r="K32" s="36"/>
      <c r="L32" s="86">
        <v>23</v>
      </c>
      <c r="M32" s="85">
        <v>4</v>
      </c>
      <c r="N32"/>
      <c r="O32" s="56">
        <v>106</v>
      </c>
      <c r="P32" s="83">
        <v>5</v>
      </c>
      <c r="Q32" s="15">
        <v>56.56</v>
      </c>
      <c r="R32" s="57">
        <v>5299</v>
      </c>
      <c r="S32" s="16">
        <v>1.8466631817389789E-2</v>
      </c>
      <c r="T32" s="17">
        <v>127314</v>
      </c>
      <c r="U32" s="16">
        <v>0.4436800836382645</v>
      </c>
      <c r="V32" s="28"/>
      <c r="W32" s="56">
        <v>132</v>
      </c>
      <c r="X32" s="83">
        <v>2</v>
      </c>
      <c r="Y32" s="15">
        <v>92.75</v>
      </c>
      <c r="Z32" s="57">
        <v>1954</v>
      </c>
      <c r="AA32" s="16">
        <v>6.8321917209500736E-3</v>
      </c>
      <c r="AB32" s="17">
        <v>21717</v>
      </c>
      <c r="AC32" s="16">
        <v>7.5933831936475307E-2</v>
      </c>
      <c r="AD32"/>
      <c r="AE32" s="92">
        <v>21</v>
      </c>
      <c r="AF32" s="145"/>
      <c r="AG32" s="147"/>
      <c r="AH32" s="149"/>
      <c r="AI32" s="151"/>
      <c r="AJ32" s="158"/>
      <c r="AK32" s="160"/>
      <c r="AL32" s="158"/>
      <c r="AM32"/>
      <c r="AN32" s="92">
        <v>21</v>
      </c>
      <c r="AO32" s="93">
        <v>50</v>
      </c>
      <c r="AP32" s="98">
        <v>5</v>
      </c>
      <c r="AQ32" s="94">
        <v>56.2</v>
      </c>
      <c r="AR32" s="95">
        <v>509</v>
      </c>
      <c r="AS32" s="96">
        <v>2.2260124201871775E-2</v>
      </c>
      <c r="AT32" s="97">
        <v>10269</v>
      </c>
      <c r="AU32" s="96">
        <v>0.44909472579375492</v>
      </c>
      <c r="AV32"/>
      <c r="AW32" s="92">
        <v>21</v>
      </c>
      <c r="AX32" s="93">
        <v>50</v>
      </c>
      <c r="AY32" s="98">
        <v>5</v>
      </c>
      <c r="AZ32" s="94">
        <v>55.01</v>
      </c>
      <c r="BA32" s="95">
        <v>843</v>
      </c>
      <c r="BB32" s="96">
        <v>3.2570898694073099E-2</v>
      </c>
      <c r="BC32" s="97">
        <v>12065</v>
      </c>
      <c r="BD32" s="96">
        <v>0.46615408391932617</v>
      </c>
      <c r="BE32"/>
      <c r="BF32" s="92">
        <v>21</v>
      </c>
      <c r="BG32" s="93">
        <v>48</v>
      </c>
      <c r="BH32" s="98">
        <v>5</v>
      </c>
      <c r="BI32" s="94">
        <v>46.22</v>
      </c>
      <c r="BJ32" s="95">
        <v>1227</v>
      </c>
      <c r="BK32" s="96">
        <v>3.1687412840245857E-2</v>
      </c>
      <c r="BL32" s="97">
        <v>21439</v>
      </c>
      <c r="BM32" s="96">
        <v>0.55366458344093794</v>
      </c>
      <c r="BN32"/>
      <c r="BO32" s="92">
        <v>21</v>
      </c>
      <c r="BP32" s="93">
        <v>47</v>
      </c>
      <c r="BQ32" s="98">
        <v>5</v>
      </c>
      <c r="BR32" s="94">
        <v>43.57</v>
      </c>
      <c r="BS32" s="95">
        <v>1729</v>
      </c>
      <c r="BT32" s="96">
        <v>3.6034346213163267E-2</v>
      </c>
      <c r="BU32" s="97">
        <v>27941</v>
      </c>
      <c r="BV32" s="96">
        <v>0.58232253761827357</v>
      </c>
      <c r="BW32"/>
      <c r="BX32" s="92">
        <v>21</v>
      </c>
      <c r="BY32" s="93">
        <v>48</v>
      </c>
      <c r="BZ32" s="98">
        <v>5</v>
      </c>
      <c r="CA32" s="94">
        <v>46.78</v>
      </c>
      <c r="CB32" s="95">
        <v>2496</v>
      </c>
      <c r="CC32" s="96">
        <v>2.984896138529795E-2</v>
      </c>
      <c r="CD32" s="97">
        <v>45749</v>
      </c>
      <c r="CE32" s="96">
        <v>0.54709941282692143</v>
      </c>
      <c r="CF32"/>
      <c r="CG32" s="99">
        <v>21</v>
      </c>
      <c r="CH32" s="100">
        <v>50</v>
      </c>
      <c r="CI32" s="101">
        <v>4</v>
      </c>
      <c r="CJ32" s="102">
        <v>58.59</v>
      </c>
      <c r="CK32" s="103">
        <v>2449</v>
      </c>
      <c r="CL32" s="104">
        <v>3.2920206473814391E-2</v>
      </c>
      <c r="CM32" s="105">
        <v>32031</v>
      </c>
      <c r="CN32" s="104">
        <v>0.43057049145069365</v>
      </c>
      <c r="CO32"/>
      <c r="CP32"/>
      <c r="CQ32"/>
      <c r="CR32"/>
      <c r="CS32"/>
      <c r="CT32"/>
      <c r="CU32"/>
      <c r="CV32"/>
      <c r="CW32"/>
      <c r="CX32"/>
      <c r="CY32"/>
    </row>
    <row r="33" spans="1:103" ht="16" customHeight="1" x14ac:dyDescent="0.2">
      <c r="A33"/>
      <c r="B33"/>
      <c r="C33"/>
      <c r="D33"/>
      <c r="E33"/>
      <c r="F33" s="86">
        <v>23</v>
      </c>
      <c r="G33" s="85">
        <v>5</v>
      </c>
      <c r="H33" s="36"/>
      <c r="I33" s="86">
        <v>15</v>
      </c>
      <c r="J33" s="85">
        <v>5</v>
      </c>
      <c r="K33" s="36"/>
      <c r="L33" s="86">
        <v>17</v>
      </c>
      <c r="M33" s="85">
        <v>5</v>
      </c>
      <c r="N33"/>
      <c r="O33" s="56">
        <v>105</v>
      </c>
      <c r="P33" s="83">
        <v>5</v>
      </c>
      <c r="Q33" s="15">
        <v>54.79</v>
      </c>
      <c r="R33" s="57">
        <v>4852</v>
      </c>
      <c r="S33" s="16">
        <v>1.6908869140965326E-2</v>
      </c>
      <c r="T33" s="17">
        <v>132166</v>
      </c>
      <c r="U33" s="16">
        <v>0.46058895277922984</v>
      </c>
      <c r="V33" s="28"/>
      <c r="W33" s="56">
        <v>131</v>
      </c>
      <c r="X33" s="83">
        <v>2</v>
      </c>
      <c r="Y33" s="15">
        <v>91.84</v>
      </c>
      <c r="Z33" s="57">
        <v>3269</v>
      </c>
      <c r="AA33" s="16">
        <v>1.1430109895489145E-2</v>
      </c>
      <c r="AB33" s="17">
        <v>24986</v>
      </c>
      <c r="AC33" s="16">
        <v>8.7363941831964442E-2</v>
      </c>
      <c r="AD33"/>
      <c r="AE33" s="92">
        <v>20</v>
      </c>
      <c r="AF33" s="93">
        <v>45</v>
      </c>
      <c r="AG33" s="98">
        <v>6</v>
      </c>
      <c r="AH33" s="94">
        <v>33.54</v>
      </c>
      <c r="AI33" s="95">
        <v>2078</v>
      </c>
      <c r="AJ33" s="96">
        <v>2.162263404888505E-2</v>
      </c>
      <c r="AK33" s="97">
        <v>64911</v>
      </c>
      <c r="AL33" s="96">
        <v>0.67543156821327122</v>
      </c>
      <c r="AM33"/>
      <c r="AN33" s="92">
        <v>20</v>
      </c>
      <c r="AO33" s="93">
        <v>49</v>
      </c>
      <c r="AP33" s="98">
        <v>5</v>
      </c>
      <c r="AQ33" s="94">
        <v>53.9</v>
      </c>
      <c r="AR33" s="95">
        <v>543</v>
      </c>
      <c r="AS33" s="96">
        <v>2.3747048018892679E-2</v>
      </c>
      <c r="AT33" s="97">
        <v>10812</v>
      </c>
      <c r="AU33" s="96">
        <v>0.47284177381264758</v>
      </c>
      <c r="AV33"/>
      <c r="AW33" s="92">
        <v>20</v>
      </c>
      <c r="AX33" s="93">
        <v>49</v>
      </c>
      <c r="AY33" s="98">
        <v>5</v>
      </c>
      <c r="AZ33" s="94">
        <v>51.8</v>
      </c>
      <c r="BA33" s="95">
        <v>821</v>
      </c>
      <c r="BB33" s="96">
        <v>3.1720887103005947E-2</v>
      </c>
      <c r="BC33" s="97">
        <v>12886</v>
      </c>
      <c r="BD33" s="96">
        <v>0.49787497102233214</v>
      </c>
      <c r="BE33"/>
      <c r="BF33" s="92">
        <v>20</v>
      </c>
      <c r="BG33" s="93">
        <v>47</v>
      </c>
      <c r="BH33" s="98">
        <v>5</v>
      </c>
      <c r="BI33" s="94">
        <v>42.84</v>
      </c>
      <c r="BJ33" s="95">
        <v>1390</v>
      </c>
      <c r="BK33" s="96">
        <v>3.5896906151541758E-2</v>
      </c>
      <c r="BL33" s="97">
        <v>22829</v>
      </c>
      <c r="BM33" s="96">
        <v>0.58956148959247978</v>
      </c>
      <c r="BN33"/>
      <c r="BO33" s="99">
        <v>20</v>
      </c>
      <c r="BP33" s="100">
        <v>46</v>
      </c>
      <c r="BQ33" s="101">
        <v>5</v>
      </c>
      <c r="BR33" s="102">
        <v>40.04</v>
      </c>
      <c r="BS33" s="103">
        <v>1662</v>
      </c>
      <c r="BT33" s="104">
        <v>3.4637989245967241E-2</v>
      </c>
      <c r="BU33" s="105">
        <v>29603</v>
      </c>
      <c r="BV33" s="104">
        <v>0.61696052686424074</v>
      </c>
      <c r="BW33"/>
      <c r="BX33" s="92">
        <v>20</v>
      </c>
      <c r="BY33" s="93">
        <v>47</v>
      </c>
      <c r="BZ33" s="98">
        <v>5</v>
      </c>
      <c r="CA33" s="94">
        <v>43.63</v>
      </c>
      <c r="CB33" s="95">
        <v>2781</v>
      </c>
      <c r="CC33" s="96">
        <v>3.3257196158859616E-2</v>
      </c>
      <c r="CD33" s="97">
        <v>48530</v>
      </c>
      <c r="CE33" s="96">
        <v>0.58035660898578112</v>
      </c>
      <c r="CF33"/>
      <c r="CG33" s="92">
        <v>20</v>
      </c>
      <c r="CH33" s="93">
        <v>49</v>
      </c>
      <c r="CI33" s="98">
        <v>5</v>
      </c>
      <c r="CJ33" s="94">
        <v>55.27</v>
      </c>
      <c r="CK33" s="95">
        <v>2494</v>
      </c>
      <c r="CL33" s="96">
        <v>3.3525110226906116E-2</v>
      </c>
      <c r="CM33" s="97">
        <v>34525</v>
      </c>
      <c r="CN33" s="96">
        <v>0.46409560167759972</v>
      </c>
      <c r="CO33"/>
      <c r="CP33"/>
      <c r="CQ33"/>
      <c r="CR33"/>
      <c r="CS33"/>
      <c r="CT33"/>
      <c r="CU33"/>
      <c r="CV33"/>
      <c r="CW33"/>
      <c r="CX33"/>
      <c r="CY33"/>
    </row>
    <row r="34" spans="1:103" ht="16" customHeight="1" x14ac:dyDescent="0.2">
      <c r="A34"/>
      <c r="B34"/>
      <c r="C34"/>
      <c r="D34"/>
      <c r="E34"/>
      <c r="F34" s="86">
        <v>14</v>
      </c>
      <c r="G34" s="85">
        <v>6</v>
      </c>
      <c r="H34" s="36"/>
      <c r="I34" s="86">
        <v>11</v>
      </c>
      <c r="J34" s="85">
        <v>6</v>
      </c>
      <c r="K34" s="36"/>
      <c r="L34" s="86">
        <v>12</v>
      </c>
      <c r="M34" s="85">
        <v>6</v>
      </c>
      <c r="N34"/>
      <c r="O34" s="56">
        <v>104</v>
      </c>
      <c r="P34" s="83">
        <v>5</v>
      </c>
      <c r="Q34" s="15">
        <v>53.1</v>
      </c>
      <c r="R34" s="57">
        <v>4824</v>
      </c>
      <c r="S34" s="16">
        <v>1.6811291165708311E-2</v>
      </c>
      <c r="T34" s="17">
        <v>136990</v>
      </c>
      <c r="U34" s="16">
        <v>0.47740024394493813</v>
      </c>
      <c r="V34" s="28"/>
      <c r="W34" s="56">
        <v>130</v>
      </c>
      <c r="X34" s="83">
        <v>2</v>
      </c>
      <c r="Y34" s="15">
        <v>90.72</v>
      </c>
      <c r="Z34" s="57">
        <v>3116</v>
      </c>
      <c r="AA34" s="16">
        <v>1.0895142990010454E-2</v>
      </c>
      <c r="AB34" s="17">
        <v>28102</v>
      </c>
      <c r="AC34" s="16">
        <v>9.8259084821974901E-2</v>
      </c>
      <c r="AD34"/>
      <c r="AE34" s="92">
        <v>19</v>
      </c>
      <c r="AF34" s="93">
        <v>44</v>
      </c>
      <c r="AG34" s="98">
        <v>6</v>
      </c>
      <c r="AH34" s="94">
        <v>31.38</v>
      </c>
      <c r="AI34" s="95">
        <v>2068</v>
      </c>
      <c r="AJ34" s="96">
        <v>2.1518579024588202E-2</v>
      </c>
      <c r="AK34" s="97">
        <v>66979</v>
      </c>
      <c r="AL34" s="96">
        <v>0.69695014723785942</v>
      </c>
      <c r="AM34"/>
      <c r="AN34" s="92">
        <v>19</v>
      </c>
      <c r="AO34" s="93">
        <v>48</v>
      </c>
      <c r="AP34" s="98">
        <v>5</v>
      </c>
      <c r="AQ34" s="94">
        <v>51.36</v>
      </c>
      <c r="AR34" s="95">
        <v>619</v>
      </c>
      <c r="AS34" s="96">
        <v>2.7070760080468818E-2</v>
      </c>
      <c r="AT34" s="97">
        <v>11431</v>
      </c>
      <c r="AU34" s="96">
        <v>0.49991253389311641</v>
      </c>
      <c r="AV34"/>
      <c r="AW34" s="92">
        <v>19</v>
      </c>
      <c r="AX34" s="93">
        <v>48</v>
      </c>
      <c r="AY34" s="98">
        <v>5</v>
      </c>
      <c r="AZ34" s="94">
        <v>48.36</v>
      </c>
      <c r="BA34" s="95">
        <v>961</v>
      </c>
      <c r="BB34" s="96">
        <v>3.7130051773433273E-2</v>
      </c>
      <c r="BC34" s="97">
        <v>13847</v>
      </c>
      <c r="BD34" s="96">
        <v>0.53500502279576545</v>
      </c>
      <c r="BE34"/>
      <c r="BF34" s="99">
        <v>19</v>
      </c>
      <c r="BG34" s="100">
        <v>46</v>
      </c>
      <c r="BH34" s="101">
        <v>5</v>
      </c>
      <c r="BI34" s="102">
        <v>39.29</v>
      </c>
      <c r="BJ34" s="103">
        <v>1360</v>
      </c>
      <c r="BK34" s="104">
        <v>3.5122152781364602E-2</v>
      </c>
      <c r="BL34" s="105">
        <v>24189</v>
      </c>
      <c r="BM34" s="104">
        <v>0.62468364237384433</v>
      </c>
      <c r="BN34"/>
      <c r="BO34" s="92">
        <v>19</v>
      </c>
      <c r="BP34" s="93">
        <v>45</v>
      </c>
      <c r="BQ34" s="98">
        <v>6</v>
      </c>
      <c r="BR34" s="94">
        <v>36.619999999999997</v>
      </c>
      <c r="BS34" s="95">
        <v>1612</v>
      </c>
      <c r="BT34" s="96">
        <v>3.3595931807761242E-2</v>
      </c>
      <c r="BU34" s="97">
        <v>31215</v>
      </c>
      <c r="BV34" s="96">
        <v>0.65055645867200196</v>
      </c>
      <c r="BW34"/>
      <c r="BX34" s="99">
        <v>19</v>
      </c>
      <c r="BY34" s="100">
        <v>46</v>
      </c>
      <c r="BZ34" s="101">
        <v>5</v>
      </c>
      <c r="CA34" s="102">
        <v>40.24</v>
      </c>
      <c r="CB34" s="103">
        <v>2886</v>
      </c>
      <c r="CC34" s="104">
        <v>3.4512861601750759E-2</v>
      </c>
      <c r="CD34" s="105">
        <v>51416</v>
      </c>
      <c r="CE34" s="104">
        <v>0.61486947058753183</v>
      </c>
      <c r="CF34"/>
      <c r="CG34" s="92">
        <v>19</v>
      </c>
      <c r="CH34" s="93">
        <v>48</v>
      </c>
      <c r="CI34" s="98">
        <v>5</v>
      </c>
      <c r="CJ34" s="94">
        <v>51.7</v>
      </c>
      <c r="CK34" s="95">
        <v>2820</v>
      </c>
      <c r="CL34" s="96">
        <v>3.7907301860415098E-2</v>
      </c>
      <c r="CM34" s="97">
        <v>37345</v>
      </c>
      <c r="CN34" s="96">
        <v>0.5020029035380148</v>
      </c>
      <c r="CO34"/>
      <c r="CP34"/>
      <c r="CQ34"/>
      <c r="CR34"/>
      <c r="CS34"/>
      <c r="CT34"/>
      <c r="CU34"/>
      <c r="CV34"/>
      <c r="CW34"/>
      <c r="CX34"/>
      <c r="CY34"/>
    </row>
    <row r="35" spans="1:103" ht="16" customHeight="1" x14ac:dyDescent="0.2">
      <c r="A35"/>
      <c r="B35"/>
      <c r="C35"/>
      <c r="D35"/>
      <c r="E35"/>
      <c r="F35" s="86">
        <v>10</v>
      </c>
      <c r="G35" s="85">
        <v>7</v>
      </c>
      <c r="H35" s="36"/>
      <c r="I35" s="86">
        <v>9</v>
      </c>
      <c r="J35" s="85">
        <v>7</v>
      </c>
      <c r="K35" s="36"/>
      <c r="L35" s="86">
        <v>8</v>
      </c>
      <c r="M35" s="85">
        <v>7</v>
      </c>
      <c r="N35"/>
      <c r="O35" s="56">
        <v>103</v>
      </c>
      <c r="P35" s="83">
        <v>5</v>
      </c>
      <c r="Q35" s="15">
        <v>51.37</v>
      </c>
      <c r="R35" s="57">
        <v>5099</v>
      </c>
      <c r="S35" s="16">
        <v>1.7769646279839693E-2</v>
      </c>
      <c r="T35" s="17">
        <v>142089</v>
      </c>
      <c r="U35" s="16">
        <v>0.49516989022477781</v>
      </c>
      <c r="V35" s="28"/>
      <c r="W35" s="56">
        <v>129</v>
      </c>
      <c r="X35" s="83">
        <v>2</v>
      </c>
      <c r="Y35" s="15">
        <v>89.85</v>
      </c>
      <c r="Z35" s="57">
        <v>1841</v>
      </c>
      <c r="AA35" s="16">
        <v>6.4370854443547001E-3</v>
      </c>
      <c r="AB35" s="17">
        <v>29943</v>
      </c>
      <c r="AC35" s="16">
        <v>0.1046961702663296</v>
      </c>
      <c r="AD35"/>
      <c r="AE35" s="92">
        <v>18</v>
      </c>
      <c r="AF35" s="93">
        <v>43</v>
      </c>
      <c r="AG35" s="98">
        <v>6</v>
      </c>
      <c r="AH35" s="94">
        <v>29.24</v>
      </c>
      <c r="AI35" s="95">
        <v>2044</v>
      </c>
      <c r="AJ35" s="96">
        <v>2.1268846966275765E-2</v>
      </c>
      <c r="AK35" s="97">
        <v>69023</v>
      </c>
      <c r="AL35" s="96">
        <v>0.71821899420413515</v>
      </c>
      <c r="AM35"/>
      <c r="AN35" s="92">
        <v>18</v>
      </c>
      <c r="AO35" s="93">
        <v>47</v>
      </c>
      <c r="AP35" s="98">
        <v>5</v>
      </c>
      <c r="AQ35" s="94">
        <v>48.76</v>
      </c>
      <c r="AR35" s="95">
        <v>569</v>
      </c>
      <c r="AS35" s="96">
        <v>2.4884107408379253E-2</v>
      </c>
      <c r="AT35" s="97">
        <v>12000</v>
      </c>
      <c r="AU35" s="96">
        <v>0.52479664130149573</v>
      </c>
      <c r="AV35"/>
      <c r="AW35" s="92">
        <v>18</v>
      </c>
      <c r="AX35" s="93">
        <v>47</v>
      </c>
      <c r="AY35" s="98">
        <v>5</v>
      </c>
      <c r="AZ35" s="94">
        <v>44.88</v>
      </c>
      <c r="BA35" s="95">
        <v>838</v>
      </c>
      <c r="BB35" s="96">
        <v>3.2377714241557838E-2</v>
      </c>
      <c r="BC35" s="97">
        <v>14685</v>
      </c>
      <c r="BD35" s="96">
        <v>0.56738273703732323</v>
      </c>
      <c r="BE35"/>
      <c r="BF35" s="92">
        <v>18</v>
      </c>
      <c r="BG35" s="93">
        <v>45</v>
      </c>
      <c r="BH35" s="98">
        <v>6</v>
      </c>
      <c r="BI35" s="94">
        <v>35.99</v>
      </c>
      <c r="BJ35" s="95">
        <v>1192</v>
      </c>
      <c r="BK35" s="96">
        <v>3.0783533908372501E-2</v>
      </c>
      <c r="BL35" s="97">
        <v>25381</v>
      </c>
      <c r="BM35" s="96">
        <v>0.65546717628221685</v>
      </c>
      <c r="BN35"/>
      <c r="BO35" s="92">
        <v>18</v>
      </c>
      <c r="BP35" s="93">
        <v>44</v>
      </c>
      <c r="BQ35" s="98">
        <v>6</v>
      </c>
      <c r="BR35" s="94">
        <v>33.07</v>
      </c>
      <c r="BS35" s="95">
        <v>1802</v>
      </c>
      <c r="BT35" s="96">
        <v>3.7555750072944018E-2</v>
      </c>
      <c r="BU35" s="97">
        <v>33017</v>
      </c>
      <c r="BV35" s="96">
        <v>0.68811220874494605</v>
      </c>
      <c r="BW35"/>
      <c r="BX35" s="92">
        <v>18</v>
      </c>
      <c r="BY35" s="93">
        <v>45</v>
      </c>
      <c r="BZ35" s="98">
        <v>6</v>
      </c>
      <c r="CA35" s="94">
        <v>36.92</v>
      </c>
      <c r="CB35" s="95">
        <v>2657</v>
      </c>
      <c r="CC35" s="96">
        <v>3.17743150643977E-2</v>
      </c>
      <c r="CD35" s="97">
        <v>54073</v>
      </c>
      <c r="CE35" s="96">
        <v>0.64664378565192959</v>
      </c>
      <c r="CF35"/>
      <c r="CG35" s="92">
        <v>18</v>
      </c>
      <c r="CH35" s="144">
        <v>47</v>
      </c>
      <c r="CI35" s="146">
        <v>5</v>
      </c>
      <c r="CJ35" s="148">
        <v>45.94</v>
      </c>
      <c r="CK35" s="150">
        <v>5743</v>
      </c>
      <c r="CL35" s="157">
        <v>7.7199161200129041E-2</v>
      </c>
      <c r="CM35" s="159">
        <v>43088</v>
      </c>
      <c r="CN35" s="157">
        <v>0.57920206473814384</v>
      </c>
      <c r="CO35"/>
      <c r="CP35"/>
      <c r="CQ35"/>
      <c r="CR35"/>
      <c r="CS35"/>
      <c r="CT35"/>
      <c r="CU35"/>
      <c r="CV35"/>
      <c r="CW35"/>
      <c r="CX35"/>
      <c r="CY35"/>
    </row>
    <row r="36" spans="1:103" ht="16" customHeight="1" x14ac:dyDescent="0.2">
      <c r="A36"/>
      <c r="B36"/>
      <c r="C36"/>
      <c r="D36"/>
      <c r="E36"/>
      <c r="F36" s="86">
        <v>7</v>
      </c>
      <c r="G36" s="85">
        <v>8</v>
      </c>
      <c r="H36" s="36"/>
      <c r="I36" s="86">
        <v>5</v>
      </c>
      <c r="J36" s="85">
        <v>8</v>
      </c>
      <c r="K36" s="36"/>
      <c r="L36" s="86">
        <v>7</v>
      </c>
      <c r="M36" s="85">
        <v>8</v>
      </c>
      <c r="N36"/>
      <c r="O36" s="56">
        <v>102</v>
      </c>
      <c r="P36" s="83">
        <v>5</v>
      </c>
      <c r="Q36" s="15">
        <v>49.58</v>
      </c>
      <c r="R36" s="57">
        <v>5174</v>
      </c>
      <c r="S36" s="16">
        <v>1.803101585642098E-2</v>
      </c>
      <c r="T36" s="17">
        <v>147263</v>
      </c>
      <c r="U36" s="16">
        <v>0.51320090608119884</v>
      </c>
      <c r="V36" s="28"/>
      <c r="W36" s="60">
        <v>128</v>
      </c>
      <c r="X36" s="84">
        <v>2</v>
      </c>
      <c r="Y36" s="33">
        <v>88.79</v>
      </c>
      <c r="Z36" s="61">
        <v>4232</v>
      </c>
      <c r="AA36" s="34">
        <v>1.4797254535855021E-2</v>
      </c>
      <c r="AB36" s="35">
        <v>34175</v>
      </c>
      <c r="AC36" s="34">
        <v>0.11949342480218463</v>
      </c>
      <c r="AD36"/>
      <c r="AE36" s="92">
        <v>17</v>
      </c>
      <c r="AF36" s="93">
        <v>42</v>
      </c>
      <c r="AG36" s="98">
        <v>6</v>
      </c>
      <c r="AH36" s="94">
        <v>27.08</v>
      </c>
      <c r="AI36" s="95">
        <v>2119</v>
      </c>
      <c r="AJ36" s="96">
        <v>2.2049259648502129E-2</v>
      </c>
      <c r="AK36" s="97">
        <v>71142</v>
      </c>
      <c r="AL36" s="96">
        <v>0.74026825385263728</v>
      </c>
      <c r="AM36"/>
      <c r="AN36" s="92">
        <v>17</v>
      </c>
      <c r="AO36" s="144">
        <v>46</v>
      </c>
      <c r="AP36" s="146">
        <v>5</v>
      </c>
      <c r="AQ36" s="148">
        <v>44.69</v>
      </c>
      <c r="AR36" s="150">
        <v>1296</v>
      </c>
      <c r="AS36" s="157">
        <v>5.6678037260561531E-2</v>
      </c>
      <c r="AT36" s="159">
        <v>13296</v>
      </c>
      <c r="AU36" s="157">
        <v>0.58147467856205726</v>
      </c>
      <c r="AV36"/>
      <c r="AW36" s="99">
        <v>17</v>
      </c>
      <c r="AX36" s="100">
        <v>46</v>
      </c>
      <c r="AY36" s="101">
        <v>5</v>
      </c>
      <c r="AZ36" s="102">
        <v>41.56</v>
      </c>
      <c r="BA36" s="103">
        <v>881</v>
      </c>
      <c r="BB36" s="104">
        <v>3.4039100533189086E-2</v>
      </c>
      <c r="BC36" s="105">
        <v>15566</v>
      </c>
      <c r="BD36" s="104">
        <v>0.60142183757051237</v>
      </c>
      <c r="BE36"/>
      <c r="BF36" s="92">
        <v>17</v>
      </c>
      <c r="BG36" s="93">
        <v>44</v>
      </c>
      <c r="BH36" s="98">
        <v>6</v>
      </c>
      <c r="BI36" s="94">
        <v>32.520000000000003</v>
      </c>
      <c r="BJ36" s="95">
        <v>1495</v>
      </c>
      <c r="BK36" s="96">
        <v>3.8608542947161817E-2</v>
      </c>
      <c r="BL36" s="97">
        <v>26876</v>
      </c>
      <c r="BM36" s="96">
        <v>0.69407571922937861</v>
      </c>
      <c r="BN36"/>
      <c r="BO36" s="92">
        <v>17</v>
      </c>
      <c r="BP36" s="93">
        <v>43</v>
      </c>
      <c r="BQ36" s="98">
        <v>6</v>
      </c>
      <c r="BR36" s="94">
        <v>29.58</v>
      </c>
      <c r="BS36" s="95">
        <v>1545</v>
      </c>
      <c r="BT36" s="96">
        <v>3.2199574840565209E-2</v>
      </c>
      <c r="BU36" s="97">
        <v>34562</v>
      </c>
      <c r="BV36" s="96">
        <v>0.72031178358551118</v>
      </c>
      <c r="BW36"/>
      <c r="BX36" s="92">
        <v>17</v>
      </c>
      <c r="BY36" s="93">
        <v>44</v>
      </c>
      <c r="BZ36" s="98">
        <v>6</v>
      </c>
      <c r="CA36" s="94">
        <v>33.42</v>
      </c>
      <c r="CB36" s="95">
        <v>3210</v>
      </c>
      <c r="CC36" s="96">
        <v>3.8387486396957701E-2</v>
      </c>
      <c r="CD36" s="97">
        <v>57283</v>
      </c>
      <c r="CE36" s="96">
        <v>0.68503127204888725</v>
      </c>
      <c r="CF36"/>
      <c r="CG36" s="92">
        <v>17</v>
      </c>
      <c r="CH36" s="145"/>
      <c r="CI36" s="147"/>
      <c r="CJ36" s="149"/>
      <c r="CK36" s="151"/>
      <c r="CL36" s="158"/>
      <c r="CM36" s="160"/>
      <c r="CN36" s="158"/>
      <c r="CO36"/>
      <c r="CP36"/>
      <c r="CQ36"/>
      <c r="CR36"/>
      <c r="CS36"/>
      <c r="CT36"/>
      <c r="CU36"/>
      <c r="CV36"/>
      <c r="CW36"/>
      <c r="CX36"/>
      <c r="CY36"/>
    </row>
    <row r="37" spans="1:103" ht="16" customHeight="1" x14ac:dyDescent="0.2">
      <c r="A37"/>
      <c r="B37"/>
      <c r="C37"/>
      <c r="D37"/>
      <c r="E37"/>
      <c r="F37" s="86">
        <v>0</v>
      </c>
      <c r="G37" s="85">
        <v>9</v>
      </c>
      <c r="H37" s="36"/>
      <c r="I37" s="86">
        <v>0</v>
      </c>
      <c r="J37" s="85">
        <v>9</v>
      </c>
      <c r="K37" s="36"/>
      <c r="L37" s="86">
        <v>0</v>
      </c>
      <c r="M37" s="85">
        <v>9</v>
      </c>
      <c r="N37"/>
      <c r="O37" s="56">
        <v>101</v>
      </c>
      <c r="P37" s="83">
        <v>5</v>
      </c>
      <c r="Q37" s="15">
        <v>47.91</v>
      </c>
      <c r="R37" s="57">
        <v>4439</v>
      </c>
      <c r="S37" s="16">
        <v>1.5469594005924377E-2</v>
      </c>
      <c r="T37" s="17">
        <v>151702</v>
      </c>
      <c r="U37" s="16">
        <v>0.52867050008712324</v>
      </c>
      <c r="V37" s="28"/>
      <c r="W37" s="56">
        <v>127</v>
      </c>
      <c r="X37" s="83">
        <v>3</v>
      </c>
      <c r="Y37" s="15">
        <v>87.43</v>
      </c>
      <c r="Z37" s="57">
        <v>3565</v>
      </c>
      <c r="AA37" s="16">
        <v>1.2465078549225697E-2</v>
      </c>
      <c r="AB37" s="17">
        <v>37740</v>
      </c>
      <c r="AC37" s="16">
        <v>0.13195850335141032</v>
      </c>
      <c r="AD37"/>
      <c r="AE37" s="92">
        <v>16</v>
      </c>
      <c r="AF37" s="93">
        <v>41</v>
      </c>
      <c r="AG37" s="98">
        <v>6</v>
      </c>
      <c r="AH37" s="94">
        <v>24.84</v>
      </c>
      <c r="AI37" s="95">
        <v>2176</v>
      </c>
      <c r="AJ37" s="96">
        <v>2.2642373286994161E-2</v>
      </c>
      <c r="AK37" s="97">
        <v>73318</v>
      </c>
      <c r="AL37" s="96">
        <v>0.76291062713963143</v>
      </c>
      <c r="AM37"/>
      <c r="AN37" s="92">
        <v>16</v>
      </c>
      <c r="AO37" s="145"/>
      <c r="AP37" s="147"/>
      <c r="AQ37" s="149"/>
      <c r="AR37" s="151"/>
      <c r="AS37" s="158"/>
      <c r="AT37" s="160"/>
      <c r="AU37" s="158"/>
      <c r="AV37"/>
      <c r="AW37" s="92">
        <v>16</v>
      </c>
      <c r="AX37" s="93">
        <v>45</v>
      </c>
      <c r="AY37" s="98">
        <v>6</v>
      </c>
      <c r="AZ37" s="94">
        <v>38.21</v>
      </c>
      <c r="BA37" s="95">
        <v>855</v>
      </c>
      <c r="BB37" s="96">
        <v>3.3034541380109729E-2</v>
      </c>
      <c r="BC37" s="97">
        <v>16421</v>
      </c>
      <c r="BD37" s="96">
        <v>0.63445637895062201</v>
      </c>
      <c r="BE37"/>
      <c r="BF37" s="92">
        <v>16</v>
      </c>
      <c r="BG37" s="93">
        <v>43</v>
      </c>
      <c r="BH37" s="98">
        <v>6</v>
      </c>
      <c r="BI37" s="94">
        <v>29.04</v>
      </c>
      <c r="BJ37" s="95">
        <v>1204</v>
      </c>
      <c r="BK37" s="96">
        <v>3.1093435256443366E-2</v>
      </c>
      <c r="BL37" s="97">
        <v>28080</v>
      </c>
      <c r="BM37" s="96">
        <v>0.72516915448582198</v>
      </c>
      <c r="BN37"/>
      <c r="BO37" s="92">
        <v>16</v>
      </c>
      <c r="BP37" s="93">
        <v>42</v>
      </c>
      <c r="BQ37" s="98">
        <v>6</v>
      </c>
      <c r="BR37" s="94">
        <v>26.18</v>
      </c>
      <c r="BS37" s="95">
        <v>1718</v>
      </c>
      <c r="BT37" s="96">
        <v>3.580509357675795E-2</v>
      </c>
      <c r="BU37" s="97">
        <v>36280</v>
      </c>
      <c r="BV37" s="96">
        <v>0.75611687716226916</v>
      </c>
      <c r="BW37"/>
      <c r="BX37" s="92">
        <v>16</v>
      </c>
      <c r="BY37" s="93">
        <v>43</v>
      </c>
      <c r="BZ37" s="98">
        <v>6</v>
      </c>
      <c r="CA37" s="94">
        <v>29.93</v>
      </c>
      <c r="CB37" s="95">
        <v>2627</v>
      </c>
      <c r="CC37" s="96">
        <v>3.1415553509285946E-2</v>
      </c>
      <c r="CD37" s="97">
        <v>59910</v>
      </c>
      <c r="CE37" s="96">
        <v>0.71644682555817318</v>
      </c>
      <c r="CF37"/>
      <c r="CG37" s="99">
        <v>16</v>
      </c>
      <c r="CH37" s="100">
        <v>46</v>
      </c>
      <c r="CI37" s="101">
        <v>5</v>
      </c>
      <c r="CJ37" s="102">
        <v>40.119999999999997</v>
      </c>
      <c r="CK37" s="103">
        <v>2913</v>
      </c>
      <c r="CL37" s="104">
        <v>3.915743628347134E-2</v>
      </c>
      <c r="CM37" s="105">
        <v>46001</v>
      </c>
      <c r="CN37" s="104">
        <v>0.61835950102161519</v>
      </c>
      <c r="CO37"/>
      <c r="CP37"/>
      <c r="CQ37"/>
      <c r="CR37"/>
      <c r="CS37"/>
      <c r="CT37"/>
      <c r="CU37"/>
      <c r="CV37"/>
      <c r="CW37"/>
      <c r="CX37"/>
      <c r="CY37"/>
    </row>
    <row r="38" spans="1:103" ht="16" customHeight="1" x14ac:dyDescent="0.2">
      <c r="A38"/>
      <c r="B38"/>
      <c r="C38"/>
      <c r="D38"/>
      <c r="E38"/>
      <c r="F38" s="1"/>
      <c r="G38" s="1"/>
      <c r="H38" s="1"/>
      <c r="I38" s="1"/>
      <c r="J38" s="1"/>
      <c r="K38" s="1"/>
      <c r="L38" s="1"/>
      <c r="M38" s="1"/>
      <c r="N38"/>
      <c r="O38" s="56">
        <v>100</v>
      </c>
      <c r="P38" s="83">
        <v>5</v>
      </c>
      <c r="Q38" s="15">
        <v>46.33</v>
      </c>
      <c r="R38" s="57">
        <v>4617</v>
      </c>
      <c r="S38" s="16">
        <v>1.6089911134343961E-2</v>
      </c>
      <c r="T38" s="17">
        <v>156319</v>
      </c>
      <c r="U38" s="16">
        <v>0.54476041122146712</v>
      </c>
      <c r="V38" s="28"/>
      <c r="W38" s="56">
        <v>126</v>
      </c>
      <c r="X38" s="83">
        <v>3</v>
      </c>
      <c r="Y38" s="15">
        <v>86.44</v>
      </c>
      <c r="Z38" s="57">
        <v>2092</v>
      </c>
      <c r="AA38" s="16">
        <v>7.3147108905975197E-3</v>
      </c>
      <c r="AB38" s="17">
        <v>39832</v>
      </c>
      <c r="AC38" s="16">
        <v>0.13927321424200784</v>
      </c>
      <c r="AD38"/>
      <c r="AE38" s="92">
        <v>15</v>
      </c>
      <c r="AF38" s="152">
        <v>40</v>
      </c>
      <c r="AG38" s="153">
        <v>6</v>
      </c>
      <c r="AH38" s="154">
        <v>21.56</v>
      </c>
      <c r="AI38" s="155">
        <v>4128</v>
      </c>
      <c r="AJ38" s="161">
        <v>4.2953914029738929E-2</v>
      </c>
      <c r="AK38" s="162">
        <v>77446</v>
      </c>
      <c r="AL38" s="161">
        <v>0.80586454116937034</v>
      </c>
      <c r="AM38"/>
      <c r="AN38" s="99">
        <v>15</v>
      </c>
      <c r="AO38" s="100">
        <v>45</v>
      </c>
      <c r="AP38" s="101">
        <v>5</v>
      </c>
      <c r="AQ38" s="102">
        <v>40.32</v>
      </c>
      <c r="AR38" s="103">
        <v>703</v>
      </c>
      <c r="AS38" s="104">
        <v>3.0744336569579287E-2</v>
      </c>
      <c r="AT38" s="105">
        <v>13999</v>
      </c>
      <c r="AU38" s="104">
        <v>0.61221901513163646</v>
      </c>
      <c r="AV38"/>
      <c r="AW38" s="92">
        <v>15</v>
      </c>
      <c r="AX38" s="93">
        <v>44</v>
      </c>
      <c r="AY38" s="98">
        <v>6</v>
      </c>
      <c r="AZ38" s="94">
        <v>34.799999999999997</v>
      </c>
      <c r="BA38" s="95">
        <v>910</v>
      </c>
      <c r="BB38" s="96">
        <v>3.5159570357777607E-2</v>
      </c>
      <c r="BC38" s="97">
        <v>17331</v>
      </c>
      <c r="BD38" s="96">
        <v>0.66961594930839963</v>
      </c>
      <c r="BE38"/>
      <c r="BF38" s="92">
        <v>15</v>
      </c>
      <c r="BG38" s="93">
        <v>42</v>
      </c>
      <c r="BH38" s="98">
        <v>6</v>
      </c>
      <c r="BI38" s="94">
        <v>25.57</v>
      </c>
      <c r="BJ38" s="95">
        <v>1479</v>
      </c>
      <c r="BK38" s="96">
        <v>3.8195341149734004E-2</v>
      </c>
      <c r="BL38" s="97">
        <v>29559</v>
      </c>
      <c r="BM38" s="96">
        <v>0.76336449563555597</v>
      </c>
      <c r="BN38"/>
      <c r="BO38" s="92">
        <v>15</v>
      </c>
      <c r="BP38" s="152">
        <v>41</v>
      </c>
      <c r="BQ38" s="153">
        <v>6</v>
      </c>
      <c r="BR38" s="154">
        <v>21.28</v>
      </c>
      <c r="BS38" s="155">
        <v>2987</v>
      </c>
      <c r="BT38" s="161">
        <v>6.2252511358426077E-2</v>
      </c>
      <c r="BU38" s="162">
        <v>39267</v>
      </c>
      <c r="BV38" s="161">
        <v>0.8183693885206953</v>
      </c>
      <c r="BW38"/>
      <c r="BX38" s="92">
        <v>15</v>
      </c>
      <c r="BY38" s="93">
        <v>42</v>
      </c>
      <c r="BZ38" s="98">
        <v>6</v>
      </c>
      <c r="CA38" s="94">
        <v>26.55</v>
      </c>
      <c r="CB38" s="95">
        <v>3021</v>
      </c>
      <c r="CC38" s="96">
        <v>3.612728859975365E-2</v>
      </c>
      <c r="CD38" s="97">
        <v>62931</v>
      </c>
      <c r="CE38" s="96">
        <v>0.75257411415792685</v>
      </c>
      <c r="CF38"/>
      <c r="CG38" s="92">
        <v>15</v>
      </c>
      <c r="CH38" s="93">
        <v>45</v>
      </c>
      <c r="CI38" s="98">
        <v>6</v>
      </c>
      <c r="CJ38" s="94">
        <v>36.1</v>
      </c>
      <c r="CK38" s="95">
        <v>3068</v>
      </c>
      <c r="CL38" s="96">
        <v>4.1240993655231747E-2</v>
      </c>
      <c r="CM38" s="97">
        <v>49069</v>
      </c>
      <c r="CN38" s="96">
        <v>0.659600494676847</v>
      </c>
      <c r="CO38"/>
      <c r="CP38"/>
      <c r="CQ38"/>
      <c r="CR38"/>
      <c r="CS38"/>
      <c r="CT38"/>
      <c r="CU38"/>
      <c r="CV38"/>
      <c r="CW38"/>
      <c r="CX38"/>
      <c r="CY38"/>
    </row>
    <row r="39" spans="1:103" ht="16" customHeight="1" thickBot="1" x14ac:dyDescent="0.25">
      <c r="A39"/>
      <c r="B39"/>
      <c r="C39"/>
      <c r="D39"/>
      <c r="E39"/>
      <c r="F39" s="117" t="s">
        <v>21</v>
      </c>
      <c r="G39" s="118"/>
      <c r="H39" s="36"/>
      <c r="I39" s="117" t="s">
        <v>22</v>
      </c>
      <c r="J39" s="118"/>
      <c r="K39" s="36"/>
      <c r="L39" s="117" t="s">
        <v>23</v>
      </c>
      <c r="M39" s="118"/>
      <c r="N39"/>
      <c r="O39" s="56">
        <v>99</v>
      </c>
      <c r="P39" s="83">
        <v>5</v>
      </c>
      <c r="Q39" s="15">
        <v>44.64</v>
      </c>
      <c r="R39" s="57">
        <v>5081</v>
      </c>
      <c r="S39" s="16">
        <v>1.7706917581460185E-2</v>
      </c>
      <c r="T39" s="17">
        <v>161400</v>
      </c>
      <c r="U39" s="16">
        <v>0.56246732880292738</v>
      </c>
      <c r="V39" s="28"/>
      <c r="W39" s="56">
        <v>125</v>
      </c>
      <c r="X39" s="83">
        <v>3</v>
      </c>
      <c r="Y39" s="15">
        <v>85.48</v>
      </c>
      <c r="Z39" s="57">
        <v>3416</v>
      </c>
      <c r="AA39" s="16">
        <v>1.1944097706635338E-2</v>
      </c>
      <c r="AB39" s="17">
        <v>43248</v>
      </c>
      <c r="AC39" s="16">
        <v>0.15121731194864318</v>
      </c>
      <c r="AD39"/>
      <c r="AE39" s="99">
        <v>14</v>
      </c>
      <c r="AF39" s="145"/>
      <c r="AG39" s="147"/>
      <c r="AH39" s="149"/>
      <c r="AI39" s="151"/>
      <c r="AJ39" s="158"/>
      <c r="AK39" s="160"/>
      <c r="AL39" s="158"/>
      <c r="AM39"/>
      <c r="AN39" s="92">
        <v>14</v>
      </c>
      <c r="AO39" s="93">
        <v>44</v>
      </c>
      <c r="AP39" s="98">
        <v>6</v>
      </c>
      <c r="AQ39" s="94">
        <v>37.33</v>
      </c>
      <c r="AR39" s="95">
        <v>662</v>
      </c>
      <c r="AS39" s="96">
        <v>2.8951281378465844E-2</v>
      </c>
      <c r="AT39" s="97">
        <v>14661</v>
      </c>
      <c r="AU39" s="96">
        <v>0.64117029651010238</v>
      </c>
      <c r="AV39"/>
      <c r="AW39" s="92">
        <v>14</v>
      </c>
      <c r="AX39" s="144">
        <v>43</v>
      </c>
      <c r="AY39" s="146">
        <v>6</v>
      </c>
      <c r="AZ39" s="148">
        <v>29.34</v>
      </c>
      <c r="BA39" s="150">
        <v>1915</v>
      </c>
      <c r="BB39" s="157">
        <v>7.3989645313345176E-2</v>
      </c>
      <c r="BC39" s="159">
        <v>19246</v>
      </c>
      <c r="BD39" s="157">
        <v>0.7436055946217448</v>
      </c>
      <c r="BE39"/>
      <c r="BF39" s="99">
        <v>14</v>
      </c>
      <c r="BG39" s="100">
        <v>41</v>
      </c>
      <c r="BH39" s="101">
        <v>6</v>
      </c>
      <c r="BI39" s="102">
        <v>22.05</v>
      </c>
      <c r="BJ39" s="103">
        <v>1253</v>
      </c>
      <c r="BK39" s="104">
        <v>3.2358865761066058E-2</v>
      </c>
      <c r="BL39" s="105">
        <v>30812</v>
      </c>
      <c r="BM39" s="104">
        <v>0.79572336139662203</v>
      </c>
      <c r="BN39"/>
      <c r="BO39" s="99">
        <v>14</v>
      </c>
      <c r="BP39" s="145"/>
      <c r="BQ39" s="147"/>
      <c r="BR39" s="149"/>
      <c r="BS39" s="151"/>
      <c r="BT39" s="158"/>
      <c r="BU39" s="160"/>
      <c r="BV39" s="158"/>
      <c r="BW39"/>
      <c r="BX39" s="99">
        <v>14</v>
      </c>
      <c r="BY39" s="100">
        <v>41</v>
      </c>
      <c r="BZ39" s="101">
        <v>6</v>
      </c>
      <c r="CA39" s="102">
        <v>22.88</v>
      </c>
      <c r="CB39" s="103">
        <v>3112</v>
      </c>
      <c r="CC39" s="104">
        <v>3.7215531983592641E-2</v>
      </c>
      <c r="CD39" s="105">
        <v>66043</v>
      </c>
      <c r="CE39" s="104">
        <v>0.78978964614151947</v>
      </c>
      <c r="CF39"/>
      <c r="CG39" s="92">
        <v>14</v>
      </c>
      <c r="CH39" s="93">
        <v>44</v>
      </c>
      <c r="CI39" s="98">
        <v>6</v>
      </c>
      <c r="CJ39" s="94">
        <v>31.87</v>
      </c>
      <c r="CK39" s="95">
        <v>3234</v>
      </c>
      <c r="CL39" s="96">
        <v>4.3472416388859014E-2</v>
      </c>
      <c r="CM39" s="97">
        <v>52303</v>
      </c>
      <c r="CN39" s="96">
        <v>0.70307291106570602</v>
      </c>
      <c r="CO39"/>
      <c r="CP39"/>
      <c r="CQ39"/>
      <c r="CR39"/>
      <c r="CS39"/>
      <c r="CT39"/>
      <c r="CU39"/>
      <c r="CV39"/>
      <c r="CW39"/>
      <c r="CX39"/>
      <c r="CY39"/>
    </row>
    <row r="40" spans="1:103" ht="16" customHeight="1" x14ac:dyDescent="0.2">
      <c r="A40"/>
      <c r="B40"/>
      <c r="C40"/>
      <c r="D40"/>
      <c r="E40"/>
      <c r="F40" s="30" t="s">
        <v>30</v>
      </c>
      <c r="G40" s="30" t="s">
        <v>14</v>
      </c>
      <c r="H40" s="36"/>
      <c r="I40" s="30" t="s">
        <v>30</v>
      </c>
      <c r="J40" s="30" t="s">
        <v>14</v>
      </c>
      <c r="K40" s="36"/>
      <c r="L40" s="30" t="s">
        <v>30</v>
      </c>
      <c r="M40" s="30" t="s">
        <v>14</v>
      </c>
      <c r="N40"/>
      <c r="O40" s="56">
        <v>98</v>
      </c>
      <c r="P40" s="83">
        <v>5</v>
      </c>
      <c r="Q40" s="15">
        <v>42.99</v>
      </c>
      <c r="R40" s="57">
        <v>4402</v>
      </c>
      <c r="S40" s="16">
        <v>1.5340651681477609E-2</v>
      </c>
      <c r="T40" s="17">
        <v>165802</v>
      </c>
      <c r="U40" s="16">
        <v>0.57780798048440496</v>
      </c>
      <c r="V40" s="28"/>
      <c r="W40" s="56">
        <v>124</v>
      </c>
      <c r="X40" s="83">
        <v>3</v>
      </c>
      <c r="Y40" s="15">
        <v>84.12</v>
      </c>
      <c r="Z40" s="57">
        <v>4333</v>
      </c>
      <c r="AA40" s="16">
        <v>1.5150402623785399E-2</v>
      </c>
      <c r="AB40" s="17">
        <v>47581</v>
      </c>
      <c r="AC40" s="16">
        <v>0.16636771457242858</v>
      </c>
      <c r="AD40"/>
      <c r="AE40" s="92">
        <v>13</v>
      </c>
      <c r="AF40" s="93">
        <v>39</v>
      </c>
      <c r="AG40" s="98">
        <v>7</v>
      </c>
      <c r="AH40" s="94">
        <v>18.28</v>
      </c>
      <c r="AI40" s="95">
        <v>2186</v>
      </c>
      <c r="AJ40" s="96">
        <v>2.2746428311291009E-2</v>
      </c>
      <c r="AK40" s="97">
        <v>79632</v>
      </c>
      <c r="AL40" s="96">
        <v>0.82861096948066137</v>
      </c>
      <c r="AM40"/>
      <c r="AN40" s="92">
        <v>13</v>
      </c>
      <c r="AO40" s="93">
        <v>43</v>
      </c>
      <c r="AP40" s="98">
        <v>6</v>
      </c>
      <c r="AQ40" s="94">
        <v>34.36</v>
      </c>
      <c r="AR40" s="95">
        <v>696</v>
      </c>
      <c r="AS40" s="96">
        <v>3.0438205195486748E-2</v>
      </c>
      <c r="AT40" s="97">
        <v>15357</v>
      </c>
      <c r="AU40" s="96">
        <v>0.67160850170558906</v>
      </c>
      <c r="AV40"/>
      <c r="AW40" s="92">
        <v>13</v>
      </c>
      <c r="AX40" s="145"/>
      <c r="AY40" s="147"/>
      <c r="AZ40" s="149"/>
      <c r="BA40" s="151"/>
      <c r="BB40" s="158"/>
      <c r="BC40" s="160"/>
      <c r="BD40" s="158"/>
      <c r="BE40"/>
      <c r="BF40" s="92">
        <v>13</v>
      </c>
      <c r="BG40" s="93">
        <v>40</v>
      </c>
      <c r="BH40" s="98">
        <v>7</v>
      </c>
      <c r="BI40" s="94">
        <v>17.989999999999998</v>
      </c>
      <c r="BJ40" s="95">
        <v>1888</v>
      </c>
      <c r="BK40" s="96">
        <v>4.8757812096482618E-2</v>
      </c>
      <c r="BL40" s="97">
        <v>32700</v>
      </c>
      <c r="BM40" s="96">
        <v>0.8444811734931047</v>
      </c>
      <c r="BN40"/>
      <c r="BO40" s="92">
        <v>13</v>
      </c>
      <c r="BP40" s="93">
        <v>40</v>
      </c>
      <c r="BQ40" s="98">
        <v>7</v>
      </c>
      <c r="BR40" s="94">
        <v>16.55</v>
      </c>
      <c r="BS40" s="95">
        <v>1545</v>
      </c>
      <c r="BT40" s="96">
        <v>3.2199574840565209E-2</v>
      </c>
      <c r="BU40" s="97">
        <v>40812</v>
      </c>
      <c r="BV40" s="96">
        <v>0.85056896336126042</v>
      </c>
      <c r="BW40"/>
      <c r="BX40" s="92">
        <v>13</v>
      </c>
      <c r="BY40" s="93">
        <v>40</v>
      </c>
      <c r="BZ40" s="98">
        <v>7</v>
      </c>
      <c r="CA40" s="94">
        <v>19.73</v>
      </c>
      <c r="CB40" s="95">
        <v>2158</v>
      </c>
      <c r="CC40" s="96">
        <v>2.5806914531038855E-2</v>
      </c>
      <c r="CD40" s="97">
        <v>68201</v>
      </c>
      <c r="CE40" s="96">
        <v>0.81559656067255837</v>
      </c>
      <c r="CF40"/>
      <c r="CG40" s="92">
        <v>13</v>
      </c>
      <c r="CH40" s="93">
        <v>43</v>
      </c>
      <c r="CI40" s="98">
        <v>6</v>
      </c>
      <c r="CJ40" s="94">
        <v>27.93</v>
      </c>
      <c r="CK40" s="95">
        <v>2623</v>
      </c>
      <c r="CL40" s="96">
        <v>3.5259167652435745E-2</v>
      </c>
      <c r="CM40" s="97">
        <v>54926</v>
      </c>
      <c r="CN40" s="96">
        <v>0.73833207871814177</v>
      </c>
      <c r="CO40"/>
      <c r="CP40"/>
      <c r="CQ40"/>
      <c r="CR40"/>
      <c r="CS40"/>
      <c r="CT40"/>
      <c r="CU40"/>
      <c r="CV40"/>
      <c r="CW40"/>
      <c r="CX40"/>
      <c r="CY40"/>
    </row>
    <row r="41" spans="1:103" ht="16" customHeight="1" x14ac:dyDescent="0.2">
      <c r="A41"/>
      <c r="B41"/>
      <c r="C41"/>
      <c r="D41"/>
      <c r="E41"/>
      <c r="F41" s="86">
        <v>47</v>
      </c>
      <c r="G41" s="85">
        <v>1</v>
      </c>
      <c r="H41" s="36"/>
      <c r="I41" s="86">
        <v>46</v>
      </c>
      <c r="J41" s="85">
        <v>1</v>
      </c>
      <c r="K41" s="36"/>
      <c r="L41" s="86">
        <v>47</v>
      </c>
      <c r="M41" s="85">
        <v>1</v>
      </c>
      <c r="N41"/>
      <c r="O41" s="56">
        <v>97</v>
      </c>
      <c r="P41" s="83">
        <v>5</v>
      </c>
      <c r="Q41" s="15">
        <v>41.42</v>
      </c>
      <c r="R41" s="57">
        <v>4598</v>
      </c>
      <c r="S41" s="16">
        <v>1.6023697508276702E-2</v>
      </c>
      <c r="T41" s="17">
        <v>170400</v>
      </c>
      <c r="U41" s="16">
        <v>0.59383167799268166</v>
      </c>
      <c r="V41" s="28"/>
      <c r="W41" s="56">
        <v>123</v>
      </c>
      <c r="X41" s="83">
        <v>3</v>
      </c>
      <c r="Y41" s="15">
        <v>82.94</v>
      </c>
      <c r="Z41" s="57">
        <v>2409</v>
      </c>
      <c r="AA41" s="16">
        <v>8.4231063744978126E-3</v>
      </c>
      <c r="AB41" s="17">
        <v>49990</v>
      </c>
      <c r="AC41" s="16">
        <v>0.17479082094692638</v>
      </c>
      <c r="AD41"/>
      <c r="AE41" s="92">
        <v>12</v>
      </c>
      <c r="AF41" s="93">
        <v>38</v>
      </c>
      <c r="AG41" s="98">
        <v>7</v>
      </c>
      <c r="AH41" s="94">
        <v>16.13</v>
      </c>
      <c r="AI41" s="95">
        <v>1934</v>
      </c>
      <c r="AJ41" s="96">
        <v>2.0124241699010437E-2</v>
      </c>
      <c r="AK41" s="97">
        <v>81566</v>
      </c>
      <c r="AL41" s="96">
        <v>0.84873521117967177</v>
      </c>
      <c r="AM41"/>
      <c r="AN41" s="92">
        <v>12</v>
      </c>
      <c r="AO41" s="152">
        <v>42</v>
      </c>
      <c r="AP41" s="153">
        <v>6</v>
      </c>
      <c r="AQ41" s="154">
        <v>26.57</v>
      </c>
      <c r="AR41" s="155">
        <v>2869</v>
      </c>
      <c r="AS41" s="161">
        <v>0.12547013032449925</v>
      </c>
      <c r="AT41" s="162">
        <v>18226</v>
      </c>
      <c r="AU41" s="161">
        <v>0.79707863203008833</v>
      </c>
      <c r="AV41"/>
      <c r="AW41" s="99">
        <v>12</v>
      </c>
      <c r="AX41" s="100">
        <v>42</v>
      </c>
      <c r="AY41" s="101">
        <v>6</v>
      </c>
      <c r="AZ41" s="102">
        <v>24.03</v>
      </c>
      <c r="BA41" s="103">
        <v>835</v>
      </c>
      <c r="BB41" s="104">
        <v>3.226180357004868E-2</v>
      </c>
      <c r="BC41" s="105">
        <v>20081</v>
      </c>
      <c r="BD41" s="104">
        <v>0.77586739819179351</v>
      </c>
      <c r="BE41"/>
      <c r="BF41" s="92">
        <v>12</v>
      </c>
      <c r="BG41" s="93">
        <v>39</v>
      </c>
      <c r="BH41" s="98">
        <v>7</v>
      </c>
      <c r="BI41" s="94">
        <v>14.06</v>
      </c>
      <c r="BJ41" s="95">
        <v>1152</v>
      </c>
      <c r="BK41" s="96">
        <v>2.9750529414802954E-2</v>
      </c>
      <c r="BL41" s="97">
        <v>33852</v>
      </c>
      <c r="BM41" s="96">
        <v>0.87423170290790764</v>
      </c>
      <c r="BN41"/>
      <c r="BO41" s="92">
        <v>12</v>
      </c>
      <c r="BP41" s="93">
        <v>39</v>
      </c>
      <c r="BQ41" s="98">
        <v>7</v>
      </c>
      <c r="BR41" s="94">
        <v>13.64</v>
      </c>
      <c r="BS41" s="95">
        <v>1252</v>
      </c>
      <c r="BT41" s="96">
        <v>2.6093118252678089E-2</v>
      </c>
      <c r="BU41" s="97">
        <v>42064</v>
      </c>
      <c r="BV41" s="96">
        <v>0.87666208161393855</v>
      </c>
      <c r="BW41"/>
      <c r="BX41" s="92">
        <v>12</v>
      </c>
      <c r="BY41" s="93">
        <v>39</v>
      </c>
      <c r="BZ41" s="98">
        <v>7</v>
      </c>
      <c r="CA41" s="94">
        <v>16.16</v>
      </c>
      <c r="CB41" s="95">
        <v>3819</v>
      </c>
      <c r="CC41" s="96">
        <v>4.5670345965726312E-2</v>
      </c>
      <c r="CD41" s="97">
        <v>72020</v>
      </c>
      <c r="CE41" s="96">
        <v>0.86126690663828465</v>
      </c>
      <c r="CF41"/>
      <c r="CG41" s="99">
        <v>12</v>
      </c>
      <c r="CH41" s="100">
        <v>42</v>
      </c>
      <c r="CI41" s="101">
        <v>6</v>
      </c>
      <c r="CJ41" s="102">
        <v>22.76</v>
      </c>
      <c r="CK41" s="103">
        <v>5072</v>
      </c>
      <c r="CL41" s="104">
        <v>6.8179374126250136E-2</v>
      </c>
      <c r="CM41" s="105">
        <v>59998</v>
      </c>
      <c r="CN41" s="104">
        <v>0.80651145284439185</v>
      </c>
      <c r="CO41"/>
      <c r="CP41"/>
      <c r="CQ41"/>
      <c r="CR41"/>
      <c r="CS41"/>
      <c r="CT41"/>
      <c r="CU41"/>
      <c r="CV41"/>
      <c r="CW41"/>
      <c r="CX41"/>
      <c r="CY41"/>
    </row>
    <row r="42" spans="1:103" ht="16" customHeight="1" x14ac:dyDescent="0.2">
      <c r="A42"/>
      <c r="B42"/>
      <c r="C42"/>
      <c r="D42"/>
      <c r="E42"/>
      <c r="F42" s="86">
        <v>41</v>
      </c>
      <c r="G42" s="85">
        <v>2</v>
      </c>
      <c r="H42" s="36"/>
      <c r="I42" s="86">
        <v>40</v>
      </c>
      <c r="J42" s="85">
        <v>2</v>
      </c>
      <c r="K42" s="36"/>
      <c r="L42" s="86">
        <v>39</v>
      </c>
      <c r="M42" s="85">
        <v>2</v>
      </c>
      <c r="N42"/>
      <c r="O42" s="60">
        <v>96</v>
      </c>
      <c r="P42" s="84">
        <v>5</v>
      </c>
      <c r="Q42" s="33">
        <v>39.85</v>
      </c>
      <c r="R42" s="61">
        <v>4394</v>
      </c>
      <c r="S42" s="34">
        <v>1.5312772259975606E-2</v>
      </c>
      <c r="T42" s="35">
        <v>174794</v>
      </c>
      <c r="U42" s="34">
        <v>0.60914445025265729</v>
      </c>
      <c r="V42" s="28"/>
      <c r="W42" s="56">
        <v>122</v>
      </c>
      <c r="X42" s="83">
        <v>3</v>
      </c>
      <c r="Y42" s="15">
        <v>81.97</v>
      </c>
      <c r="Z42" s="57">
        <v>3134</v>
      </c>
      <c r="AA42" s="16">
        <v>1.0958080273007948E-2</v>
      </c>
      <c r="AB42" s="17">
        <v>53124</v>
      </c>
      <c r="AC42" s="16">
        <v>0.18574890121993434</v>
      </c>
      <c r="AD42"/>
      <c r="AE42" s="92">
        <v>11</v>
      </c>
      <c r="AF42" s="93">
        <v>37</v>
      </c>
      <c r="AG42" s="98">
        <v>7</v>
      </c>
      <c r="AH42" s="94">
        <v>13.51</v>
      </c>
      <c r="AI42" s="95">
        <v>3103</v>
      </c>
      <c r="AJ42" s="96">
        <v>3.228827403931199E-2</v>
      </c>
      <c r="AK42" s="97">
        <v>84669</v>
      </c>
      <c r="AL42" s="96">
        <v>0.88102348521898377</v>
      </c>
      <c r="AM42"/>
      <c r="AN42" s="99">
        <v>11</v>
      </c>
      <c r="AO42" s="145"/>
      <c r="AP42" s="147"/>
      <c r="AQ42" s="149"/>
      <c r="AR42" s="151"/>
      <c r="AS42" s="158"/>
      <c r="AT42" s="160"/>
      <c r="AU42" s="158"/>
      <c r="AV42"/>
      <c r="AW42" s="92">
        <v>11</v>
      </c>
      <c r="AX42" s="93">
        <v>41</v>
      </c>
      <c r="AY42" s="98">
        <v>7</v>
      </c>
      <c r="AZ42" s="94">
        <v>19.95</v>
      </c>
      <c r="BA42" s="95">
        <v>1275</v>
      </c>
      <c r="BB42" s="96">
        <v>4.9262035391391699E-2</v>
      </c>
      <c r="BC42" s="97">
        <v>21356</v>
      </c>
      <c r="BD42" s="96">
        <v>0.82512943358318525</v>
      </c>
      <c r="BE42"/>
      <c r="BF42" s="99">
        <v>11</v>
      </c>
      <c r="BG42" s="100">
        <v>38</v>
      </c>
      <c r="BH42" s="101">
        <v>7</v>
      </c>
      <c r="BI42" s="102">
        <v>11.37</v>
      </c>
      <c r="BJ42" s="103">
        <v>937</v>
      </c>
      <c r="BK42" s="104">
        <v>2.4198130261866638E-2</v>
      </c>
      <c r="BL42" s="105">
        <v>34789</v>
      </c>
      <c r="BM42" s="104">
        <v>0.89842983316977432</v>
      </c>
      <c r="BN42"/>
      <c r="BO42" s="99">
        <v>11</v>
      </c>
      <c r="BP42" s="100">
        <v>38</v>
      </c>
      <c r="BQ42" s="101">
        <v>7</v>
      </c>
      <c r="BR42" s="102">
        <v>10.19</v>
      </c>
      <c r="BS42" s="103">
        <v>2056</v>
      </c>
      <c r="BT42" s="104">
        <v>4.2849401859030467E-2</v>
      </c>
      <c r="BU42" s="105">
        <v>44120</v>
      </c>
      <c r="BV42" s="104">
        <v>0.91951148347296907</v>
      </c>
      <c r="BW42"/>
      <c r="BX42" s="92">
        <v>11</v>
      </c>
      <c r="BY42" s="93">
        <v>38</v>
      </c>
      <c r="BZ42" s="98">
        <v>7</v>
      </c>
      <c r="CA42" s="94">
        <v>12.7</v>
      </c>
      <c r="CB42" s="95">
        <v>1962</v>
      </c>
      <c r="CC42" s="96">
        <v>2.3463005704308728E-2</v>
      </c>
      <c r="CD42" s="97">
        <v>73982</v>
      </c>
      <c r="CE42" s="96">
        <v>0.88472991234259335</v>
      </c>
      <c r="CF42"/>
      <c r="CG42" s="92">
        <v>11</v>
      </c>
      <c r="CH42" s="93">
        <v>41</v>
      </c>
      <c r="CI42" s="98">
        <v>7</v>
      </c>
      <c r="CJ42" s="94">
        <v>17.52</v>
      </c>
      <c r="CK42" s="95">
        <v>2714</v>
      </c>
      <c r="CL42" s="96">
        <v>3.6482417464243466E-2</v>
      </c>
      <c r="CM42" s="97">
        <v>62712</v>
      </c>
      <c r="CN42" s="96">
        <v>0.84299387030863537</v>
      </c>
      <c r="CO42"/>
      <c r="CP42"/>
      <c r="CQ42"/>
      <c r="CR42"/>
      <c r="CS42"/>
      <c r="CT42"/>
      <c r="CU42"/>
      <c r="CV42"/>
      <c r="CW42"/>
      <c r="CX42"/>
      <c r="CY42"/>
    </row>
    <row r="43" spans="1:103" ht="16" customHeight="1" x14ac:dyDescent="0.2">
      <c r="A43"/>
      <c r="B43"/>
      <c r="C43"/>
      <c r="D43"/>
      <c r="E43"/>
      <c r="F43" s="86">
        <v>34</v>
      </c>
      <c r="G43" s="85">
        <v>3</v>
      </c>
      <c r="H43" s="36"/>
      <c r="I43" s="86">
        <v>32</v>
      </c>
      <c r="J43" s="85">
        <v>3</v>
      </c>
      <c r="K43" s="36"/>
      <c r="L43" s="86">
        <v>29</v>
      </c>
      <c r="M43" s="85">
        <v>3</v>
      </c>
      <c r="N43"/>
      <c r="O43" s="56">
        <v>95</v>
      </c>
      <c r="P43" s="83">
        <v>6</v>
      </c>
      <c r="Q43" s="15">
        <v>38.340000000000003</v>
      </c>
      <c r="R43" s="57">
        <v>4265</v>
      </c>
      <c r="S43" s="16">
        <v>1.4863216588255793E-2</v>
      </c>
      <c r="T43" s="17">
        <v>179059</v>
      </c>
      <c r="U43" s="16">
        <v>0.62400766684091302</v>
      </c>
      <c r="V43" s="28"/>
      <c r="W43" s="56">
        <v>121</v>
      </c>
      <c r="X43" s="83">
        <v>3</v>
      </c>
      <c r="Y43" s="15">
        <v>80.760000000000005</v>
      </c>
      <c r="Z43" s="57">
        <v>3792</v>
      </c>
      <c r="AA43" s="16">
        <v>1.3258787618138526E-2</v>
      </c>
      <c r="AB43" s="17">
        <v>56916</v>
      </c>
      <c r="AC43" s="16">
        <v>0.19900768883807285</v>
      </c>
      <c r="AD43"/>
      <c r="AE43" s="99">
        <v>10</v>
      </c>
      <c r="AF43" s="100">
        <v>36</v>
      </c>
      <c r="AG43" s="101">
        <v>7</v>
      </c>
      <c r="AH43" s="102">
        <v>9.17</v>
      </c>
      <c r="AI43" s="103">
        <v>5240</v>
      </c>
      <c r="AJ43" s="104">
        <v>5.4524832731548442E-2</v>
      </c>
      <c r="AK43" s="105">
        <v>89909</v>
      </c>
      <c r="AL43" s="104">
        <v>0.93554831795053228</v>
      </c>
      <c r="AM43"/>
      <c r="AN43" s="92">
        <v>10</v>
      </c>
      <c r="AO43" s="93">
        <v>41</v>
      </c>
      <c r="AP43" s="98">
        <v>7</v>
      </c>
      <c r="AQ43" s="94">
        <v>17.66</v>
      </c>
      <c r="AR43" s="95">
        <v>1206</v>
      </c>
      <c r="AS43" s="96">
        <v>5.2742062450800313E-2</v>
      </c>
      <c r="AT43" s="97">
        <v>19432</v>
      </c>
      <c r="AU43" s="96">
        <v>0.84982069448088871</v>
      </c>
      <c r="AV43"/>
      <c r="AW43" s="92">
        <v>10</v>
      </c>
      <c r="AX43" s="93">
        <v>40</v>
      </c>
      <c r="AY43" s="98">
        <v>7</v>
      </c>
      <c r="AZ43" s="94">
        <v>15.57</v>
      </c>
      <c r="BA43" s="95">
        <v>990</v>
      </c>
      <c r="BB43" s="96">
        <v>3.8250521598021794E-2</v>
      </c>
      <c r="BC43" s="97">
        <v>22346</v>
      </c>
      <c r="BD43" s="96">
        <v>0.86337995518120703</v>
      </c>
      <c r="BE43"/>
      <c r="BF43" s="92">
        <v>10</v>
      </c>
      <c r="BG43" s="93">
        <v>37</v>
      </c>
      <c r="BH43" s="98">
        <v>8</v>
      </c>
      <c r="BI43" s="94">
        <v>8.69</v>
      </c>
      <c r="BJ43" s="95">
        <v>1136</v>
      </c>
      <c r="BK43" s="96">
        <v>2.9337327617375137E-2</v>
      </c>
      <c r="BL43" s="97">
        <v>35925</v>
      </c>
      <c r="BM43" s="96">
        <v>0.92776716078714938</v>
      </c>
      <c r="BN43"/>
      <c r="BO43" s="92">
        <v>10</v>
      </c>
      <c r="BP43" s="93">
        <v>37</v>
      </c>
      <c r="BQ43" s="98">
        <v>8</v>
      </c>
      <c r="BR43" s="94">
        <v>6.9</v>
      </c>
      <c r="BS43" s="95">
        <v>1106</v>
      </c>
      <c r="BT43" s="96">
        <v>2.3050310533116587E-2</v>
      </c>
      <c r="BU43" s="97">
        <v>45226</v>
      </c>
      <c r="BV43" s="96">
        <v>0.94256179400608564</v>
      </c>
      <c r="BW43"/>
      <c r="BX43" s="92">
        <v>10</v>
      </c>
      <c r="BY43" s="152">
        <v>37</v>
      </c>
      <c r="BZ43" s="153">
        <v>7</v>
      </c>
      <c r="CA43" s="154">
        <v>8.08</v>
      </c>
      <c r="CB43" s="155">
        <v>5762</v>
      </c>
      <c r="CC43" s="161">
        <v>6.8906136018464265E-2</v>
      </c>
      <c r="CD43" s="162">
        <v>79744</v>
      </c>
      <c r="CE43" s="161">
        <v>0.95363604836105764</v>
      </c>
      <c r="CF43"/>
      <c r="CG43" s="92">
        <v>10</v>
      </c>
      <c r="CH43" s="93">
        <v>40</v>
      </c>
      <c r="CI43" s="98">
        <v>7</v>
      </c>
      <c r="CJ43" s="94">
        <v>14.1</v>
      </c>
      <c r="CK43" s="95">
        <v>2382</v>
      </c>
      <c r="CL43" s="96">
        <v>3.2019571996988926E-2</v>
      </c>
      <c r="CM43" s="97">
        <v>65094</v>
      </c>
      <c r="CN43" s="96">
        <v>0.87501344230562428</v>
      </c>
      <c r="CO43"/>
      <c r="CP43"/>
      <c r="CQ43"/>
      <c r="CR43"/>
      <c r="CS43"/>
      <c r="CT43"/>
      <c r="CU43"/>
      <c r="CV43"/>
      <c r="CW43"/>
      <c r="CX43"/>
      <c r="CY43"/>
    </row>
    <row r="44" spans="1:103" ht="16" customHeight="1" x14ac:dyDescent="0.2">
      <c r="A44"/>
      <c r="B44"/>
      <c r="C44"/>
      <c r="D44"/>
      <c r="E44"/>
      <c r="F44" s="86">
        <v>25</v>
      </c>
      <c r="G44" s="85">
        <v>4</v>
      </c>
      <c r="H44" s="36"/>
      <c r="I44" s="86">
        <v>23</v>
      </c>
      <c r="J44" s="85">
        <v>4</v>
      </c>
      <c r="K44" s="36"/>
      <c r="L44" s="86">
        <v>21</v>
      </c>
      <c r="M44" s="85">
        <v>4</v>
      </c>
      <c r="N44"/>
      <c r="O44" s="56">
        <v>94</v>
      </c>
      <c r="P44" s="83">
        <v>6</v>
      </c>
      <c r="Q44" s="15">
        <v>36.82</v>
      </c>
      <c r="R44" s="57">
        <v>4457</v>
      </c>
      <c r="S44" s="16">
        <v>1.5532322704303885E-2</v>
      </c>
      <c r="T44" s="17">
        <v>183516</v>
      </c>
      <c r="U44" s="16">
        <v>0.63953998954521696</v>
      </c>
      <c r="V44" s="28"/>
      <c r="W44" s="56">
        <v>120</v>
      </c>
      <c r="X44" s="83">
        <v>3</v>
      </c>
      <c r="Y44" s="15">
        <v>79.5</v>
      </c>
      <c r="Z44" s="57">
        <v>3405</v>
      </c>
      <c r="AA44" s="16">
        <v>1.1905636033692426E-2</v>
      </c>
      <c r="AB44" s="17">
        <v>60321</v>
      </c>
      <c r="AC44" s="16">
        <v>0.21091332487176528</v>
      </c>
      <c r="AD44"/>
      <c r="AE44" s="92">
        <v>9</v>
      </c>
      <c r="AF44" s="93">
        <v>35</v>
      </c>
      <c r="AG44" s="98">
        <v>8</v>
      </c>
      <c r="AH44" s="94">
        <v>5.76</v>
      </c>
      <c r="AI44" s="95">
        <v>1312</v>
      </c>
      <c r="AJ44" s="96">
        <v>1.3652019187746481E-2</v>
      </c>
      <c r="AK44" s="97">
        <v>91221</v>
      </c>
      <c r="AL44" s="96">
        <v>0.94920033713827867</v>
      </c>
      <c r="AM44"/>
      <c r="AN44" s="99">
        <v>9</v>
      </c>
      <c r="AO44" s="100">
        <v>40</v>
      </c>
      <c r="AP44" s="101">
        <v>7</v>
      </c>
      <c r="AQ44" s="102">
        <v>12.24</v>
      </c>
      <c r="AR44" s="103">
        <v>1272</v>
      </c>
      <c r="AS44" s="104">
        <v>5.562844397795854E-2</v>
      </c>
      <c r="AT44" s="105">
        <v>20704</v>
      </c>
      <c r="AU44" s="104">
        <v>0.90544913845884722</v>
      </c>
      <c r="AV44"/>
      <c r="AW44" s="92">
        <v>9</v>
      </c>
      <c r="AX44" s="93">
        <v>39</v>
      </c>
      <c r="AY44" s="98">
        <v>7</v>
      </c>
      <c r="AZ44" s="94">
        <v>12.71</v>
      </c>
      <c r="BA44" s="95">
        <v>491</v>
      </c>
      <c r="BB44" s="96">
        <v>1.8970713236998685E-2</v>
      </c>
      <c r="BC44" s="97">
        <v>22837</v>
      </c>
      <c r="BD44" s="96">
        <v>0.88235066841820575</v>
      </c>
      <c r="BE44"/>
      <c r="BF44" s="92">
        <v>9</v>
      </c>
      <c r="BG44" s="93">
        <v>36</v>
      </c>
      <c r="BH44" s="98">
        <v>8</v>
      </c>
      <c r="BI44" s="94">
        <v>6.16</v>
      </c>
      <c r="BJ44" s="95">
        <v>822</v>
      </c>
      <c r="BK44" s="96">
        <v>2.1228242342854191E-2</v>
      </c>
      <c r="BL44" s="97">
        <v>36747</v>
      </c>
      <c r="BM44" s="96">
        <v>0.94899540313000363</v>
      </c>
      <c r="BN44"/>
      <c r="BO44" s="92">
        <v>9</v>
      </c>
      <c r="BP44" s="93">
        <v>36</v>
      </c>
      <c r="BQ44" s="98">
        <v>8</v>
      </c>
      <c r="BR44" s="94">
        <v>4.97</v>
      </c>
      <c r="BS44" s="95">
        <v>741</v>
      </c>
      <c r="BT44" s="96">
        <v>1.5443291234212829E-2</v>
      </c>
      <c r="BU44" s="97">
        <v>45967</v>
      </c>
      <c r="BV44" s="96">
        <v>0.95800508524029848</v>
      </c>
      <c r="BW44"/>
      <c r="BX44" s="99">
        <v>9</v>
      </c>
      <c r="BY44" s="145"/>
      <c r="BZ44" s="147"/>
      <c r="CA44" s="149"/>
      <c r="CB44" s="151"/>
      <c r="CC44" s="158"/>
      <c r="CD44" s="160"/>
      <c r="CE44" s="158"/>
      <c r="CF44"/>
      <c r="CG44" s="99">
        <v>9</v>
      </c>
      <c r="CH44" s="100">
        <v>39</v>
      </c>
      <c r="CI44" s="101">
        <v>7</v>
      </c>
      <c r="CJ44" s="102">
        <v>10.36</v>
      </c>
      <c r="CK44" s="103">
        <v>3184</v>
      </c>
      <c r="CL44" s="104">
        <v>4.2800301107645981E-2</v>
      </c>
      <c r="CM44" s="105">
        <v>68278</v>
      </c>
      <c r="CN44" s="104">
        <v>0.91781374341327027</v>
      </c>
      <c r="CO44"/>
      <c r="CP44"/>
      <c r="CQ44"/>
      <c r="CR44"/>
      <c r="CS44"/>
      <c r="CT44"/>
      <c r="CU44"/>
      <c r="CV44"/>
      <c r="CW44"/>
      <c r="CX44"/>
      <c r="CY44"/>
    </row>
    <row r="45" spans="1:103" ht="16" customHeight="1" x14ac:dyDescent="0.2">
      <c r="A45"/>
      <c r="B45"/>
      <c r="C45"/>
      <c r="D45"/>
      <c r="E45"/>
      <c r="F45" s="86">
        <v>17</v>
      </c>
      <c r="G45" s="85">
        <v>5</v>
      </c>
      <c r="H45" s="36"/>
      <c r="I45" s="86">
        <v>16</v>
      </c>
      <c r="J45" s="85">
        <v>5</v>
      </c>
      <c r="K45" s="36"/>
      <c r="L45" s="86">
        <v>14</v>
      </c>
      <c r="M45" s="85">
        <v>5</v>
      </c>
      <c r="N45"/>
      <c r="O45" s="56">
        <v>93</v>
      </c>
      <c r="P45" s="83">
        <v>6</v>
      </c>
      <c r="Q45" s="15">
        <v>35.409999999999997</v>
      </c>
      <c r="R45" s="57">
        <v>3650</v>
      </c>
      <c r="S45" s="16">
        <v>1.2719986060289248E-2</v>
      </c>
      <c r="T45" s="17">
        <v>187166</v>
      </c>
      <c r="U45" s="16">
        <v>0.65225997560550619</v>
      </c>
      <c r="V45" s="28"/>
      <c r="W45" s="56">
        <v>119</v>
      </c>
      <c r="X45" s="83">
        <v>3</v>
      </c>
      <c r="Y45" s="15">
        <v>78.39</v>
      </c>
      <c r="Z45" s="57">
        <v>2959</v>
      </c>
      <c r="AA45" s="16">
        <v>1.0346190021643432E-2</v>
      </c>
      <c r="AB45" s="17">
        <v>63280</v>
      </c>
      <c r="AC45" s="16">
        <v>0.22125951489340873</v>
      </c>
      <c r="AD45"/>
      <c r="AE45" s="92">
        <v>8</v>
      </c>
      <c r="AF45" s="152">
        <v>34</v>
      </c>
      <c r="AG45" s="153">
        <v>8</v>
      </c>
      <c r="AH45" s="154">
        <v>3.59</v>
      </c>
      <c r="AI45" s="155">
        <v>2855</v>
      </c>
      <c r="AJ45" s="161">
        <v>2.9707709436750152E-2</v>
      </c>
      <c r="AK45" s="162">
        <v>94076</v>
      </c>
      <c r="AL45" s="161">
        <v>0.97890804657502883</v>
      </c>
      <c r="AM45"/>
      <c r="AN45" s="92">
        <v>8</v>
      </c>
      <c r="AO45" s="93">
        <v>39</v>
      </c>
      <c r="AP45" s="98">
        <v>8</v>
      </c>
      <c r="AQ45" s="94">
        <v>8.33</v>
      </c>
      <c r="AR45" s="95">
        <v>515</v>
      </c>
      <c r="AS45" s="96">
        <v>2.2522522522522521E-2</v>
      </c>
      <c r="AT45" s="97">
        <v>21219</v>
      </c>
      <c r="AU45" s="96">
        <v>0.92797166098136974</v>
      </c>
      <c r="AV45"/>
      <c r="AW45" s="99">
        <v>8</v>
      </c>
      <c r="AX45" s="100">
        <v>38</v>
      </c>
      <c r="AY45" s="101">
        <v>7</v>
      </c>
      <c r="AZ45" s="102">
        <v>8.39</v>
      </c>
      <c r="BA45" s="103">
        <v>1746</v>
      </c>
      <c r="BB45" s="104">
        <v>6.7460010818329336E-2</v>
      </c>
      <c r="BC45" s="105">
        <v>24583</v>
      </c>
      <c r="BD45" s="104">
        <v>0.94981067923653506</v>
      </c>
      <c r="BE45"/>
      <c r="BF45" s="92">
        <v>8</v>
      </c>
      <c r="BG45" s="152">
        <v>35</v>
      </c>
      <c r="BH45" s="153">
        <v>8</v>
      </c>
      <c r="BI45" s="154">
        <v>3.76</v>
      </c>
      <c r="BJ45" s="155">
        <v>1038</v>
      </c>
      <c r="BK45" s="161">
        <v>2.6806466608129745E-2</v>
      </c>
      <c r="BL45" s="162">
        <v>37785</v>
      </c>
      <c r="BM45" s="161">
        <v>0.97580186973813332</v>
      </c>
      <c r="BN45"/>
      <c r="BO45" s="99">
        <v>8</v>
      </c>
      <c r="BP45" s="100">
        <v>35</v>
      </c>
      <c r="BQ45" s="101">
        <v>8</v>
      </c>
      <c r="BR45" s="102">
        <v>3.65</v>
      </c>
      <c r="BS45" s="103">
        <v>524</v>
      </c>
      <c r="BT45" s="104">
        <v>1.0920761952398815E-2</v>
      </c>
      <c r="BU45" s="105">
        <v>46491</v>
      </c>
      <c r="BV45" s="104">
        <v>0.96892584719269725</v>
      </c>
      <c r="BW45"/>
      <c r="BX45" s="99">
        <v>8</v>
      </c>
      <c r="BY45" s="100">
        <v>36</v>
      </c>
      <c r="BZ45" s="101">
        <v>8</v>
      </c>
      <c r="CA45" s="102">
        <v>4.1500000000000004</v>
      </c>
      <c r="CB45" s="103">
        <v>806</v>
      </c>
      <c r="CC45" s="104">
        <v>9.6387271140024634E-3</v>
      </c>
      <c r="CD45" s="105">
        <v>80550</v>
      </c>
      <c r="CE45" s="104">
        <v>0.96327477547506013</v>
      </c>
      <c r="CF45"/>
      <c r="CG45" s="92">
        <v>8</v>
      </c>
      <c r="CH45" s="93">
        <v>38</v>
      </c>
      <c r="CI45" s="98">
        <v>8</v>
      </c>
      <c r="CJ45" s="94">
        <v>7.33</v>
      </c>
      <c r="CK45" s="95">
        <v>1321</v>
      </c>
      <c r="CL45" s="96">
        <v>1.775728572964835E-2</v>
      </c>
      <c r="CM45" s="97">
        <v>69599</v>
      </c>
      <c r="CN45" s="96">
        <v>0.93557102914291856</v>
      </c>
      <c r="CO45"/>
      <c r="CP45"/>
      <c r="CQ45"/>
      <c r="CR45"/>
      <c r="CS45"/>
      <c r="CT45"/>
      <c r="CU45"/>
      <c r="CV45"/>
      <c r="CW45"/>
      <c r="CX45"/>
      <c r="CY45"/>
    </row>
    <row r="46" spans="1:103" ht="16" customHeight="1" x14ac:dyDescent="0.2">
      <c r="A46"/>
      <c r="B46"/>
      <c r="C46"/>
      <c r="D46"/>
      <c r="E46"/>
      <c r="F46" s="86">
        <v>13</v>
      </c>
      <c r="G46" s="85">
        <v>6</v>
      </c>
      <c r="H46" s="36"/>
      <c r="I46" s="86">
        <v>11</v>
      </c>
      <c r="J46" s="85">
        <v>6</v>
      </c>
      <c r="K46" s="36"/>
      <c r="L46" s="86">
        <v>10</v>
      </c>
      <c r="M46" s="85">
        <v>6</v>
      </c>
      <c r="N46"/>
      <c r="O46" s="56">
        <v>92</v>
      </c>
      <c r="P46" s="83">
        <v>6</v>
      </c>
      <c r="Q46" s="15">
        <v>34.08</v>
      </c>
      <c r="R46" s="57">
        <v>3980</v>
      </c>
      <c r="S46" s="16">
        <v>1.3870012197246907E-2</v>
      </c>
      <c r="T46" s="17">
        <v>191146</v>
      </c>
      <c r="U46" s="16">
        <v>0.66612998780275312</v>
      </c>
      <c r="V46" s="28"/>
      <c r="W46" s="60">
        <v>118</v>
      </c>
      <c r="X46" s="84">
        <v>3</v>
      </c>
      <c r="Y46" s="33">
        <v>77.14</v>
      </c>
      <c r="Z46" s="61">
        <v>4198</v>
      </c>
      <c r="AA46" s="34">
        <v>1.46783730013042E-2</v>
      </c>
      <c r="AB46" s="35">
        <v>67478</v>
      </c>
      <c r="AC46" s="34">
        <v>0.23593788789471293</v>
      </c>
      <c r="AD46"/>
      <c r="AE46" s="99">
        <v>7</v>
      </c>
      <c r="AF46" s="145"/>
      <c r="AG46" s="147"/>
      <c r="AH46" s="149"/>
      <c r="AI46" s="151"/>
      <c r="AJ46" s="158"/>
      <c r="AK46" s="160"/>
      <c r="AL46" s="158"/>
      <c r="AM46"/>
      <c r="AN46" s="92">
        <v>7</v>
      </c>
      <c r="AO46" s="93">
        <v>38</v>
      </c>
      <c r="AP46" s="98">
        <v>8</v>
      </c>
      <c r="AQ46" s="94">
        <v>6.09</v>
      </c>
      <c r="AR46" s="95">
        <v>507</v>
      </c>
      <c r="AS46" s="96">
        <v>2.2172658094988192E-2</v>
      </c>
      <c r="AT46" s="97">
        <v>21726</v>
      </c>
      <c r="AU46" s="96">
        <v>0.95014431907635788</v>
      </c>
      <c r="AV46"/>
      <c r="AW46" s="99">
        <v>7</v>
      </c>
      <c r="AX46" s="100">
        <v>37</v>
      </c>
      <c r="AY46" s="101">
        <v>8</v>
      </c>
      <c r="AZ46" s="102">
        <v>4.21</v>
      </c>
      <c r="BA46" s="103">
        <v>420</v>
      </c>
      <c r="BB46" s="104">
        <v>1.622749401128197E-2</v>
      </c>
      <c r="BC46" s="105">
        <v>25003</v>
      </c>
      <c r="BD46" s="104">
        <v>0.96603817324781704</v>
      </c>
      <c r="BE46"/>
      <c r="BF46" s="99">
        <v>7</v>
      </c>
      <c r="BG46" s="145"/>
      <c r="BH46" s="147"/>
      <c r="BI46" s="149"/>
      <c r="BJ46" s="151"/>
      <c r="BK46" s="158"/>
      <c r="BL46" s="160"/>
      <c r="BM46" s="158"/>
      <c r="BN46"/>
      <c r="BO46" s="92">
        <v>7</v>
      </c>
      <c r="BP46" s="93">
        <v>34</v>
      </c>
      <c r="BQ46" s="98">
        <v>9</v>
      </c>
      <c r="BR46" s="94">
        <v>2.66</v>
      </c>
      <c r="BS46" s="95">
        <v>428</v>
      </c>
      <c r="BT46" s="96">
        <v>8.920011671043308E-3</v>
      </c>
      <c r="BU46" s="97">
        <v>46919</v>
      </c>
      <c r="BV46" s="96">
        <v>0.97784585886374054</v>
      </c>
      <c r="BW46"/>
      <c r="BX46" s="92">
        <v>7</v>
      </c>
      <c r="BY46" s="93">
        <v>35</v>
      </c>
      <c r="BZ46" s="98">
        <v>9</v>
      </c>
      <c r="CA46" s="94">
        <v>2.86</v>
      </c>
      <c r="CB46" s="95">
        <v>1362</v>
      </c>
      <c r="CC46" s="96">
        <v>1.6287774602073642E-2</v>
      </c>
      <c r="CD46" s="97">
        <v>81912</v>
      </c>
      <c r="CE46" s="96">
        <v>0.97956255007713378</v>
      </c>
      <c r="CF46"/>
      <c r="CG46" s="99">
        <v>7</v>
      </c>
      <c r="CH46" s="100">
        <v>37</v>
      </c>
      <c r="CI46" s="101">
        <v>8</v>
      </c>
      <c r="CJ46" s="102">
        <v>5.12</v>
      </c>
      <c r="CK46" s="103">
        <v>1973</v>
      </c>
      <c r="CL46" s="104">
        <v>2.6521668996666307E-2</v>
      </c>
      <c r="CM46" s="105">
        <v>71572</v>
      </c>
      <c r="CN46" s="104">
        <v>0.96209269813958487</v>
      </c>
      <c r="CO46"/>
      <c r="CP46"/>
      <c r="CQ46"/>
      <c r="CR46"/>
      <c r="CS46"/>
      <c r="CT46"/>
      <c r="CU46"/>
      <c r="CV46"/>
      <c r="CW46"/>
      <c r="CX46"/>
      <c r="CY46"/>
    </row>
    <row r="47" spans="1:103" ht="16" customHeight="1" x14ac:dyDescent="0.2">
      <c r="A47"/>
      <c r="B47"/>
      <c r="C47"/>
      <c r="D47"/>
      <c r="E47"/>
      <c r="F47" s="86">
        <v>9</v>
      </c>
      <c r="G47" s="85">
        <v>7</v>
      </c>
      <c r="H47" s="36"/>
      <c r="I47" s="86">
        <v>9</v>
      </c>
      <c r="J47" s="85">
        <v>7</v>
      </c>
      <c r="K47" s="36"/>
      <c r="L47" s="86">
        <v>8</v>
      </c>
      <c r="M47" s="85">
        <v>7</v>
      </c>
      <c r="N47"/>
      <c r="O47" s="56">
        <v>91</v>
      </c>
      <c r="P47" s="83">
        <v>6</v>
      </c>
      <c r="Q47" s="15">
        <v>32.68</v>
      </c>
      <c r="R47" s="57">
        <v>4051</v>
      </c>
      <c r="S47" s="16">
        <v>1.4117442063077192E-2</v>
      </c>
      <c r="T47" s="17">
        <v>195197</v>
      </c>
      <c r="U47" s="16">
        <v>0.68024742986583031</v>
      </c>
      <c r="V47" s="28"/>
      <c r="W47" s="56">
        <v>117</v>
      </c>
      <c r="X47" s="83">
        <v>4</v>
      </c>
      <c r="Y47" s="15">
        <v>75.8</v>
      </c>
      <c r="Z47" s="57">
        <v>3451</v>
      </c>
      <c r="AA47" s="16">
        <v>1.2066475756908241E-2</v>
      </c>
      <c r="AB47" s="17">
        <v>70929</v>
      </c>
      <c r="AC47" s="16">
        <v>0.24800436365162115</v>
      </c>
      <c r="AD47"/>
      <c r="AE47" s="92">
        <v>6</v>
      </c>
      <c r="AF47" s="93">
        <v>33</v>
      </c>
      <c r="AG47" s="98">
        <v>9</v>
      </c>
      <c r="AH47" s="94">
        <v>1.83</v>
      </c>
      <c r="AI47" s="95">
        <v>543</v>
      </c>
      <c r="AJ47" s="96">
        <v>5.6501878193188559E-3</v>
      </c>
      <c r="AK47" s="97">
        <v>94619</v>
      </c>
      <c r="AL47" s="96">
        <v>0.98455823439434775</v>
      </c>
      <c r="AM47"/>
      <c r="AN47" s="92">
        <v>6</v>
      </c>
      <c r="AO47" s="152">
        <v>37</v>
      </c>
      <c r="AP47" s="153">
        <v>8</v>
      </c>
      <c r="AQ47" s="154">
        <v>3.62</v>
      </c>
      <c r="AR47" s="155">
        <v>625</v>
      </c>
      <c r="AS47" s="161">
        <v>2.7333158401119568E-2</v>
      </c>
      <c r="AT47" s="162">
        <v>22351</v>
      </c>
      <c r="AU47" s="161">
        <v>0.97747747747747749</v>
      </c>
      <c r="AV47"/>
      <c r="AW47" s="92">
        <v>6</v>
      </c>
      <c r="AX47" s="93">
        <v>36</v>
      </c>
      <c r="AY47" s="98">
        <v>9</v>
      </c>
      <c r="AZ47" s="94">
        <v>2.94</v>
      </c>
      <c r="BA47" s="95">
        <v>234</v>
      </c>
      <c r="BB47" s="96">
        <v>9.041032377714241E-3</v>
      </c>
      <c r="BC47" s="97">
        <v>25237</v>
      </c>
      <c r="BD47" s="96">
        <v>0.9750792056255313</v>
      </c>
      <c r="BE47"/>
      <c r="BF47" s="92">
        <v>6</v>
      </c>
      <c r="BG47" s="93">
        <v>34</v>
      </c>
      <c r="BH47" s="98">
        <v>9</v>
      </c>
      <c r="BI47" s="94">
        <v>2.12</v>
      </c>
      <c r="BJ47" s="95">
        <v>231</v>
      </c>
      <c r="BK47" s="96">
        <v>5.9656009503641343E-3</v>
      </c>
      <c r="BL47" s="97">
        <v>38016</v>
      </c>
      <c r="BM47" s="96">
        <v>0.98176747068849746</v>
      </c>
      <c r="BN47"/>
      <c r="BO47" s="92">
        <v>6</v>
      </c>
      <c r="BP47" s="93">
        <v>33</v>
      </c>
      <c r="BQ47" s="98">
        <v>9</v>
      </c>
      <c r="BR47" s="94">
        <v>1.81</v>
      </c>
      <c r="BS47" s="95">
        <v>392</v>
      </c>
      <c r="BT47" s="96">
        <v>8.1697303155349923E-3</v>
      </c>
      <c r="BU47" s="97">
        <v>47311</v>
      </c>
      <c r="BV47" s="96">
        <v>0.98601558917927556</v>
      </c>
      <c r="BW47"/>
      <c r="BX47" s="92">
        <v>6</v>
      </c>
      <c r="BY47" s="93">
        <v>34</v>
      </c>
      <c r="BZ47" s="98">
        <v>9</v>
      </c>
      <c r="CA47" s="94">
        <v>1.75</v>
      </c>
      <c r="CB47" s="95">
        <v>499</v>
      </c>
      <c r="CC47" s="96">
        <v>5.9674005333588452E-3</v>
      </c>
      <c r="CD47" s="97">
        <v>82411</v>
      </c>
      <c r="CE47" s="96">
        <v>0.98552995061049253</v>
      </c>
      <c r="CF47"/>
      <c r="CG47" s="92">
        <v>6</v>
      </c>
      <c r="CH47" s="93">
        <v>36</v>
      </c>
      <c r="CI47" s="98">
        <v>9</v>
      </c>
      <c r="CJ47" s="94">
        <v>3.28</v>
      </c>
      <c r="CK47" s="95">
        <v>753</v>
      </c>
      <c r="CL47" s="96">
        <v>1.0122056135068287E-2</v>
      </c>
      <c r="CM47" s="97">
        <v>72325</v>
      </c>
      <c r="CN47" s="96">
        <v>0.9722147542746532</v>
      </c>
      <c r="CO47"/>
      <c r="CP47"/>
      <c r="CQ47"/>
      <c r="CR47"/>
      <c r="CS47"/>
      <c r="CT47"/>
      <c r="CU47"/>
      <c r="CV47"/>
      <c r="CW47"/>
      <c r="CX47"/>
      <c r="CY47"/>
    </row>
    <row r="48" spans="1:103" ht="16" customHeight="1" x14ac:dyDescent="0.2">
      <c r="A48"/>
      <c r="B48"/>
      <c r="C48"/>
      <c r="D48"/>
      <c r="E48"/>
      <c r="F48" s="86">
        <v>7</v>
      </c>
      <c r="G48" s="85">
        <v>8</v>
      </c>
      <c r="H48" s="36"/>
      <c r="I48" s="86">
        <v>6</v>
      </c>
      <c r="J48" s="85">
        <v>8</v>
      </c>
      <c r="K48" s="36"/>
      <c r="L48" s="86">
        <v>6</v>
      </c>
      <c r="M48" s="85">
        <v>8</v>
      </c>
      <c r="N48"/>
      <c r="O48" s="56">
        <v>90</v>
      </c>
      <c r="P48" s="83">
        <v>6</v>
      </c>
      <c r="Q48" s="15">
        <v>31.35</v>
      </c>
      <c r="R48" s="57">
        <v>3560</v>
      </c>
      <c r="S48" s="16">
        <v>1.2406342568391706E-2</v>
      </c>
      <c r="T48" s="17">
        <v>198757</v>
      </c>
      <c r="U48" s="16">
        <v>0.69265377243422199</v>
      </c>
      <c r="V48" s="28"/>
      <c r="W48" s="56">
        <v>116</v>
      </c>
      <c r="X48" s="83">
        <v>4</v>
      </c>
      <c r="Y48" s="15">
        <v>74.680000000000007</v>
      </c>
      <c r="Z48" s="57">
        <v>2966</v>
      </c>
      <c r="AA48" s="16">
        <v>1.0370665631698013E-2</v>
      </c>
      <c r="AB48" s="17">
        <v>73895</v>
      </c>
      <c r="AC48" s="16">
        <v>0.25837502928331918</v>
      </c>
      <c r="AD48"/>
      <c r="AE48" s="92">
        <v>5</v>
      </c>
      <c r="AF48" s="93">
        <v>32</v>
      </c>
      <c r="AG48" s="98">
        <v>9</v>
      </c>
      <c r="AH48" s="94">
        <v>1.25</v>
      </c>
      <c r="AI48" s="95">
        <v>575</v>
      </c>
      <c r="AJ48" s="96">
        <v>5.9831638970687696E-3</v>
      </c>
      <c r="AK48" s="97">
        <v>95194</v>
      </c>
      <c r="AL48" s="96">
        <v>0.99054139829141652</v>
      </c>
      <c r="AM48"/>
      <c r="AN48" s="99">
        <v>5</v>
      </c>
      <c r="AO48" s="145"/>
      <c r="AP48" s="147"/>
      <c r="AQ48" s="149"/>
      <c r="AR48" s="151"/>
      <c r="AS48" s="158"/>
      <c r="AT48" s="160"/>
      <c r="AU48" s="158"/>
      <c r="AV48"/>
      <c r="AW48" s="92">
        <v>5</v>
      </c>
      <c r="AX48" s="93">
        <v>35</v>
      </c>
      <c r="AY48" s="98">
        <v>9</v>
      </c>
      <c r="AZ48" s="94">
        <v>1.96</v>
      </c>
      <c r="BA48" s="95">
        <v>278</v>
      </c>
      <c r="BB48" s="96">
        <v>1.0741055559848544E-2</v>
      </c>
      <c r="BC48" s="97">
        <v>25515</v>
      </c>
      <c r="BD48" s="96">
        <v>0.9858202611853798</v>
      </c>
      <c r="BE48"/>
      <c r="BF48" s="92">
        <v>5</v>
      </c>
      <c r="BG48" s="93">
        <v>33</v>
      </c>
      <c r="BH48" s="98">
        <v>9</v>
      </c>
      <c r="BI48" s="94">
        <v>1.53</v>
      </c>
      <c r="BJ48" s="95">
        <v>230</v>
      </c>
      <c r="BK48" s="96">
        <v>5.9397758380248956E-3</v>
      </c>
      <c r="BL48" s="97">
        <v>38246</v>
      </c>
      <c r="BM48" s="96">
        <v>0.98770724652652242</v>
      </c>
      <c r="BN48"/>
      <c r="BO48" s="92">
        <v>5</v>
      </c>
      <c r="BP48" s="93">
        <v>32</v>
      </c>
      <c r="BQ48" s="98">
        <v>9</v>
      </c>
      <c r="BR48" s="94">
        <v>1.1599999999999999</v>
      </c>
      <c r="BS48" s="95">
        <v>230</v>
      </c>
      <c r="BT48" s="96">
        <v>4.7934642157475716E-3</v>
      </c>
      <c r="BU48" s="97">
        <v>47541</v>
      </c>
      <c r="BV48" s="96">
        <v>0.99080905339502312</v>
      </c>
      <c r="BW48"/>
      <c r="BX48" s="92">
        <v>5</v>
      </c>
      <c r="BY48" s="93">
        <v>33</v>
      </c>
      <c r="BZ48" s="98">
        <v>9</v>
      </c>
      <c r="CA48" s="94">
        <v>1.2</v>
      </c>
      <c r="CB48" s="95">
        <v>409</v>
      </c>
      <c r="CC48" s="96">
        <v>4.8911158680235824E-3</v>
      </c>
      <c r="CD48" s="97">
        <v>82820</v>
      </c>
      <c r="CE48" s="96">
        <v>0.99042106647851613</v>
      </c>
      <c r="CF48"/>
      <c r="CG48" s="92">
        <v>5</v>
      </c>
      <c r="CH48" s="93">
        <v>35</v>
      </c>
      <c r="CI48" s="98">
        <v>9</v>
      </c>
      <c r="CJ48" s="94">
        <v>2.2599999999999998</v>
      </c>
      <c r="CK48" s="95">
        <v>773</v>
      </c>
      <c r="CL48" s="96">
        <v>1.0390902247553501E-2</v>
      </c>
      <c r="CM48" s="97">
        <v>73098</v>
      </c>
      <c r="CN48" s="96">
        <v>0.98260565652220666</v>
      </c>
      <c r="CO48"/>
      <c r="CP48"/>
      <c r="CQ48"/>
      <c r="CR48"/>
      <c r="CS48"/>
      <c r="CT48"/>
      <c r="CU48"/>
      <c r="CV48"/>
      <c r="CW48"/>
      <c r="CX48"/>
      <c r="CY48"/>
    </row>
    <row r="49" spans="1:103" ht="16" customHeight="1" x14ac:dyDescent="0.2">
      <c r="A49"/>
      <c r="B49"/>
      <c r="C49"/>
      <c r="D49"/>
      <c r="E49"/>
      <c r="F49" s="86">
        <v>0</v>
      </c>
      <c r="G49" s="85">
        <v>9</v>
      </c>
      <c r="H49" s="36"/>
      <c r="I49" s="86">
        <v>0</v>
      </c>
      <c r="J49" s="85">
        <v>9</v>
      </c>
      <c r="K49" s="36"/>
      <c r="L49" s="86">
        <v>0</v>
      </c>
      <c r="M49" s="85">
        <v>9</v>
      </c>
      <c r="N49"/>
      <c r="O49" s="56">
        <v>89</v>
      </c>
      <c r="P49" s="83">
        <v>6</v>
      </c>
      <c r="Q49" s="15">
        <v>30.07</v>
      </c>
      <c r="R49" s="57">
        <v>3829</v>
      </c>
      <c r="S49" s="16">
        <v>1.3343788116396586E-2</v>
      </c>
      <c r="T49" s="17">
        <v>202586</v>
      </c>
      <c r="U49" s="16">
        <v>0.70599756055061857</v>
      </c>
      <c r="V49" s="28"/>
      <c r="W49" s="56">
        <v>115</v>
      </c>
      <c r="X49" s="83">
        <v>4</v>
      </c>
      <c r="Y49" s="15">
        <v>73.53</v>
      </c>
      <c r="Z49" s="57">
        <v>3639</v>
      </c>
      <c r="AA49" s="16">
        <v>1.2723820712659834E-2</v>
      </c>
      <c r="AB49" s="17">
        <v>77534</v>
      </c>
      <c r="AC49" s="16">
        <v>0.271098849995979</v>
      </c>
      <c r="AD49"/>
      <c r="AE49" s="92">
        <v>4</v>
      </c>
      <c r="AF49" s="93">
        <v>31</v>
      </c>
      <c r="AG49" s="98">
        <v>9</v>
      </c>
      <c r="AH49" s="94">
        <v>0.79</v>
      </c>
      <c r="AI49" s="95">
        <v>307</v>
      </c>
      <c r="AJ49" s="96">
        <v>3.194489245913239E-3</v>
      </c>
      <c r="AK49" s="97">
        <v>95501</v>
      </c>
      <c r="AL49" s="96">
        <v>0.99373588753732978</v>
      </c>
      <c r="AM49"/>
      <c r="AN49" s="92">
        <v>4</v>
      </c>
      <c r="AO49" s="93">
        <v>36</v>
      </c>
      <c r="AP49" s="98">
        <v>9</v>
      </c>
      <c r="AQ49" s="94">
        <v>1.89</v>
      </c>
      <c r="AR49" s="95">
        <v>165</v>
      </c>
      <c r="AS49" s="96">
        <v>7.2159538178955653E-3</v>
      </c>
      <c r="AT49" s="97">
        <v>22516</v>
      </c>
      <c r="AU49" s="96">
        <v>0.98469343129537301</v>
      </c>
      <c r="AV49"/>
      <c r="AW49" s="92">
        <v>4</v>
      </c>
      <c r="AX49" s="144">
        <v>34</v>
      </c>
      <c r="AY49" s="146">
        <v>9</v>
      </c>
      <c r="AZ49" s="148">
        <v>1.06</v>
      </c>
      <c r="BA49" s="150">
        <v>185</v>
      </c>
      <c r="BB49" s="157">
        <v>7.147824743064678E-3</v>
      </c>
      <c r="BC49" s="159">
        <v>25700</v>
      </c>
      <c r="BD49" s="157">
        <v>0.99296808592844443</v>
      </c>
      <c r="BE49"/>
      <c r="BF49" s="92">
        <v>4</v>
      </c>
      <c r="BG49" s="93">
        <v>32</v>
      </c>
      <c r="BH49" s="98">
        <v>9</v>
      </c>
      <c r="BI49" s="94">
        <v>1.02</v>
      </c>
      <c r="BJ49" s="95">
        <v>160</v>
      </c>
      <c r="BK49" s="96">
        <v>4.1320179742781885E-3</v>
      </c>
      <c r="BL49" s="97">
        <v>38406</v>
      </c>
      <c r="BM49" s="96">
        <v>0.99183926450080062</v>
      </c>
      <c r="BN49"/>
      <c r="BO49" s="92">
        <v>4</v>
      </c>
      <c r="BP49" s="93">
        <v>31</v>
      </c>
      <c r="BQ49" s="98">
        <v>9</v>
      </c>
      <c r="BR49" s="94">
        <v>0.76</v>
      </c>
      <c r="BS49" s="95">
        <v>152</v>
      </c>
      <c r="BT49" s="96">
        <v>3.1678546121462216E-3</v>
      </c>
      <c r="BU49" s="97">
        <v>47693</v>
      </c>
      <c r="BV49" s="96">
        <v>0.99397690800716931</v>
      </c>
      <c r="BW49"/>
      <c r="BX49" s="92">
        <v>4</v>
      </c>
      <c r="BY49" s="93">
        <v>32</v>
      </c>
      <c r="BZ49" s="98">
        <v>9</v>
      </c>
      <c r="CA49" s="94">
        <v>0.77</v>
      </c>
      <c r="CB49" s="95">
        <v>310</v>
      </c>
      <c r="CC49" s="96">
        <v>3.7072027361547935E-3</v>
      </c>
      <c r="CD49" s="97">
        <v>83130</v>
      </c>
      <c r="CE49" s="96">
        <v>0.9941282692146709</v>
      </c>
      <c r="CF49"/>
      <c r="CG49" s="92">
        <v>4</v>
      </c>
      <c r="CH49" s="93">
        <v>34</v>
      </c>
      <c r="CI49" s="98">
        <v>9</v>
      </c>
      <c r="CJ49" s="94">
        <v>1.43</v>
      </c>
      <c r="CK49" s="95">
        <v>458</v>
      </c>
      <c r="CL49" s="96">
        <v>6.1565759759113882E-3</v>
      </c>
      <c r="CM49" s="97">
        <v>73556</v>
      </c>
      <c r="CN49" s="96">
        <v>0.98876223249811812</v>
      </c>
      <c r="CO49"/>
      <c r="CP49"/>
      <c r="CQ49"/>
      <c r="CR49"/>
      <c r="CS49"/>
      <c r="CT49"/>
      <c r="CU49"/>
      <c r="CV49"/>
      <c r="CW49"/>
      <c r="CX49"/>
      <c r="CY49"/>
    </row>
    <row r="50" spans="1:103" ht="16" customHeight="1" x14ac:dyDescent="0.2">
      <c r="A50"/>
      <c r="B50"/>
      <c r="C50"/>
      <c r="D50"/>
      <c r="E50"/>
      <c r="F50" s="1"/>
      <c r="G50" s="1"/>
      <c r="H50" s="1"/>
      <c r="I50" s="1"/>
      <c r="J50" s="1"/>
      <c r="K50" s="1"/>
      <c r="L50" s="1"/>
      <c r="M50" s="1"/>
      <c r="N50"/>
      <c r="O50" s="56">
        <v>88</v>
      </c>
      <c r="P50" s="83">
        <v>6</v>
      </c>
      <c r="Q50" s="15">
        <v>28.78</v>
      </c>
      <c r="R50" s="57">
        <v>3531</v>
      </c>
      <c r="S50" s="16">
        <v>1.2305279665446941E-2</v>
      </c>
      <c r="T50" s="17">
        <v>206117</v>
      </c>
      <c r="U50" s="16">
        <v>0.7183028402160655</v>
      </c>
      <c r="V50" s="28"/>
      <c r="W50" s="56">
        <v>114</v>
      </c>
      <c r="X50" s="83">
        <v>4</v>
      </c>
      <c r="Y50" s="15">
        <v>72.22</v>
      </c>
      <c r="Z50" s="57">
        <v>3824</v>
      </c>
      <c r="AA50" s="16">
        <v>1.3370676121245179E-2</v>
      </c>
      <c r="AB50" s="17">
        <v>81358</v>
      </c>
      <c r="AC50" s="16">
        <v>0.2844695261172242</v>
      </c>
      <c r="AD50"/>
      <c r="AE50" s="92">
        <v>3</v>
      </c>
      <c r="AF50" s="93">
        <v>30</v>
      </c>
      <c r="AG50" s="98">
        <v>9</v>
      </c>
      <c r="AH50" s="94">
        <v>0.55000000000000004</v>
      </c>
      <c r="AI50" s="95">
        <v>146</v>
      </c>
      <c r="AJ50" s="96">
        <v>1.5192033547339833E-3</v>
      </c>
      <c r="AK50" s="97">
        <v>95647</v>
      </c>
      <c r="AL50" s="96">
        <v>0.99525509089206377</v>
      </c>
      <c r="AM50"/>
      <c r="AN50" s="92">
        <v>3</v>
      </c>
      <c r="AO50" s="93">
        <v>35</v>
      </c>
      <c r="AP50" s="98">
        <v>9</v>
      </c>
      <c r="AQ50" s="94">
        <v>1.33</v>
      </c>
      <c r="AR50" s="95">
        <v>93</v>
      </c>
      <c r="AS50" s="96">
        <v>4.0671739700865912E-3</v>
      </c>
      <c r="AT50" s="97">
        <v>22609</v>
      </c>
      <c r="AU50" s="96">
        <v>0.98876060526545961</v>
      </c>
      <c r="AV50"/>
      <c r="AW50" s="92">
        <v>3</v>
      </c>
      <c r="AX50" s="145"/>
      <c r="AY50" s="147"/>
      <c r="AZ50" s="149"/>
      <c r="BA50" s="151"/>
      <c r="BB50" s="158"/>
      <c r="BC50" s="160"/>
      <c r="BD50" s="158"/>
      <c r="BE50"/>
      <c r="BF50" s="92">
        <v>3</v>
      </c>
      <c r="BG50" s="93">
        <v>31</v>
      </c>
      <c r="BH50" s="98">
        <v>9</v>
      </c>
      <c r="BI50" s="94">
        <v>0.73</v>
      </c>
      <c r="BJ50" s="95">
        <v>70</v>
      </c>
      <c r="BK50" s="96">
        <v>1.8077578637467073E-3</v>
      </c>
      <c r="BL50" s="97">
        <v>38476</v>
      </c>
      <c r="BM50" s="96">
        <v>0.99364702236454727</v>
      </c>
      <c r="BN50"/>
      <c r="BO50" s="92">
        <v>3</v>
      </c>
      <c r="BP50" s="144">
        <v>30</v>
      </c>
      <c r="BQ50" s="146">
        <v>9</v>
      </c>
      <c r="BR50" s="148">
        <v>0.45</v>
      </c>
      <c r="BS50" s="150">
        <v>142</v>
      </c>
      <c r="BT50" s="157">
        <v>2.9594431245050226E-3</v>
      </c>
      <c r="BU50" s="159">
        <v>47835</v>
      </c>
      <c r="BV50" s="157">
        <v>0.99693635113167434</v>
      </c>
      <c r="BW50"/>
      <c r="BX50" s="92">
        <v>3</v>
      </c>
      <c r="BY50" s="93">
        <v>31</v>
      </c>
      <c r="BZ50" s="98">
        <v>9</v>
      </c>
      <c r="CA50" s="94">
        <v>0.52</v>
      </c>
      <c r="CB50" s="95">
        <v>112</v>
      </c>
      <c r="CC50" s="96">
        <v>1.3393764724172158E-3</v>
      </c>
      <c r="CD50" s="97">
        <v>83242</v>
      </c>
      <c r="CE50" s="96">
        <v>0.99546764568708812</v>
      </c>
      <c r="CF50"/>
      <c r="CG50" s="92">
        <v>3</v>
      </c>
      <c r="CH50" s="93">
        <v>33</v>
      </c>
      <c r="CI50" s="98">
        <v>9</v>
      </c>
      <c r="CJ50" s="94">
        <v>0.97</v>
      </c>
      <c r="CK50" s="95">
        <v>229</v>
      </c>
      <c r="CL50" s="96">
        <v>3.0782879879556941E-3</v>
      </c>
      <c r="CM50" s="97">
        <v>73785</v>
      </c>
      <c r="CN50" s="96">
        <v>0.99184052048607374</v>
      </c>
      <c r="CO50"/>
      <c r="CP50"/>
      <c r="CQ50"/>
      <c r="CR50"/>
      <c r="CS50"/>
      <c r="CT50"/>
      <c r="CU50"/>
      <c r="CV50"/>
      <c r="CW50"/>
      <c r="CX50"/>
      <c r="CY50"/>
    </row>
    <row r="51" spans="1:103" ht="16" customHeight="1" thickBot="1" x14ac:dyDescent="0.25">
      <c r="A51"/>
      <c r="B51"/>
      <c r="C51"/>
      <c r="D51"/>
      <c r="E51"/>
      <c r="F51" s="117" t="s">
        <v>24</v>
      </c>
      <c r="G51" s="118"/>
      <c r="H51" s="36"/>
      <c r="I51" s="117" t="s">
        <v>25</v>
      </c>
      <c r="J51" s="118"/>
      <c r="K51" s="36"/>
      <c r="L51" s="117" t="s">
        <v>26</v>
      </c>
      <c r="M51" s="118"/>
      <c r="N51"/>
      <c r="O51" s="56">
        <v>87</v>
      </c>
      <c r="P51" s="83">
        <v>6</v>
      </c>
      <c r="Q51" s="15">
        <v>27.58</v>
      </c>
      <c r="R51" s="57">
        <v>3405</v>
      </c>
      <c r="S51" s="16">
        <v>1.1866178776790382E-2</v>
      </c>
      <c r="T51" s="17">
        <v>209522</v>
      </c>
      <c r="U51" s="16">
        <v>0.73016901899285591</v>
      </c>
      <c r="V51" s="28"/>
      <c r="W51" s="56">
        <v>113</v>
      </c>
      <c r="X51" s="83">
        <v>4</v>
      </c>
      <c r="Y51" s="15">
        <v>71.06</v>
      </c>
      <c r="Z51" s="57">
        <v>2803</v>
      </c>
      <c r="AA51" s="16">
        <v>9.8007335689984931E-3</v>
      </c>
      <c r="AB51" s="17">
        <v>84161</v>
      </c>
      <c r="AC51" s="16">
        <v>0.29427025968622267</v>
      </c>
      <c r="AD51"/>
      <c r="AE51" s="92">
        <v>2</v>
      </c>
      <c r="AF51" s="93">
        <v>29</v>
      </c>
      <c r="AG51" s="98">
        <v>9</v>
      </c>
      <c r="AH51" s="94">
        <v>0.38</v>
      </c>
      <c r="AI51" s="95">
        <v>186</v>
      </c>
      <c r="AJ51" s="96">
        <v>1.9354234519213761E-3</v>
      </c>
      <c r="AK51" s="97">
        <v>95833</v>
      </c>
      <c r="AL51" s="96">
        <v>0.99719051434398509</v>
      </c>
      <c r="AM51"/>
      <c r="AN51" s="92">
        <v>2</v>
      </c>
      <c r="AO51" s="93">
        <v>34</v>
      </c>
      <c r="AP51" s="98">
        <v>9</v>
      </c>
      <c r="AQ51" s="94">
        <v>0.91</v>
      </c>
      <c r="AR51" s="95">
        <v>100</v>
      </c>
      <c r="AS51" s="96">
        <v>4.3733053441791306E-3</v>
      </c>
      <c r="AT51" s="97">
        <v>22709</v>
      </c>
      <c r="AU51" s="96">
        <v>0.99313391060963874</v>
      </c>
      <c r="AV51"/>
      <c r="AW51" s="92">
        <v>2</v>
      </c>
      <c r="AX51" s="93">
        <v>33</v>
      </c>
      <c r="AY51" s="98">
        <v>9</v>
      </c>
      <c r="AZ51" s="94">
        <v>0.52</v>
      </c>
      <c r="BA51" s="95">
        <v>94</v>
      </c>
      <c r="BB51" s="96">
        <v>3.6318677072869174E-3</v>
      </c>
      <c r="BC51" s="97">
        <v>25794</v>
      </c>
      <c r="BD51" s="96">
        <v>0.99659995363573139</v>
      </c>
      <c r="BE51"/>
      <c r="BF51" s="92">
        <v>2</v>
      </c>
      <c r="BG51" s="93">
        <v>30</v>
      </c>
      <c r="BH51" s="98">
        <v>9</v>
      </c>
      <c r="BI51" s="94">
        <v>0.52</v>
      </c>
      <c r="BJ51" s="95">
        <v>88</v>
      </c>
      <c r="BK51" s="96">
        <v>2.2726098858530035E-3</v>
      </c>
      <c r="BL51" s="97">
        <v>38564</v>
      </c>
      <c r="BM51" s="96">
        <v>0.99591963225040026</v>
      </c>
      <c r="BN51"/>
      <c r="BO51" s="92">
        <v>2</v>
      </c>
      <c r="BP51" s="145"/>
      <c r="BQ51" s="147"/>
      <c r="BR51" s="149"/>
      <c r="BS51" s="151"/>
      <c r="BT51" s="158"/>
      <c r="BU51" s="160"/>
      <c r="BV51" s="158"/>
      <c r="BW51"/>
      <c r="BX51" s="92">
        <v>2</v>
      </c>
      <c r="BY51" s="93">
        <v>30</v>
      </c>
      <c r="BZ51" s="98">
        <v>9</v>
      </c>
      <c r="CA51" s="94">
        <v>0.37</v>
      </c>
      <c r="CB51" s="95">
        <v>141</v>
      </c>
      <c r="CC51" s="96">
        <v>1.686179309025245E-3</v>
      </c>
      <c r="CD51" s="97">
        <v>83383</v>
      </c>
      <c r="CE51" s="96">
        <v>0.99715382499611338</v>
      </c>
      <c r="CF51"/>
      <c r="CG51" s="92">
        <v>2</v>
      </c>
      <c r="CH51" s="93">
        <v>32</v>
      </c>
      <c r="CI51" s="98">
        <v>9</v>
      </c>
      <c r="CJ51" s="94">
        <v>0.61</v>
      </c>
      <c r="CK51" s="95">
        <v>303</v>
      </c>
      <c r="CL51" s="96">
        <v>4.0730186041509839E-3</v>
      </c>
      <c r="CM51" s="97">
        <v>74088</v>
      </c>
      <c r="CN51" s="96">
        <v>0.99591353909022473</v>
      </c>
      <c r="CO51"/>
      <c r="CP51"/>
      <c r="CQ51"/>
      <c r="CR51"/>
      <c r="CS51"/>
      <c r="CT51"/>
      <c r="CU51"/>
      <c r="CV51"/>
      <c r="CW51"/>
      <c r="CX51"/>
      <c r="CY51"/>
    </row>
    <row r="52" spans="1:103" ht="16" customHeight="1" x14ac:dyDescent="0.2">
      <c r="A52"/>
      <c r="B52"/>
      <c r="C52"/>
      <c r="D52"/>
      <c r="E52"/>
      <c r="F52" s="30" t="s">
        <v>30</v>
      </c>
      <c r="G52" s="30" t="s">
        <v>14</v>
      </c>
      <c r="H52" s="36"/>
      <c r="I52" s="30" t="s">
        <v>30</v>
      </c>
      <c r="J52" s="30" t="s">
        <v>14</v>
      </c>
      <c r="K52" s="36"/>
      <c r="L52" s="30" t="s">
        <v>30</v>
      </c>
      <c r="M52" s="30" t="s">
        <v>14</v>
      </c>
      <c r="N52"/>
      <c r="O52" s="56">
        <v>86</v>
      </c>
      <c r="P52" s="83">
        <v>6</v>
      </c>
      <c r="Q52" s="15">
        <v>26.38</v>
      </c>
      <c r="R52" s="57">
        <v>3433</v>
      </c>
      <c r="S52" s="16">
        <v>1.1963756752047396E-2</v>
      </c>
      <c r="T52" s="17">
        <v>212955</v>
      </c>
      <c r="U52" s="16">
        <v>0.74213277574490333</v>
      </c>
      <c r="V52" s="28"/>
      <c r="W52" s="56">
        <v>112</v>
      </c>
      <c r="X52" s="83">
        <v>4</v>
      </c>
      <c r="Y52" s="15">
        <v>69.959999999999994</v>
      </c>
      <c r="Z52" s="57">
        <v>3519</v>
      </c>
      <c r="AA52" s="16">
        <v>1.2304238826009881E-2</v>
      </c>
      <c r="AB52" s="17">
        <v>87680</v>
      </c>
      <c r="AC52" s="16">
        <v>0.30657449851223256</v>
      </c>
      <c r="AD52"/>
      <c r="AE52" s="99">
        <v>0</v>
      </c>
      <c r="AF52" s="100">
        <v>28</v>
      </c>
      <c r="AG52" s="101">
        <v>9</v>
      </c>
      <c r="AH52" s="102">
        <v>0.14000000000000001</v>
      </c>
      <c r="AI52" s="103">
        <v>270</v>
      </c>
      <c r="AJ52" s="104">
        <v>2.8094856560149008E-3</v>
      </c>
      <c r="AK52" s="105">
        <v>96103</v>
      </c>
      <c r="AL52" s="106">
        <v>1</v>
      </c>
      <c r="AM52"/>
      <c r="AN52" s="99">
        <v>0</v>
      </c>
      <c r="AO52" s="100">
        <v>33</v>
      </c>
      <c r="AP52" s="101">
        <v>9</v>
      </c>
      <c r="AQ52" s="102">
        <v>0.34</v>
      </c>
      <c r="AR52" s="103">
        <v>157</v>
      </c>
      <c r="AS52" s="104">
        <v>6.8660893903612352E-3</v>
      </c>
      <c r="AT52" s="105">
        <v>22866</v>
      </c>
      <c r="AU52" s="106">
        <v>1</v>
      </c>
      <c r="AV52"/>
      <c r="AW52" s="99">
        <v>0</v>
      </c>
      <c r="AX52" s="100">
        <v>31</v>
      </c>
      <c r="AY52" s="101">
        <v>9</v>
      </c>
      <c r="AZ52" s="102">
        <v>0.17</v>
      </c>
      <c r="BA52" s="103">
        <v>88</v>
      </c>
      <c r="BB52" s="104">
        <v>3.4000463642686034E-3</v>
      </c>
      <c r="BC52" s="105">
        <v>25882</v>
      </c>
      <c r="BD52" s="106">
        <v>1</v>
      </c>
      <c r="BE52"/>
      <c r="BF52" s="99">
        <v>0</v>
      </c>
      <c r="BG52" s="100">
        <v>28</v>
      </c>
      <c r="BH52" s="101">
        <v>9</v>
      </c>
      <c r="BI52" s="102">
        <v>0.2</v>
      </c>
      <c r="BJ52" s="103">
        <v>158</v>
      </c>
      <c r="BK52" s="104">
        <v>4.080367749599711E-3</v>
      </c>
      <c r="BL52" s="105">
        <v>38722</v>
      </c>
      <c r="BM52" s="106">
        <v>1</v>
      </c>
      <c r="BN52"/>
      <c r="BO52" s="99">
        <v>0</v>
      </c>
      <c r="BP52" s="100">
        <v>28</v>
      </c>
      <c r="BQ52" s="101">
        <v>9</v>
      </c>
      <c r="BR52" s="102">
        <v>0.15</v>
      </c>
      <c r="BS52" s="103">
        <v>147</v>
      </c>
      <c r="BT52" s="104">
        <v>3.0636488683256223E-3</v>
      </c>
      <c r="BU52" s="105">
        <v>47982</v>
      </c>
      <c r="BV52" s="106">
        <v>1</v>
      </c>
      <c r="BW52"/>
      <c r="BX52" s="99">
        <v>0</v>
      </c>
      <c r="BY52" s="100">
        <v>28</v>
      </c>
      <c r="BZ52" s="101">
        <v>9</v>
      </c>
      <c r="CA52" s="102">
        <v>0.14000000000000001</v>
      </c>
      <c r="CB52" s="103">
        <v>238</v>
      </c>
      <c r="CC52" s="104">
        <v>2.8461750038865836E-3</v>
      </c>
      <c r="CD52" s="105">
        <v>83621</v>
      </c>
      <c r="CE52" s="106">
        <v>1</v>
      </c>
      <c r="CF52"/>
      <c r="CG52" s="99">
        <v>0</v>
      </c>
      <c r="CH52" s="100">
        <v>31</v>
      </c>
      <c r="CI52" s="101">
        <v>9</v>
      </c>
      <c r="CJ52" s="102">
        <v>0.2</v>
      </c>
      <c r="CK52" s="103">
        <v>304</v>
      </c>
      <c r="CL52" s="104">
        <v>4.0864609097752448E-3</v>
      </c>
      <c r="CM52" s="105">
        <v>74392</v>
      </c>
      <c r="CN52" s="106">
        <v>1</v>
      </c>
      <c r="CO52"/>
      <c r="CP52"/>
      <c r="CQ52"/>
      <c r="CR52"/>
      <c r="CS52"/>
      <c r="CT52"/>
      <c r="CU52"/>
      <c r="CV52"/>
      <c r="CW52"/>
      <c r="CX52"/>
      <c r="CY52"/>
    </row>
    <row r="53" spans="1:103" ht="16" customHeight="1" x14ac:dyDescent="0.2">
      <c r="A53"/>
      <c r="B53"/>
      <c r="C53"/>
      <c r="D53"/>
      <c r="E53"/>
      <c r="F53" s="86">
        <v>44</v>
      </c>
      <c r="G53" s="85">
        <v>1</v>
      </c>
      <c r="H53" s="36"/>
      <c r="I53" s="86">
        <v>42</v>
      </c>
      <c r="J53" s="85">
        <v>1</v>
      </c>
      <c r="K53" s="36"/>
      <c r="L53" s="86">
        <v>45</v>
      </c>
      <c r="M53" s="85">
        <v>1</v>
      </c>
      <c r="N53"/>
      <c r="O53" s="56">
        <v>85</v>
      </c>
      <c r="P53" s="83">
        <v>6</v>
      </c>
      <c r="Q53" s="15">
        <v>25.26</v>
      </c>
      <c r="R53" s="57">
        <v>3048</v>
      </c>
      <c r="S53" s="16">
        <v>1.062205959226346E-2</v>
      </c>
      <c r="T53" s="17">
        <v>216003</v>
      </c>
      <c r="U53" s="16">
        <v>0.75275483533716681</v>
      </c>
      <c r="V53" s="28"/>
      <c r="W53" s="56">
        <v>111</v>
      </c>
      <c r="X53" s="83">
        <v>4</v>
      </c>
      <c r="Y53" s="15">
        <v>68.8</v>
      </c>
      <c r="Z53" s="57">
        <v>3102</v>
      </c>
      <c r="AA53" s="16">
        <v>1.0846191769901294E-2</v>
      </c>
      <c r="AB53" s="17">
        <v>90782</v>
      </c>
      <c r="AC53" s="16">
        <v>0.31742069028213388</v>
      </c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</row>
    <row r="54" spans="1:103" ht="16" customHeight="1" x14ac:dyDescent="0.2">
      <c r="A54"/>
      <c r="B54"/>
      <c r="C54"/>
      <c r="D54"/>
      <c r="E54"/>
      <c r="F54" s="86">
        <v>37</v>
      </c>
      <c r="G54" s="85">
        <v>2</v>
      </c>
      <c r="H54" s="36"/>
      <c r="I54" s="86">
        <v>33</v>
      </c>
      <c r="J54" s="85">
        <v>2</v>
      </c>
      <c r="K54" s="36"/>
      <c r="L54" s="86">
        <v>41</v>
      </c>
      <c r="M54" s="85">
        <v>2</v>
      </c>
      <c r="N54"/>
      <c r="O54" s="56">
        <v>84</v>
      </c>
      <c r="P54" s="83">
        <v>6</v>
      </c>
      <c r="Q54" s="15">
        <v>24.17</v>
      </c>
      <c r="R54" s="57">
        <v>3156</v>
      </c>
      <c r="S54" s="16">
        <v>1.0998431782540513E-2</v>
      </c>
      <c r="T54" s="17">
        <v>219159</v>
      </c>
      <c r="U54" s="16">
        <v>0.76375326711970726</v>
      </c>
      <c r="V54" s="28"/>
      <c r="W54" s="56">
        <v>110</v>
      </c>
      <c r="X54" s="83">
        <v>4</v>
      </c>
      <c r="Y54" s="15">
        <v>67.739999999999995</v>
      </c>
      <c r="Z54" s="57">
        <v>2954</v>
      </c>
      <c r="AA54" s="16">
        <v>1.0328707443033018E-2</v>
      </c>
      <c r="AB54" s="17">
        <v>93736</v>
      </c>
      <c r="AC54" s="16">
        <v>0.32774939772516687</v>
      </c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</row>
    <row r="55" spans="1:103" ht="16" customHeight="1" x14ac:dyDescent="0.2">
      <c r="A55"/>
      <c r="B55"/>
      <c r="C55"/>
      <c r="D55"/>
      <c r="E55"/>
      <c r="F55" s="86">
        <v>29</v>
      </c>
      <c r="G55" s="85">
        <v>3</v>
      </c>
      <c r="H55" s="36"/>
      <c r="I55" s="86">
        <v>25</v>
      </c>
      <c r="J55" s="85">
        <v>3</v>
      </c>
      <c r="K55" s="36"/>
      <c r="L55" s="86">
        <v>34</v>
      </c>
      <c r="M55" s="85">
        <v>3</v>
      </c>
      <c r="N55"/>
      <c r="O55" s="60">
        <v>83</v>
      </c>
      <c r="P55" s="84">
        <v>6</v>
      </c>
      <c r="Q55" s="33">
        <v>23.06</v>
      </c>
      <c r="R55" s="61">
        <v>3239</v>
      </c>
      <c r="S55" s="34">
        <v>1.1287680780623801E-2</v>
      </c>
      <c r="T55" s="35">
        <v>222398</v>
      </c>
      <c r="U55" s="34">
        <v>0.77504094790033107</v>
      </c>
      <c r="V55" s="28"/>
      <c r="W55" s="56">
        <v>109</v>
      </c>
      <c r="X55" s="83">
        <v>4</v>
      </c>
      <c r="Y55" s="15">
        <v>66.59</v>
      </c>
      <c r="Z55" s="57">
        <v>3623</v>
      </c>
      <c r="AA55" s="16">
        <v>1.2667876461106507E-2</v>
      </c>
      <c r="AB55" s="17">
        <v>97359</v>
      </c>
      <c r="AC55" s="16">
        <v>0.34041727418627338</v>
      </c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</row>
    <row r="56" spans="1:103" ht="16" customHeight="1" x14ac:dyDescent="0.2">
      <c r="A56"/>
      <c r="B56"/>
      <c r="C56"/>
      <c r="D56"/>
      <c r="E56"/>
      <c r="F56" s="86">
        <v>20</v>
      </c>
      <c r="G56" s="85">
        <v>4</v>
      </c>
      <c r="H56" s="36"/>
      <c r="I56" s="86">
        <v>19</v>
      </c>
      <c r="J56" s="85">
        <v>4</v>
      </c>
      <c r="K56" s="36"/>
      <c r="L56" s="86">
        <v>25</v>
      </c>
      <c r="M56" s="85">
        <v>4</v>
      </c>
      <c r="N56"/>
      <c r="O56" s="56">
        <v>82</v>
      </c>
      <c r="P56" s="83">
        <v>7</v>
      </c>
      <c r="Q56" s="15">
        <v>21.95</v>
      </c>
      <c r="R56" s="57">
        <v>3125</v>
      </c>
      <c r="S56" s="16">
        <v>1.0890399024220248E-2</v>
      </c>
      <c r="T56" s="17">
        <v>225523</v>
      </c>
      <c r="U56" s="16">
        <v>0.78593134692455136</v>
      </c>
      <c r="V56" s="28"/>
      <c r="W56" s="56">
        <v>108</v>
      </c>
      <c r="X56" s="83">
        <v>4</v>
      </c>
      <c r="Y56" s="15">
        <v>65.36</v>
      </c>
      <c r="Z56" s="57">
        <v>3404</v>
      </c>
      <c r="AA56" s="16">
        <v>1.1902139517970343E-2</v>
      </c>
      <c r="AB56" s="17">
        <v>100763</v>
      </c>
      <c r="AC56" s="16">
        <v>0.35231941370424374</v>
      </c>
      <c r="AD56"/>
      <c r="AE56" s="156" t="s">
        <v>21</v>
      </c>
      <c r="AF56" s="156"/>
      <c r="AG56" s="88" t="s">
        <v>2</v>
      </c>
      <c r="AH56" s="89">
        <v>23.425143753267101</v>
      </c>
      <c r="AI56" s="88" t="s">
        <v>3</v>
      </c>
      <c r="AJ56" s="89">
        <v>12.315650131128301</v>
      </c>
      <c r="AK56" s="88" t="s">
        <v>34</v>
      </c>
      <c r="AL56" s="90">
        <v>19130</v>
      </c>
      <c r="AM56"/>
      <c r="AN56" s="156" t="s">
        <v>22</v>
      </c>
      <c r="AO56" s="156"/>
      <c r="AP56" s="88" t="s">
        <v>2</v>
      </c>
      <c r="AQ56" s="89">
        <v>22.080568388632202</v>
      </c>
      <c r="AR56" s="88" t="s">
        <v>3</v>
      </c>
      <c r="AS56" s="89">
        <v>12.218249174602301</v>
      </c>
      <c r="AT56" s="88" t="s">
        <v>34</v>
      </c>
      <c r="AU56" s="90">
        <v>14286</v>
      </c>
      <c r="AV56"/>
      <c r="AW56" s="156" t="s">
        <v>23</v>
      </c>
      <c r="AX56" s="156"/>
      <c r="AY56" s="88" t="s">
        <v>2</v>
      </c>
      <c r="AZ56" s="89">
        <v>20.645196970986099</v>
      </c>
      <c r="BA56" s="88" t="s">
        <v>3</v>
      </c>
      <c r="BB56" s="89">
        <v>12.1809664694873</v>
      </c>
      <c r="BC56" s="88" t="s">
        <v>34</v>
      </c>
      <c r="BD56" s="90">
        <v>11753</v>
      </c>
      <c r="BE56"/>
      <c r="BF56" s="156" t="s">
        <v>29</v>
      </c>
      <c r="BG56" s="156"/>
      <c r="BH56" s="88" t="s">
        <v>2</v>
      </c>
      <c r="BI56" s="89">
        <v>16.745185966763302</v>
      </c>
      <c r="BJ56" s="88" t="s">
        <v>3</v>
      </c>
      <c r="BK56" s="89">
        <v>10.267124003619299</v>
      </c>
      <c r="BL56" s="88" t="s">
        <v>34</v>
      </c>
      <c r="BM56" s="90">
        <v>3791</v>
      </c>
      <c r="BN56"/>
      <c r="BO56" s="156" t="s">
        <v>31</v>
      </c>
      <c r="BP56" s="156"/>
      <c r="BQ56" s="88" t="s">
        <v>2</v>
      </c>
      <c r="BR56" s="89">
        <v>16.338200659444102</v>
      </c>
      <c r="BS56" s="88" t="s">
        <v>3</v>
      </c>
      <c r="BT56" s="89">
        <v>10.874875474818101</v>
      </c>
      <c r="BU56" s="88" t="s">
        <v>34</v>
      </c>
      <c r="BV56" s="90">
        <v>4246</v>
      </c>
      <c r="BW56"/>
      <c r="BX56" s="156" t="s">
        <v>32</v>
      </c>
      <c r="BY56" s="156"/>
      <c r="BZ56" s="88" t="s">
        <v>2</v>
      </c>
      <c r="CA56" s="89">
        <v>27.71</v>
      </c>
      <c r="CB56" s="88" t="s">
        <v>3</v>
      </c>
      <c r="CC56" s="89">
        <v>12.28</v>
      </c>
      <c r="CD56" s="88" t="s">
        <v>34</v>
      </c>
      <c r="CE56" s="90">
        <v>5804</v>
      </c>
      <c r="CF56"/>
      <c r="CG56" s="156" t="s">
        <v>33</v>
      </c>
      <c r="CH56" s="156"/>
      <c r="CI56" s="88" t="s">
        <v>2</v>
      </c>
      <c r="CJ56" s="89">
        <v>14.0083761660003</v>
      </c>
      <c r="CK56" s="88" t="s">
        <v>3</v>
      </c>
      <c r="CL56" s="89">
        <v>10.080785728314501</v>
      </c>
      <c r="CM56" s="88" t="s">
        <v>34</v>
      </c>
      <c r="CN56" s="90">
        <v>5253</v>
      </c>
      <c r="CO56"/>
      <c r="CP56"/>
      <c r="CQ56"/>
      <c r="CR56"/>
      <c r="CS56"/>
      <c r="CT56"/>
      <c r="CU56"/>
      <c r="CV56"/>
      <c r="CW56"/>
      <c r="CX56"/>
      <c r="CY56"/>
    </row>
    <row r="57" spans="1:103" ht="16" customHeight="1" x14ac:dyDescent="0.2">
      <c r="A57"/>
      <c r="B57"/>
      <c r="C57"/>
      <c r="D57"/>
      <c r="E57"/>
      <c r="F57" s="86">
        <v>16</v>
      </c>
      <c r="G57" s="85">
        <v>5</v>
      </c>
      <c r="H57" s="36"/>
      <c r="I57" s="86">
        <v>13</v>
      </c>
      <c r="J57" s="85">
        <v>5</v>
      </c>
      <c r="K57" s="36"/>
      <c r="L57" s="86">
        <v>17</v>
      </c>
      <c r="M57" s="85">
        <v>5</v>
      </c>
      <c r="N57"/>
      <c r="O57" s="56">
        <v>81</v>
      </c>
      <c r="P57" s="83">
        <v>7</v>
      </c>
      <c r="Q57" s="15">
        <v>20.89</v>
      </c>
      <c r="R57" s="57">
        <v>2981</v>
      </c>
      <c r="S57" s="16">
        <v>1.0388569437184178E-2</v>
      </c>
      <c r="T57" s="17">
        <v>228504</v>
      </c>
      <c r="U57" s="16">
        <v>0.79631991636173549</v>
      </c>
      <c r="V57" s="28"/>
      <c r="W57" s="56">
        <v>107</v>
      </c>
      <c r="X57" s="83">
        <v>4</v>
      </c>
      <c r="Y57" s="15">
        <v>64.25</v>
      </c>
      <c r="Z57" s="57">
        <v>2935</v>
      </c>
      <c r="AA57" s="16">
        <v>1.0262273644313442E-2</v>
      </c>
      <c r="AB57" s="17">
        <v>103698</v>
      </c>
      <c r="AC57" s="16">
        <v>0.36258168734855717</v>
      </c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</row>
    <row r="58" spans="1:103" ht="16" customHeight="1" x14ac:dyDescent="0.2">
      <c r="A58"/>
      <c r="B58"/>
      <c r="C58"/>
      <c r="D58"/>
      <c r="E58"/>
      <c r="F58" s="86">
        <v>10</v>
      </c>
      <c r="G58" s="85">
        <v>6</v>
      </c>
      <c r="H58" s="36"/>
      <c r="I58" s="86">
        <v>11</v>
      </c>
      <c r="J58" s="85">
        <v>6</v>
      </c>
      <c r="K58" s="36"/>
      <c r="L58" s="86">
        <v>11</v>
      </c>
      <c r="M58" s="85">
        <v>6</v>
      </c>
      <c r="N58"/>
      <c r="O58" s="56">
        <v>80</v>
      </c>
      <c r="P58" s="83">
        <v>7</v>
      </c>
      <c r="Q58" s="15">
        <v>19.87</v>
      </c>
      <c r="R58" s="57">
        <v>2884</v>
      </c>
      <c r="S58" s="16">
        <v>1.0050531451472382E-2</v>
      </c>
      <c r="T58" s="17">
        <v>231388</v>
      </c>
      <c r="U58" s="16">
        <v>0.80637044781320788</v>
      </c>
      <c r="V58" s="28"/>
      <c r="W58" s="56">
        <v>106</v>
      </c>
      <c r="X58" s="83">
        <v>4</v>
      </c>
      <c r="Y58" s="15">
        <v>63.12</v>
      </c>
      <c r="Z58" s="57">
        <v>3555</v>
      </c>
      <c r="AA58" s="16">
        <v>1.2430113392004867E-2</v>
      </c>
      <c r="AB58" s="17">
        <v>107253</v>
      </c>
      <c r="AC58" s="16">
        <v>0.37501180074056201</v>
      </c>
      <c r="AD58"/>
      <c r="AE58" s="91" t="s">
        <v>30</v>
      </c>
      <c r="AF58" s="81" t="s">
        <v>13</v>
      </c>
      <c r="AG58" s="81" t="s">
        <v>14</v>
      </c>
      <c r="AH58" s="81" t="s">
        <v>15</v>
      </c>
      <c r="AI58" s="81" t="s">
        <v>16</v>
      </c>
      <c r="AJ58" s="81" t="s">
        <v>17</v>
      </c>
      <c r="AK58" s="81" t="s">
        <v>18</v>
      </c>
      <c r="AL58" s="81" t="s">
        <v>19</v>
      </c>
      <c r="AM58"/>
      <c r="AN58" s="91" t="s">
        <v>30</v>
      </c>
      <c r="AO58" s="81" t="s">
        <v>13</v>
      </c>
      <c r="AP58" s="81" t="s">
        <v>14</v>
      </c>
      <c r="AQ58" s="81" t="s">
        <v>15</v>
      </c>
      <c r="AR58" s="81" t="s">
        <v>16</v>
      </c>
      <c r="AS58" s="81" t="s">
        <v>17</v>
      </c>
      <c r="AT58" s="81" t="s">
        <v>18</v>
      </c>
      <c r="AU58" s="81" t="s">
        <v>19</v>
      </c>
      <c r="AV58"/>
      <c r="AW58" s="91" t="s">
        <v>30</v>
      </c>
      <c r="AX58" s="81" t="s">
        <v>13</v>
      </c>
      <c r="AY58" s="81" t="s">
        <v>14</v>
      </c>
      <c r="AZ58" s="81" t="s">
        <v>15</v>
      </c>
      <c r="BA58" s="81" t="s">
        <v>16</v>
      </c>
      <c r="BB58" s="81" t="s">
        <v>17</v>
      </c>
      <c r="BC58" s="81" t="s">
        <v>18</v>
      </c>
      <c r="BD58" s="81" t="s">
        <v>19</v>
      </c>
      <c r="BE58"/>
      <c r="BF58" s="91" t="s">
        <v>30</v>
      </c>
      <c r="BG58" s="81" t="s">
        <v>13</v>
      </c>
      <c r="BH58" s="81" t="s">
        <v>14</v>
      </c>
      <c r="BI58" s="81" t="s">
        <v>15</v>
      </c>
      <c r="BJ58" s="81" t="s">
        <v>16</v>
      </c>
      <c r="BK58" s="81" t="s">
        <v>17</v>
      </c>
      <c r="BL58" s="81" t="s">
        <v>18</v>
      </c>
      <c r="BM58" s="81" t="s">
        <v>19</v>
      </c>
      <c r="BN58"/>
      <c r="BO58" s="91" t="s">
        <v>30</v>
      </c>
      <c r="BP58" s="81" t="s">
        <v>13</v>
      </c>
      <c r="BQ58" s="81" t="s">
        <v>14</v>
      </c>
      <c r="BR58" s="81" t="s">
        <v>15</v>
      </c>
      <c r="BS58" s="81" t="s">
        <v>16</v>
      </c>
      <c r="BT58" s="81" t="s">
        <v>17</v>
      </c>
      <c r="BU58" s="81" t="s">
        <v>18</v>
      </c>
      <c r="BV58" s="81" t="s">
        <v>19</v>
      </c>
      <c r="BW58"/>
      <c r="BX58" s="91" t="s">
        <v>30</v>
      </c>
      <c r="BY58" s="81" t="s">
        <v>13</v>
      </c>
      <c r="BZ58" s="81" t="s">
        <v>14</v>
      </c>
      <c r="CA58" s="81" t="s">
        <v>15</v>
      </c>
      <c r="CB58" s="81" t="s">
        <v>16</v>
      </c>
      <c r="CC58" s="81" t="s">
        <v>17</v>
      </c>
      <c r="CD58" s="81" t="s">
        <v>18</v>
      </c>
      <c r="CE58" s="81" t="s">
        <v>19</v>
      </c>
      <c r="CF58"/>
      <c r="CG58" s="91" t="s">
        <v>30</v>
      </c>
      <c r="CH58" s="81" t="s">
        <v>13</v>
      </c>
      <c r="CI58" s="81" t="s">
        <v>14</v>
      </c>
      <c r="CJ58" s="81" t="s">
        <v>15</v>
      </c>
      <c r="CK58" s="81" t="s">
        <v>16</v>
      </c>
      <c r="CL58" s="81" t="s">
        <v>17</v>
      </c>
      <c r="CM58" s="81" t="s">
        <v>18</v>
      </c>
      <c r="CN58" s="81" t="s">
        <v>19</v>
      </c>
      <c r="CO58"/>
      <c r="CP58"/>
      <c r="CQ58"/>
      <c r="CR58"/>
      <c r="CS58"/>
      <c r="CT58"/>
      <c r="CU58"/>
      <c r="CV58"/>
      <c r="CW58"/>
      <c r="CX58"/>
      <c r="CY58"/>
    </row>
    <row r="59" spans="1:103" ht="16" customHeight="1" x14ac:dyDescent="0.2">
      <c r="A59"/>
      <c r="B59"/>
      <c r="C59"/>
      <c r="D59"/>
      <c r="E59"/>
      <c r="F59" s="86">
        <v>9</v>
      </c>
      <c r="G59" s="85">
        <v>7</v>
      </c>
      <c r="H59" s="36"/>
      <c r="I59" s="86">
        <v>8</v>
      </c>
      <c r="J59" s="85">
        <v>7</v>
      </c>
      <c r="K59" s="36"/>
      <c r="L59" s="86">
        <v>10</v>
      </c>
      <c r="M59" s="85">
        <v>7</v>
      </c>
      <c r="N59"/>
      <c r="O59" s="56">
        <v>79</v>
      </c>
      <c r="P59" s="83">
        <v>7</v>
      </c>
      <c r="Q59" s="15">
        <v>18.87</v>
      </c>
      <c r="R59" s="57">
        <v>2850</v>
      </c>
      <c r="S59" s="16">
        <v>9.9320439100888652E-3</v>
      </c>
      <c r="T59" s="17">
        <v>234238</v>
      </c>
      <c r="U59" s="16">
        <v>0.81630249172329672</v>
      </c>
      <c r="V59" s="28"/>
      <c r="W59" s="56">
        <v>105</v>
      </c>
      <c r="X59" s="83">
        <v>4</v>
      </c>
      <c r="Y59" s="15">
        <v>61.94</v>
      </c>
      <c r="Z59" s="57">
        <v>3223</v>
      </c>
      <c r="AA59" s="16">
        <v>1.1269270172273329E-2</v>
      </c>
      <c r="AB59" s="17">
        <v>110476</v>
      </c>
      <c r="AC59" s="16">
        <v>0.38628107091283537</v>
      </c>
      <c r="AD59"/>
      <c r="AE59" s="92">
        <v>50</v>
      </c>
      <c r="AF59" s="93">
        <v>72</v>
      </c>
      <c r="AG59" s="92">
        <v>1</v>
      </c>
      <c r="AH59" s="94">
        <v>98.93</v>
      </c>
      <c r="AI59" s="95">
        <v>411</v>
      </c>
      <c r="AJ59" s="96">
        <v>2.1484579194981705E-2</v>
      </c>
      <c r="AK59" s="97">
        <v>411</v>
      </c>
      <c r="AL59" s="96">
        <v>2.1484579194981705E-2</v>
      </c>
      <c r="AM59"/>
      <c r="AN59" s="92">
        <v>50</v>
      </c>
      <c r="AO59" s="93">
        <v>73</v>
      </c>
      <c r="AP59" s="92">
        <v>1</v>
      </c>
      <c r="AQ59" s="94">
        <v>99.03</v>
      </c>
      <c r="AR59" s="95">
        <v>278</v>
      </c>
      <c r="AS59" s="96">
        <v>1.9459610807783845E-2</v>
      </c>
      <c r="AT59" s="97">
        <v>278</v>
      </c>
      <c r="AU59" s="96">
        <v>1.9459610807783845E-2</v>
      </c>
      <c r="AV59"/>
      <c r="AW59" s="92">
        <v>50</v>
      </c>
      <c r="AX59" s="93">
        <v>74</v>
      </c>
      <c r="AY59" s="92">
        <v>1</v>
      </c>
      <c r="AZ59" s="94">
        <v>98.86</v>
      </c>
      <c r="BA59" s="95">
        <v>267</v>
      </c>
      <c r="BB59" s="96">
        <v>2.2717604015995915E-2</v>
      </c>
      <c r="BC59" s="97">
        <v>267</v>
      </c>
      <c r="BD59" s="96">
        <v>2.2717604015995915E-2</v>
      </c>
      <c r="BE59"/>
      <c r="BF59" s="92">
        <v>50</v>
      </c>
      <c r="BG59" s="93">
        <v>82</v>
      </c>
      <c r="BH59" s="92">
        <v>1</v>
      </c>
      <c r="BI59" s="94">
        <v>99.63</v>
      </c>
      <c r="BJ59" s="95">
        <v>28</v>
      </c>
      <c r="BK59" s="96">
        <v>7.3859140068583485E-3</v>
      </c>
      <c r="BL59" s="97">
        <v>28</v>
      </c>
      <c r="BM59" s="96">
        <v>7.3859140068583485E-3</v>
      </c>
      <c r="BN59"/>
      <c r="BO59" s="92">
        <v>50</v>
      </c>
      <c r="BP59" s="93">
        <v>81</v>
      </c>
      <c r="BQ59" s="92">
        <v>1</v>
      </c>
      <c r="BR59" s="94">
        <v>99.34</v>
      </c>
      <c r="BS59" s="95">
        <v>56</v>
      </c>
      <c r="BT59" s="96">
        <v>1.3188883655204899E-2</v>
      </c>
      <c r="BU59" s="97">
        <v>56</v>
      </c>
      <c r="BV59" s="96">
        <v>1.3188883655204899E-2</v>
      </c>
      <c r="BW59"/>
      <c r="BX59" s="92">
        <v>50</v>
      </c>
      <c r="BY59" s="108">
        <v>68</v>
      </c>
      <c r="BZ59" s="109">
        <v>1</v>
      </c>
      <c r="CA59" s="110">
        <v>100</v>
      </c>
      <c r="CB59" s="111">
        <v>0</v>
      </c>
      <c r="CC59" s="112">
        <v>0</v>
      </c>
      <c r="CD59" s="113">
        <v>0</v>
      </c>
      <c r="CE59" s="112">
        <v>0</v>
      </c>
      <c r="CF59"/>
      <c r="CG59" s="92">
        <v>50</v>
      </c>
      <c r="CH59" s="93">
        <v>86</v>
      </c>
      <c r="CI59" s="92">
        <v>1</v>
      </c>
      <c r="CJ59" s="94">
        <v>99.44</v>
      </c>
      <c r="CK59" s="95">
        <v>59</v>
      </c>
      <c r="CL59" s="96">
        <v>1.1231677136874167E-2</v>
      </c>
      <c r="CM59" s="97">
        <v>59</v>
      </c>
      <c r="CN59" s="96">
        <v>1.1231677136874167E-2</v>
      </c>
      <c r="CO59"/>
      <c r="CP59"/>
      <c r="CQ59"/>
      <c r="CR59"/>
      <c r="CS59"/>
      <c r="CT59"/>
      <c r="CU59"/>
      <c r="CV59"/>
      <c r="CW59"/>
      <c r="CX59"/>
      <c r="CY59"/>
    </row>
    <row r="60" spans="1:103" ht="16" customHeight="1" x14ac:dyDescent="0.2">
      <c r="A60"/>
      <c r="B60"/>
      <c r="C60"/>
      <c r="D60"/>
      <c r="E60"/>
      <c r="F60" s="86">
        <v>5</v>
      </c>
      <c r="G60" s="85">
        <v>8</v>
      </c>
      <c r="H60" s="36"/>
      <c r="I60" s="86">
        <v>5</v>
      </c>
      <c r="J60" s="85">
        <v>8</v>
      </c>
      <c r="K60" s="36"/>
      <c r="L60" s="86">
        <v>7</v>
      </c>
      <c r="M60" s="85">
        <v>8</v>
      </c>
      <c r="N60"/>
      <c r="O60" s="56">
        <v>78</v>
      </c>
      <c r="P60" s="83">
        <v>7</v>
      </c>
      <c r="Q60" s="15">
        <v>17.87</v>
      </c>
      <c r="R60" s="57">
        <v>2854</v>
      </c>
      <c r="S60" s="16">
        <v>9.9459836208398676E-3</v>
      </c>
      <c r="T60" s="17">
        <v>237092</v>
      </c>
      <c r="U60" s="16">
        <v>0.82624847534413659</v>
      </c>
      <c r="V60" s="28"/>
      <c r="W60" s="56">
        <v>104</v>
      </c>
      <c r="X60" s="83">
        <v>4</v>
      </c>
      <c r="Y60" s="15">
        <v>60.78</v>
      </c>
      <c r="Z60" s="57">
        <v>3382</v>
      </c>
      <c r="AA60" s="16">
        <v>1.1825216172084518E-2</v>
      </c>
      <c r="AB60" s="17">
        <v>113858</v>
      </c>
      <c r="AC60" s="16">
        <v>0.39810628708491985</v>
      </c>
      <c r="AD60"/>
      <c r="AE60" s="92">
        <v>48</v>
      </c>
      <c r="AF60" s="93">
        <v>70</v>
      </c>
      <c r="AG60" s="98">
        <v>1</v>
      </c>
      <c r="AH60" s="94">
        <v>97.48</v>
      </c>
      <c r="AI60" s="95">
        <v>144</v>
      </c>
      <c r="AJ60" s="96">
        <v>7.5274438055410349E-3</v>
      </c>
      <c r="AK60" s="97">
        <v>555</v>
      </c>
      <c r="AL60" s="96">
        <v>2.9012023000522739E-2</v>
      </c>
      <c r="AM60"/>
      <c r="AN60" s="92">
        <v>48</v>
      </c>
      <c r="AO60" s="93">
        <v>71</v>
      </c>
      <c r="AP60" s="98">
        <v>1</v>
      </c>
      <c r="AQ60" s="94">
        <v>97.94</v>
      </c>
      <c r="AR60" s="95">
        <v>32</v>
      </c>
      <c r="AS60" s="96">
        <v>2.2399552008959822E-3</v>
      </c>
      <c r="AT60" s="97">
        <v>310</v>
      </c>
      <c r="AU60" s="96">
        <v>2.1699566008679828E-2</v>
      </c>
      <c r="AV60"/>
      <c r="AW60" s="92">
        <v>48</v>
      </c>
      <c r="AX60" s="152">
        <v>72</v>
      </c>
      <c r="AY60" s="153">
        <v>1</v>
      </c>
      <c r="AZ60" s="154">
        <v>96.4</v>
      </c>
      <c r="BA60" s="155">
        <v>313</v>
      </c>
      <c r="BB60" s="161">
        <v>2.6631498340849144E-2</v>
      </c>
      <c r="BC60" s="162">
        <v>580</v>
      </c>
      <c r="BD60" s="161">
        <v>4.9349102356845059E-2</v>
      </c>
      <c r="BE60"/>
      <c r="BF60" s="92">
        <v>48</v>
      </c>
      <c r="BG60" s="93">
        <v>80</v>
      </c>
      <c r="BH60" s="98">
        <v>1</v>
      </c>
      <c r="BI60" s="94">
        <v>99.24</v>
      </c>
      <c r="BJ60" s="95">
        <v>2</v>
      </c>
      <c r="BK60" s="96">
        <v>5.2756528620416781E-4</v>
      </c>
      <c r="BL60" s="97">
        <v>30</v>
      </c>
      <c r="BM60" s="96">
        <v>7.9134792930625163E-3</v>
      </c>
      <c r="BN60"/>
      <c r="BO60" s="92">
        <v>48</v>
      </c>
      <c r="BP60" s="93">
        <v>79</v>
      </c>
      <c r="BQ60" s="98">
        <v>1</v>
      </c>
      <c r="BR60" s="94">
        <v>98.32</v>
      </c>
      <c r="BS60" s="95">
        <v>31</v>
      </c>
      <c r="BT60" s="96">
        <v>7.3009891662741402E-3</v>
      </c>
      <c r="BU60" s="97">
        <v>87</v>
      </c>
      <c r="BV60" s="96">
        <v>2.048987282147904E-2</v>
      </c>
      <c r="BW60"/>
      <c r="BX60" s="92">
        <v>48</v>
      </c>
      <c r="BY60" s="93">
        <v>67</v>
      </c>
      <c r="BZ60" s="98">
        <v>1</v>
      </c>
      <c r="CA60" s="94">
        <v>99.92</v>
      </c>
      <c r="CB60" s="95">
        <v>9</v>
      </c>
      <c r="CC60" s="96">
        <v>1.5506547208821502E-3</v>
      </c>
      <c r="CD60" s="97">
        <v>9</v>
      </c>
      <c r="CE60" s="96">
        <v>1.5506547208821502E-3</v>
      </c>
      <c r="CF60"/>
      <c r="CG60" s="92">
        <v>48</v>
      </c>
      <c r="CH60" s="93">
        <v>84</v>
      </c>
      <c r="CI60" s="98">
        <v>1</v>
      </c>
      <c r="CJ60" s="94">
        <v>98.62</v>
      </c>
      <c r="CK60" s="95">
        <v>27</v>
      </c>
      <c r="CL60" s="96">
        <v>5.1399200456881781E-3</v>
      </c>
      <c r="CM60" s="97">
        <v>86</v>
      </c>
      <c r="CN60" s="96">
        <v>1.6371597182562345E-2</v>
      </c>
      <c r="CO60"/>
      <c r="CP60"/>
      <c r="CQ60"/>
      <c r="CR60"/>
      <c r="CS60"/>
      <c r="CT60"/>
      <c r="CU60"/>
      <c r="CV60"/>
      <c r="CW60"/>
      <c r="CX60"/>
      <c r="CY60"/>
    </row>
    <row r="61" spans="1:103" ht="16" customHeight="1" x14ac:dyDescent="0.2">
      <c r="A61"/>
      <c r="B61"/>
      <c r="C61"/>
      <c r="D61"/>
      <c r="E61"/>
      <c r="F61" s="86">
        <v>0</v>
      </c>
      <c r="G61" s="85">
        <v>9</v>
      </c>
      <c r="H61" s="36"/>
      <c r="I61" s="86">
        <v>0</v>
      </c>
      <c r="J61" s="85">
        <v>9</v>
      </c>
      <c r="K61" s="36"/>
      <c r="L61" s="86">
        <v>0</v>
      </c>
      <c r="M61" s="85">
        <v>9</v>
      </c>
      <c r="N61"/>
      <c r="O61" s="56">
        <v>77</v>
      </c>
      <c r="P61" s="83">
        <v>7</v>
      </c>
      <c r="Q61" s="15">
        <v>16.91</v>
      </c>
      <c r="R61" s="57">
        <v>2688</v>
      </c>
      <c r="S61" s="16">
        <v>9.3674856246732888E-3</v>
      </c>
      <c r="T61" s="17">
        <v>239780</v>
      </c>
      <c r="U61" s="16">
        <v>0.83561596096880986</v>
      </c>
      <c r="V61" s="28"/>
      <c r="W61" s="60">
        <v>103</v>
      </c>
      <c r="X61" s="84">
        <v>4</v>
      </c>
      <c r="Y61" s="33">
        <v>59.47</v>
      </c>
      <c r="Z61" s="61">
        <v>4112</v>
      </c>
      <c r="AA61" s="34">
        <v>1.4377672649205068E-2</v>
      </c>
      <c r="AB61" s="35">
        <v>117970</v>
      </c>
      <c r="AC61" s="34">
        <v>0.41248395973412494</v>
      </c>
      <c r="AD61"/>
      <c r="AE61" s="99">
        <v>47</v>
      </c>
      <c r="AF61" s="100">
        <v>69</v>
      </c>
      <c r="AG61" s="101">
        <v>1</v>
      </c>
      <c r="AH61" s="102">
        <v>96.13</v>
      </c>
      <c r="AI61" s="103">
        <v>371</v>
      </c>
      <c r="AJ61" s="104">
        <v>1.9393622582331415E-2</v>
      </c>
      <c r="AK61" s="105">
        <v>926</v>
      </c>
      <c r="AL61" s="104">
        <v>4.8405645582854158E-2</v>
      </c>
      <c r="AM61"/>
      <c r="AN61" s="92">
        <v>47</v>
      </c>
      <c r="AO61" s="152">
        <v>70</v>
      </c>
      <c r="AP61" s="153">
        <v>1</v>
      </c>
      <c r="AQ61" s="154">
        <v>96.62</v>
      </c>
      <c r="AR61" s="155">
        <v>346</v>
      </c>
      <c r="AS61" s="161">
        <v>2.4219515609687808E-2</v>
      </c>
      <c r="AT61" s="162">
        <v>656</v>
      </c>
      <c r="AU61" s="161">
        <v>4.5919081618367635E-2</v>
      </c>
      <c r="AV61"/>
      <c r="AW61" s="99">
        <v>47</v>
      </c>
      <c r="AX61" s="145"/>
      <c r="AY61" s="147"/>
      <c r="AZ61" s="149"/>
      <c r="BA61" s="151"/>
      <c r="BB61" s="158"/>
      <c r="BC61" s="160"/>
      <c r="BD61" s="158"/>
      <c r="BE61"/>
      <c r="BF61" s="92">
        <v>47</v>
      </c>
      <c r="BG61" s="93">
        <v>79</v>
      </c>
      <c r="BH61" s="98">
        <v>1</v>
      </c>
      <c r="BI61" s="94">
        <v>98.67</v>
      </c>
      <c r="BJ61" s="95">
        <v>41</v>
      </c>
      <c r="BK61" s="96">
        <v>1.0815088367185439E-2</v>
      </c>
      <c r="BL61" s="97">
        <v>71</v>
      </c>
      <c r="BM61" s="96">
        <v>1.8728567660247955E-2</v>
      </c>
      <c r="BN61"/>
      <c r="BO61" s="92">
        <v>47</v>
      </c>
      <c r="BP61" s="93">
        <v>78</v>
      </c>
      <c r="BQ61" s="98">
        <v>1</v>
      </c>
      <c r="BR61" s="94">
        <v>97.62</v>
      </c>
      <c r="BS61" s="95">
        <v>28</v>
      </c>
      <c r="BT61" s="96">
        <v>6.5944418276024496E-3</v>
      </c>
      <c r="BU61" s="97">
        <v>115</v>
      </c>
      <c r="BV61" s="96">
        <v>2.7084314649081488E-2</v>
      </c>
      <c r="BW61"/>
      <c r="BX61" s="99">
        <v>47</v>
      </c>
      <c r="BY61" s="100">
        <v>66</v>
      </c>
      <c r="BZ61" s="101">
        <v>1</v>
      </c>
      <c r="CA61" s="102">
        <v>97.72</v>
      </c>
      <c r="CB61" s="103">
        <v>247</v>
      </c>
      <c r="CC61" s="104">
        <v>4.2556857339765677E-2</v>
      </c>
      <c r="CD61" s="105">
        <v>256</v>
      </c>
      <c r="CE61" s="104">
        <v>4.4107512060647829E-2</v>
      </c>
      <c r="CF61"/>
      <c r="CG61" s="92">
        <v>47</v>
      </c>
      <c r="CH61" s="93">
        <v>83</v>
      </c>
      <c r="CI61" s="98">
        <v>1</v>
      </c>
      <c r="CJ61" s="94">
        <v>97.74</v>
      </c>
      <c r="CK61" s="95">
        <v>65</v>
      </c>
      <c r="CL61" s="96">
        <v>1.237388159147154E-2</v>
      </c>
      <c r="CM61" s="97">
        <v>151</v>
      </c>
      <c r="CN61" s="96">
        <v>2.8745478774033887E-2</v>
      </c>
      <c r="CO61"/>
      <c r="CP61"/>
      <c r="CQ61"/>
      <c r="CR61"/>
      <c r="CS61"/>
      <c r="CT61"/>
      <c r="CU61"/>
      <c r="CV61"/>
      <c r="CW61"/>
      <c r="CX61"/>
      <c r="CY61"/>
    </row>
    <row r="62" spans="1:103" ht="16" customHeight="1" x14ac:dyDescent="0.2">
      <c r="A62"/>
      <c r="B62"/>
      <c r="C62"/>
      <c r="D62"/>
      <c r="E62"/>
      <c r="F62" s="1"/>
      <c r="G62" s="1"/>
      <c r="H62" s="1"/>
      <c r="I62" s="1"/>
      <c r="J62" s="1"/>
      <c r="K62" s="1"/>
      <c r="L62" s="1"/>
      <c r="M62" s="1"/>
      <c r="N62"/>
      <c r="O62" s="56">
        <v>76</v>
      </c>
      <c r="P62" s="83">
        <v>7</v>
      </c>
      <c r="Q62" s="15">
        <v>15.95</v>
      </c>
      <c r="R62" s="57">
        <v>2802</v>
      </c>
      <c r="S62" s="16">
        <v>9.7647673810768425E-3</v>
      </c>
      <c r="T62" s="17">
        <v>242582</v>
      </c>
      <c r="U62" s="16">
        <v>0.84538072834988676</v>
      </c>
      <c r="V62" s="28"/>
      <c r="W62" s="56">
        <v>102</v>
      </c>
      <c r="X62" s="83">
        <v>5</v>
      </c>
      <c r="Y62" s="15">
        <v>58.2</v>
      </c>
      <c r="Z62" s="57">
        <v>3170</v>
      </c>
      <c r="AA62" s="16">
        <v>1.1083954839002933E-2</v>
      </c>
      <c r="AB62" s="17">
        <v>121140</v>
      </c>
      <c r="AC62" s="16">
        <v>0.42356791457312787</v>
      </c>
      <c r="AD62"/>
      <c r="AE62" s="92">
        <v>46</v>
      </c>
      <c r="AF62" s="144">
        <v>68</v>
      </c>
      <c r="AG62" s="146">
        <v>2</v>
      </c>
      <c r="AH62" s="148">
        <v>94.22</v>
      </c>
      <c r="AI62" s="150">
        <v>360</v>
      </c>
      <c r="AJ62" s="157">
        <v>1.8818609513852589E-2</v>
      </c>
      <c r="AK62" s="159">
        <v>1286</v>
      </c>
      <c r="AL62" s="157">
        <v>6.7224255096706736E-2</v>
      </c>
      <c r="AM62"/>
      <c r="AN62" s="99">
        <v>46</v>
      </c>
      <c r="AO62" s="145"/>
      <c r="AP62" s="147"/>
      <c r="AQ62" s="149"/>
      <c r="AR62" s="151"/>
      <c r="AS62" s="158"/>
      <c r="AT62" s="160"/>
      <c r="AU62" s="158"/>
      <c r="AV62"/>
      <c r="AW62" s="92">
        <v>46</v>
      </c>
      <c r="AX62" s="93">
        <v>71</v>
      </c>
      <c r="AY62" s="98">
        <v>2</v>
      </c>
      <c r="AZ62" s="94">
        <v>95.04</v>
      </c>
      <c r="BA62" s="95">
        <v>6</v>
      </c>
      <c r="BB62" s="96">
        <v>5.1050795541563853E-4</v>
      </c>
      <c r="BC62" s="97">
        <v>586</v>
      </c>
      <c r="BD62" s="96">
        <v>4.9859610312260702E-2</v>
      </c>
      <c r="BE62"/>
      <c r="BF62" s="92">
        <v>46</v>
      </c>
      <c r="BG62" s="144">
        <v>78</v>
      </c>
      <c r="BH62" s="146">
        <v>1</v>
      </c>
      <c r="BI62" s="148">
        <v>97.97</v>
      </c>
      <c r="BJ62" s="150">
        <v>12</v>
      </c>
      <c r="BK62" s="157">
        <v>3.1653917172250064E-3</v>
      </c>
      <c r="BL62" s="159">
        <v>83</v>
      </c>
      <c r="BM62" s="157">
        <v>2.1893959377472964E-2</v>
      </c>
      <c r="BN62"/>
      <c r="BO62" s="92">
        <v>46</v>
      </c>
      <c r="BP62" s="93">
        <v>77</v>
      </c>
      <c r="BQ62" s="98">
        <v>1</v>
      </c>
      <c r="BR62" s="94">
        <v>97.24</v>
      </c>
      <c r="BS62" s="95">
        <v>4</v>
      </c>
      <c r="BT62" s="96">
        <v>9.4206311822892137E-4</v>
      </c>
      <c r="BU62" s="97">
        <v>119</v>
      </c>
      <c r="BV62" s="96">
        <v>2.8026377767310411E-2</v>
      </c>
      <c r="BW62"/>
      <c r="BX62" s="92">
        <v>46</v>
      </c>
      <c r="BY62" s="93">
        <v>65</v>
      </c>
      <c r="BZ62" s="98">
        <v>2</v>
      </c>
      <c r="CA62" s="94">
        <v>95.55</v>
      </c>
      <c r="CB62" s="95">
        <v>4</v>
      </c>
      <c r="CC62" s="96">
        <v>6.8917987594762232E-4</v>
      </c>
      <c r="CD62" s="97">
        <v>260</v>
      </c>
      <c r="CE62" s="96">
        <v>4.4796691936595454E-2</v>
      </c>
      <c r="CF62"/>
      <c r="CG62" s="92">
        <v>46</v>
      </c>
      <c r="CH62" s="93">
        <v>82</v>
      </c>
      <c r="CI62" s="98">
        <v>1</v>
      </c>
      <c r="CJ62" s="94">
        <v>97.1</v>
      </c>
      <c r="CK62" s="95">
        <v>3</v>
      </c>
      <c r="CL62" s="96">
        <v>5.7110222729868647E-4</v>
      </c>
      <c r="CM62" s="97">
        <v>154</v>
      </c>
      <c r="CN62" s="96">
        <v>2.9316581001332571E-2</v>
      </c>
      <c r="CO62"/>
      <c r="CP62"/>
      <c r="CQ62"/>
      <c r="CR62"/>
      <c r="CS62"/>
      <c r="CT62"/>
      <c r="CU62"/>
      <c r="CV62"/>
      <c r="CW62"/>
      <c r="CX62"/>
      <c r="CY62"/>
    </row>
    <row r="63" spans="1:103" ht="16" customHeight="1" thickBot="1" x14ac:dyDescent="0.25">
      <c r="A63"/>
      <c r="B63"/>
      <c r="C63"/>
      <c r="D63"/>
      <c r="E63"/>
      <c r="F63" s="117" t="s">
        <v>7</v>
      </c>
      <c r="G63" s="118"/>
      <c r="H63" s="36"/>
      <c r="I63" s="117" t="s">
        <v>29</v>
      </c>
      <c r="J63" s="118"/>
      <c r="K63" s="36"/>
      <c r="L63" s="36"/>
      <c r="M63" s="36"/>
      <c r="N63"/>
      <c r="O63" s="56">
        <v>75</v>
      </c>
      <c r="P63" s="83">
        <v>7</v>
      </c>
      <c r="Q63" s="15">
        <v>14.99</v>
      </c>
      <c r="R63" s="57">
        <v>2737</v>
      </c>
      <c r="S63" s="16">
        <v>9.5382470813730608E-3</v>
      </c>
      <c r="T63" s="17">
        <v>245319</v>
      </c>
      <c r="U63" s="16">
        <v>0.85491897543125983</v>
      </c>
      <c r="V63" s="28"/>
      <c r="W63" s="56">
        <v>101</v>
      </c>
      <c r="X63" s="83">
        <v>5</v>
      </c>
      <c r="Y63" s="15">
        <v>57.06</v>
      </c>
      <c r="Z63" s="57">
        <v>3364</v>
      </c>
      <c r="AA63" s="16">
        <v>1.1762278889087025E-2</v>
      </c>
      <c r="AB63" s="17">
        <v>124504</v>
      </c>
      <c r="AC63" s="16">
        <v>0.43533019346221491</v>
      </c>
      <c r="AD63"/>
      <c r="AE63" s="92">
        <v>45</v>
      </c>
      <c r="AF63" s="145"/>
      <c r="AG63" s="147"/>
      <c r="AH63" s="149"/>
      <c r="AI63" s="151"/>
      <c r="AJ63" s="158"/>
      <c r="AK63" s="160"/>
      <c r="AL63" s="158"/>
      <c r="AM63"/>
      <c r="AN63" s="92">
        <v>45</v>
      </c>
      <c r="AO63" s="93">
        <v>69</v>
      </c>
      <c r="AP63" s="98">
        <v>2</v>
      </c>
      <c r="AQ63" s="94">
        <v>94.97</v>
      </c>
      <c r="AR63" s="95">
        <v>126</v>
      </c>
      <c r="AS63" s="96">
        <v>8.81982360352793E-3</v>
      </c>
      <c r="AT63" s="97">
        <v>782</v>
      </c>
      <c r="AU63" s="96">
        <v>5.4738905221895562E-2</v>
      </c>
      <c r="AV63"/>
      <c r="AW63" s="92">
        <v>45</v>
      </c>
      <c r="AX63" s="93">
        <v>70</v>
      </c>
      <c r="AY63" s="98">
        <v>2</v>
      </c>
      <c r="AZ63" s="94">
        <v>94.62</v>
      </c>
      <c r="BA63" s="95">
        <v>93</v>
      </c>
      <c r="BB63" s="96">
        <v>7.9128733089423985E-3</v>
      </c>
      <c r="BC63" s="97">
        <v>679</v>
      </c>
      <c r="BD63" s="96">
        <v>5.7772483621203095E-2</v>
      </c>
      <c r="BE63"/>
      <c r="BF63" s="92">
        <v>45</v>
      </c>
      <c r="BG63" s="145"/>
      <c r="BH63" s="147"/>
      <c r="BI63" s="149"/>
      <c r="BJ63" s="151"/>
      <c r="BK63" s="158"/>
      <c r="BL63" s="160"/>
      <c r="BM63" s="158"/>
      <c r="BN63"/>
      <c r="BO63" s="92">
        <v>45</v>
      </c>
      <c r="BP63" s="93">
        <v>76</v>
      </c>
      <c r="BQ63" s="98">
        <v>1</v>
      </c>
      <c r="BR63" s="94">
        <v>96.69</v>
      </c>
      <c r="BS63" s="95">
        <v>43</v>
      </c>
      <c r="BT63" s="96">
        <v>1.0127178520960905E-2</v>
      </c>
      <c r="BU63" s="97">
        <v>162</v>
      </c>
      <c r="BV63" s="96">
        <v>3.8153556288271315E-2</v>
      </c>
      <c r="BW63"/>
      <c r="BX63" s="92">
        <v>45</v>
      </c>
      <c r="BY63" s="93">
        <v>64</v>
      </c>
      <c r="BZ63" s="98">
        <v>2</v>
      </c>
      <c r="CA63" s="94">
        <v>94.59</v>
      </c>
      <c r="CB63" s="95">
        <v>108</v>
      </c>
      <c r="CC63" s="96">
        <v>1.8607856650585803E-2</v>
      </c>
      <c r="CD63" s="97">
        <v>368</v>
      </c>
      <c r="CE63" s="96">
        <v>6.3404548587181253E-2</v>
      </c>
      <c r="CF63"/>
      <c r="CG63" s="92">
        <v>45</v>
      </c>
      <c r="CH63" s="93">
        <v>81</v>
      </c>
      <c r="CI63" s="98">
        <v>1</v>
      </c>
      <c r="CJ63" s="94">
        <v>96.8</v>
      </c>
      <c r="CK63" s="95">
        <v>28</v>
      </c>
      <c r="CL63" s="96">
        <v>5.33028745478774E-3</v>
      </c>
      <c r="CM63" s="97">
        <v>182</v>
      </c>
      <c r="CN63" s="96">
        <v>3.4646868456120312E-2</v>
      </c>
      <c r="CO63"/>
      <c r="CP63"/>
      <c r="CQ63"/>
      <c r="CR63"/>
      <c r="CS63"/>
      <c r="CT63"/>
      <c r="CU63"/>
      <c r="CV63"/>
      <c r="CW63"/>
      <c r="CX63"/>
      <c r="CY63"/>
    </row>
    <row r="64" spans="1:103" ht="16" customHeight="1" x14ac:dyDescent="0.2">
      <c r="A64"/>
      <c r="B64"/>
      <c r="C64"/>
      <c r="D64"/>
      <c r="E64"/>
      <c r="F64" s="30" t="s">
        <v>30</v>
      </c>
      <c r="G64" s="30" t="s">
        <v>14</v>
      </c>
      <c r="H64" s="36"/>
      <c r="I64" s="30" t="s">
        <v>30</v>
      </c>
      <c r="J64" s="30" t="s">
        <v>14</v>
      </c>
      <c r="K64" s="36"/>
      <c r="L64" s="36"/>
      <c r="M64" s="36"/>
      <c r="N64"/>
      <c r="O64" s="56">
        <v>74</v>
      </c>
      <c r="P64" s="83">
        <v>7</v>
      </c>
      <c r="Q64" s="15">
        <v>13.96</v>
      </c>
      <c r="R64" s="57">
        <v>3171</v>
      </c>
      <c r="S64" s="16">
        <v>1.105070569785677E-2</v>
      </c>
      <c r="T64" s="17">
        <v>248490</v>
      </c>
      <c r="U64" s="16">
        <v>0.86596968112911654</v>
      </c>
      <c r="V64" s="28"/>
      <c r="W64" s="56">
        <v>100</v>
      </c>
      <c r="X64" s="83">
        <v>5</v>
      </c>
      <c r="Y64" s="15">
        <v>55.81</v>
      </c>
      <c r="Z64" s="57">
        <v>3747</v>
      </c>
      <c r="AA64" s="16">
        <v>1.3101444410644793E-2</v>
      </c>
      <c r="AB64" s="17">
        <v>128251</v>
      </c>
      <c r="AC64" s="16">
        <v>0.44843163787285972</v>
      </c>
      <c r="AD64"/>
      <c r="AE64" s="92">
        <v>44</v>
      </c>
      <c r="AF64" s="93">
        <v>67</v>
      </c>
      <c r="AG64" s="98">
        <v>2</v>
      </c>
      <c r="AH64" s="94">
        <v>92.49</v>
      </c>
      <c r="AI64" s="95">
        <v>302</v>
      </c>
      <c r="AJ64" s="96">
        <v>1.5786722425509672E-2</v>
      </c>
      <c r="AK64" s="97">
        <v>1588</v>
      </c>
      <c r="AL64" s="96">
        <v>8.3010977522216409E-2</v>
      </c>
      <c r="AM64"/>
      <c r="AN64" s="92">
        <v>44</v>
      </c>
      <c r="AO64" s="93">
        <v>68</v>
      </c>
      <c r="AP64" s="98">
        <v>2</v>
      </c>
      <c r="AQ64" s="94">
        <v>93.47</v>
      </c>
      <c r="AR64" s="95">
        <v>302</v>
      </c>
      <c r="AS64" s="96">
        <v>2.1139577208455832E-2</v>
      </c>
      <c r="AT64" s="97">
        <v>1084</v>
      </c>
      <c r="AU64" s="96">
        <v>7.5878482430351391E-2</v>
      </c>
      <c r="AV64"/>
      <c r="AW64" s="92">
        <v>44</v>
      </c>
      <c r="AX64" s="93">
        <v>69</v>
      </c>
      <c r="AY64" s="98">
        <v>2</v>
      </c>
      <c r="AZ64" s="94">
        <v>93.4</v>
      </c>
      <c r="BA64" s="95">
        <v>194</v>
      </c>
      <c r="BB64" s="96">
        <v>1.6506423891772315E-2</v>
      </c>
      <c r="BC64" s="97">
        <v>873</v>
      </c>
      <c r="BD64" s="96">
        <v>7.4278907512975417E-2</v>
      </c>
      <c r="BE64"/>
      <c r="BF64" s="92">
        <v>44</v>
      </c>
      <c r="BG64" s="93">
        <v>77</v>
      </c>
      <c r="BH64" s="98">
        <v>1</v>
      </c>
      <c r="BI64" s="94">
        <v>97.35</v>
      </c>
      <c r="BJ64" s="95">
        <v>35</v>
      </c>
      <c r="BK64" s="96">
        <v>9.2323925085729362E-3</v>
      </c>
      <c r="BL64" s="97">
        <v>118</v>
      </c>
      <c r="BM64" s="96">
        <v>3.11263518860459E-2</v>
      </c>
      <c r="BN64"/>
      <c r="BO64" s="92">
        <v>44</v>
      </c>
      <c r="BP64" s="152">
        <v>75</v>
      </c>
      <c r="BQ64" s="153">
        <v>1</v>
      </c>
      <c r="BR64" s="154">
        <v>95.75</v>
      </c>
      <c r="BS64" s="155">
        <v>37</v>
      </c>
      <c r="BT64" s="161">
        <v>8.7140838436175223E-3</v>
      </c>
      <c r="BU64" s="162">
        <v>199</v>
      </c>
      <c r="BV64" s="161">
        <v>4.6867640131888835E-2</v>
      </c>
      <c r="BW64"/>
      <c r="BX64" s="92">
        <v>44</v>
      </c>
      <c r="BY64" s="93">
        <v>63</v>
      </c>
      <c r="BZ64" s="98">
        <v>2</v>
      </c>
      <c r="CA64" s="94">
        <v>93.46</v>
      </c>
      <c r="CB64" s="95">
        <v>23</v>
      </c>
      <c r="CC64" s="96">
        <v>3.9627842866988283E-3</v>
      </c>
      <c r="CD64" s="97">
        <v>391</v>
      </c>
      <c r="CE64" s="96">
        <v>6.7367332873880081E-2</v>
      </c>
      <c r="CF64"/>
      <c r="CG64" s="92">
        <v>44</v>
      </c>
      <c r="CH64" s="93">
        <v>80</v>
      </c>
      <c r="CI64" s="98">
        <v>1</v>
      </c>
      <c r="CJ64" s="94">
        <v>96.31</v>
      </c>
      <c r="CK64" s="95">
        <v>24</v>
      </c>
      <c r="CL64" s="96">
        <v>4.5688178183894918E-3</v>
      </c>
      <c r="CM64" s="97">
        <v>206</v>
      </c>
      <c r="CN64" s="96">
        <v>3.9215686274509803E-2</v>
      </c>
      <c r="CO64"/>
      <c r="CP64"/>
      <c r="CQ64"/>
      <c r="CR64"/>
      <c r="CS64"/>
      <c r="CT64"/>
      <c r="CU64"/>
      <c r="CV64"/>
      <c r="CW64"/>
      <c r="CX64"/>
      <c r="CY64"/>
    </row>
    <row r="65" spans="1:103" ht="16" customHeight="1" x14ac:dyDescent="0.2">
      <c r="A65"/>
      <c r="B65"/>
      <c r="C65"/>
      <c r="D65"/>
      <c r="E65"/>
      <c r="F65" s="86">
        <v>42</v>
      </c>
      <c r="G65" s="85">
        <v>1</v>
      </c>
      <c r="H65" s="36"/>
      <c r="I65" s="86">
        <v>42</v>
      </c>
      <c r="J65" s="85">
        <v>1</v>
      </c>
      <c r="K65" s="70"/>
      <c r="L65" s="70"/>
      <c r="M65" s="70"/>
      <c r="N65"/>
      <c r="O65" s="56">
        <v>73</v>
      </c>
      <c r="P65" s="83">
        <v>7</v>
      </c>
      <c r="Q65" s="15">
        <v>12.92</v>
      </c>
      <c r="R65" s="57">
        <v>2753</v>
      </c>
      <c r="S65" s="16">
        <v>9.5940059243770689E-3</v>
      </c>
      <c r="T65" s="17">
        <v>251243</v>
      </c>
      <c r="U65" s="16">
        <v>0.87556368705349363</v>
      </c>
      <c r="V65" s="28"/>
      <c r="W65" s="56">
        <v>99</v>
      </c>
      <c r="X65" s="83">
        <v>5</v>
      </c>
      <c r="Y65" s="15">
        <v>54.53</v>
      </c>
      <c r="Z65" s="57">
        <v>3557</v>
      </c>
      <c r="AA65" s="16">
        <v>1.2437106423449033E-2</v>
      </c>
      <c r="AB65" s="17">
        <v>131808</v>
      </c>
      <c r="AC65" s="16">
        <v>0.46086874429630875</v>
      </c>
      <c r="AD65"/>
      <c r="AE65" s="92">
        <v>43</v>
      </c>
      <c r="AF65" s="93">
        <v>66</v>
      </c>
      <c r="AG65" s="98">
        <v>2</v>
      </c>
      <c r="AH65" s="94">
        <v>91.26</v>
      </c>
      <c r="AI65" s="95">
        <v>169</v>
      </c>
      <c r="AJ65" s="96">
        <v>8.834291688447465E-3</v>
      </c>
      <c r="AK65" s="97">
        <v>1757</v>
      </c>
      <c r="AL65" s="96">
        <v>9.1845269210663882E-2</v>
      </c>
      <c r="AM65"/>
      <c r="AN65" s="92">
        <v>43</v>
      </c>
      <c r="AO65" s="93">
        <v>67</v>
      </c>
      <c r="AP65" s="98">
        <v>2</v>
      </c>
      <c r="AQ65" s="94">
        <v>92.3</v>
      </c>
      <c r="AR65" s="95">
        <v>32</v>
      </c>
      <c r="AS65" s="96">
        <v>2.2399552008959822E-3</v>
      </c>
      <c r="AT65" s="97">
        <v>1116</v>
      </c>
      <c r="AU65" s="96">
        <v>7.8118437631247373E-2</v>
      </c>
      <c r="AV65"/>
      <c r="AW65" s="92">
        <v>43</v>
      </c>
      <c r="AX65" s="144">
        <v>68</v>
      </c>
      <c r="AY65" s="146">
        <v>2</v>
      </c>
      <c r="AZ65" s="148">
        <v>91.84</v>
      </c>
      <c r="BA65" s="150">
        <v>172</v>
      </c>
      <c r="BB65" s="157">
        <v>1.4634561388581638E-2</v>
      </c>
      <c r="BC65" s="159">
        <v>1045</v>
      </c>
      <c r="BD65" s="157">
        <v>8.8913468901557047E-2</v>
      </c>
      <c r="BE65"/>
      <c r="BF65" s="92">
        <v>43</v>
      </c>
      <c r="BG65" s="93">
        <v>76</v>
      </c>
      <c r="BH65" s="98">
        <v>1</v>
      </c>
      <c r="BI65" s="94">
        <v>96.83</v>
      </c>
      <c r="BJ65" s="95">
        <v>4</v>
      </c>
      <c r="BK65" s="96">
        <v>1.0551305724083356E-3</v>
      </c>
      <c r="BL65" s="97">
        <v>122</v>
      </c>
      <c r="BM65" s="96">
        <v>3.218148245845423E-2</v>
      </c>
      <c r="BN65"/>
      <c r="BO65" s="99">
        <v>43</v>
      </c>
      <c r="BP65" s="145"/>
      <c r="BQ65" s="147"/>
      <c r="BR65" s="149"/>
      <c r="BS65" s="151"/>
      <c r="BT65" s="158"/>
      <c r="BU65" s="160"/>
      <c r="BV65" s="158"/>
      <c r="BW65"/>
      <c r="BX65" s="92">
        <v>43</v>
      </c>
      <c r="BY65" s="145">
        <v>62</v>
      </c>
      <c r="BZ65" s="147">
        <v>2</v>
      </c>
      <c r="CA65" s="149">
        <v>93.26</v>
      </c>
      <c r="CB65" s="151">
        <v>0</v>
      </c>
      <c r="CC65" s="158">
        <v>0</v>
      </c>
      <c r="CD65" s="160">
        <v>391</v>
      </c>
      <c r="CE65" s="158">
        <v>6.7367332873880081E-2</v>
      </c>
      <c r="CF65"/>
      <c r="CG65" s="99">
        <v>43</v>
      </c>
      <c r="CH65" s="100">
        <v>79</v>
      </c>
      <c r="CI65" s="101">
        <v>1</v>
      </c>
      <c r="CJ65" s="102">
        <v>95.9</v>
      </c>
      <c r="CK65" s="103">
        <v>19</v>
      </c>
      <c r="CL65" s="104">
        <v>3.6169807728916809E-3</v>
      </c>
      <c r="CM65" s="105">
        <v>225</v>
      </c>
      <c r="CN65" s="104">
        <v>4.2832667047401483E-2</v>
      </c>
      <c r="CO65"/>
      <c r="CP65"/>
      <c r="CQ65"/>
      <c r="CR65"/>
      <c r="CS65"/>
      <c r="CT65"/>
      <c r="CU65"/>
      <c r="CV65"/>
      <c r="CW65"/>
      <c r="CX65"/>
      <c r="CY65"/>
    </row>
    <row r="66" spans="1:103" ht="16" customHeight="1" x14ac:dyDescent="0.2">
      <c r="A66"/>
      <c r="B66"/>
      <c r="C66"/>
      <c r="D66"/>
      <c r="E66"/>
      <c r="F66" s="86">
        <v>38</v>
      </c>
      <c r="G66" s="85">
        <v>2</v>
      </c>
      <c r="H66" s="36"/>
      <c r="I66" s="86">
        <v>32</v>
      </c>
      <c r="J66" s="85">
        <v>2</v>
      </c>
      <c r="K66" s="70"/>
      <c r="L66" s="70"/>
      <c r="M66" s="70"/>
      <c r="N66"/>
      <c r="O66" s="56">
        <v>72</v>
      </c>
      <c r="P66" s="83">
        <v>7</v>
      </c>
      <c r="Q66" s="15">
        <v>11.96</v>
      </c>
      <c r="R66" s="57">
        <v>2789</v>
      </c>
      <c r="S66" s="16">
        <v>9.7194633211360858E-3</v>
      </c>
      <c r="T66" s="17">
        <v>254032</v>
      </c>
      <c r="U66" s="16">
        <v>0.88528315037462968</v>
      </c>
      <c r="V66" s="28"/>
      <c r="W66" s="56">
        <v>98</v>
      </c>
      <c r="X66" s="83">
        <v>5</v>
      </c>
      <c r="Y66" s="15">
        <v>53.3</v>
      </c>
      <c r="Z66" s="57">
        <v>3512</v>
      </c>
      <c r="AA66" s="16">
        <v>1.2279763215955301E-2</v>
      </c>
      <c r="AB66" s="17">
        <v>135320</v>
      </c>
      <c r="AC66" s="16">
        <v>0.473148507512264</v>
      </c>
      <c r="AD66"/>
      <c r="AE66" s="92">
        <v>42</v>
      </c>
      <c r="AF66" s="93">
        <v>65</v>
      </c>
      <c r="AG66" s="98">
        <v>2</v>
      </c>
      <c r="AH66" s="94">
        <v>89.93</v>
      </c>
      <c r="AI66" s="95">
        <v>338</v>
      </c>
      <c r="AJ66" s="96">
        <v>1.766858337689493E-2</v>
      </c>
      <c r="AK66" s="97">
        <v>2095</v>
      </c>
      <c r="AL66" s="96">
        <v>0.1095138525875588</v>
      </c>
      <c r="AM66"/>
      <c r="AN66" s="92">
        <v>42</v>
      </c>
      <c r="AO66" s="93">
        <v>66</v>
      </c>
      <c r="AP66" s="98">
        <v>2</v>
      </c>
      <c r="AQ66" s="94">
        <v>91.58</v>
      </c>
      <c r="AR66" s="95">
        <v>173</v>
      </c>
      <c r="AS66" s="96">
        <v>1.2109757804843904E-2</v>
      </c>
      <c r="AT66" s="97">
        <v>1289</v>
      </c>
      <c r="AU66" s="96">
        <v>9.0228195436091271E-2</v>
      </c>
      <c r="AV66"/>
      <c r="AW66" s="92">
        <v>42</v>
      </c>
      <c r="AX66" s="145"/>
      <c r="AY66" s="147"/>
      <c r="AZ66" s="149"/>
      <c r="BA66" s="151"/>
      <c r="BB66" s="158"/>
      <c r="BC66" s="160"/>
      <c r="BD66" s="158"/>
      <c r="BE66"/>
      <c r="BF66" s="99">
        <v>42</v>
      </c>
      <c r="BG66" s="100">
        <v>75</v>
      </c>
      <c r="BH66" s="101">
        <v>1</v>
      </c>
      <c r="BI66" s="102">
        <v>96.37</v>
      </c>
      <c r="BJ66" s="103">
        <v>31</v>
      </c>
      <c r="BK66" s="104">
        <v>8.1772619361646006E-3</v>
      </c>
      <c r="BL66" s="105">
        <v>153</v>
      </c>
      <c r="BM66" s="104">
        <v>4.0358744394618833E-2</v>
      </c>
      <c r="BN66"/>
      <c r="BO66" s="92">
        <v>42</v>
      </c>
      <c r="BP66" s="93">
        <v>74</v>
      </c>
      <c r="BQ66" s="98">
        <v>2</v>
      </c>
      <c r="BR66" s="94">
        <v>94.8</v>
      </c>
      <c r="BS66" s="95">
        <v>44</v>
      </c>
      <c r="BT66" s="96">
        <v>1.0362694300518135E-2</v>
      </c>
      <c r="BU66" s="97">
        <v>243</v>
      </c>
      <c r="BV66" s="96">
        <v>5.7230334432406972E-2</v>
      </c>
      <c r="BW66"/>
      <c r="BX66" s="92">
        <v>42</v>
      </c>
      <c r="BY66" s="145"/>
      <c r="BZ66" s="147"/>
      <c r="CA66" s="149"/>
      <c r="CB66" s="151"/>
      <c r="CC66" s="158"/>
      <c r="CD66" s="160"/>
      <c r="CE66" s="158"/>
      <c r="CF66"/>
      <c r="CG66" s="92">
        <v>42</v>
      </c>
      <c r="CH66" s="93">
        <v>78</v>
      </c>
      <c r="CI66" s="98">
        <v>2</v>
      </c>
      <c r="CJ66" s="94">
        <v>95.46</v>
      </c>
      <c r="CK66" s="95">
        <v>27</v>
      </c>
      <c r="CL66" s="96">
        <v>5.1399200456881781E-3</v>
      </c>
      <c r="CM66" s="97">
        <v>252</v>
      </c>
      <c r="CN66" s="96">
        <v>4.7972587093089665E-2</v>
      </c>
      <c r="CO66"/>
      <c r="CP66"/>
      <c r="CQ66"/>
      <c r="CR66"/>
      <c r="CS66"/>
      <c r="CT66"/>
      <c r="CU66"/>
      <c r="CV66"/>
      <c r="CW66"/>
      <c r="CX66"/>
      <c r="CY66"/>
    </row>
    <row r="67" spans="1:103" ht="16" customHeight="1" x14ac:dyDescent="0.2">
      <c r="A67"/>
      <c r="B67"/>
      <c r="C67"/>
      <c r="D67"/>
      <c r="E67"/>
      <c r="F67" s="86">
        <v>32</v>
      </c>
      <c r="G67" s="85">
        <v>3</v>
      </c>
      <c r="H67" s="36"/>
      <c r="I67" s="86">
        <v>21</v>
      </c>
      <c r="J67" s="85">
        <v>3</v>
      </c>
      <c r="K67" s="70"/>
      <c r="L67" s="70"/>
      <c r="M67" s="70"/>
      <c r="N67"/>
      <c r="O67" s="60">
        <v>71</v>
      </c>
      <c r="P67" s="84">
        <v>7</v>
      </c>
      <c r="Q67" s="33">
        <v>11.03</v>
      </c>
      <c r="R67" s="61">
        <v>2517</v>
      </c>
      <c r="S67" s="34">
        <v>8.7715629900679565E-3</v>
      </c>
      <c r="T67" s="35">
        <v>256549</v>
      </c>
      <c r="U67" s="34">
        <v>0.89405471336469766</v>
      </c>
      <c r="V67" s="28"/>
      <c r="W67" s="56">
        <v>97</v>
      </c>
      <c r="X67" s="83">
        <v>5</v>
      </c>
      <c r="Y67" s="15">
        <v>52.05</v>
      </c>
      <c r="Z67" s="57">
        <v>3632</v>
      </c>
      <c r="AA67" s="16">
        <v>1.2699345102605253E-2</v>
      </c>
      <c r="AB67" s="17">
        <v>138952</v>
      </c>
      <c r="AC67" s="16">
        <v>0.48584785261486929</v>
      </c>
      <c r="AD67"/>
      <c r="AE67" s="99">
        <v>41</v>
      </c>
      <c r="AF67" s="100">
        <v>64</v>
      </c>
      <c r="AG67" s="101">
        <v>2</v>
      </c>
      <c r="AH67" s="102">
        <v>88.44</v>
      </c>
      <c r="AI67" s="103">
        <v>234</v>
      </c>
      <c r="AJ67" s="104">
        <v>1.2232096184004181E-2</v>
      </c>
      <c r="AK67" s="105">
        <v>2329</v>
      </c>
      <c r="AL67" s="104">
        <v>0.12174594877156299</v>
      </c>
      <c r="AM67"/>
      <c r="AN67" s="92">
        <v>41</v>
      </c>
      <c r="AO67" s="152">
        <v>65</v>
      </c>
      <c r="AP67" s="153">
        <v>2</v>
      </c>
      <c r="AQ67" s="154">
        <v>89.79</v>
      </c>
      <c r="AR67" s="155">
        <v>340</v>
      </c>
      <c r="AS67" s="161">
        <v>2.3799524009519811E-2</v>
      </c>
      <c r="AT67" s="162">
        <v>1629</v>
      </c>
      <c r="AU67" s="161">
        <v>0.11402771944561109</v>
      </c>
      <c r="AV67"/>
      <c r="AW67" s="92">
        <v>41</v>
      </c>
      <c r="AX67" s="93">
        <v>67</v>
      </c>
      <c r="AY67" s="98">
        <v>2</v>
      </c>
      <c r="AZ67" s="94">
        <v>90.5</v>
      </c>
      <c r="BA67" s="95">
        <v>143</v>
      </c>
      <c r="BB67" s="96">
        <v>1.2167106270739386E-2</v>
      </c>
      <c r="BC67" s="97">
        <v>1188</v>
      </c>
      <c r="BD67" s="96">
        <v>0.10108057517229643</v>
      </c>
      <c r="BE67"/>
      <c r="BF67" s="92">
        <v>41</v>
      </c>
      <c r="BG67" s="93">
        <v>74</v>
      </c>
      <c r="BH67" s="98">
        <v>2</v>
      </c>
      <c r="BI67" s="94">
        <v>95.5</v>
      </c>
      <c r="BJ67" s="95">
        <v>35</v>
      </c>
      <c r="BK67" s="96">
        <v>9.2323925085729362E-3</v>
      </c>
      <c r="BL67" s="97">
        <v>188</v>
      </c>
      <c r="BM67" s="96">
        <v>4.9591136903191772E-2</v>
      </c>
      <c r="BN67"/>
      <c r="BO67" s="92">
        <v>41</v>
      </c>
      <c r="BP67" s="93">
        <v>73</v>
      </c>
      <c r="BQ67" s="98">
        <v>2</v>
      </c>
      <c r="BR67" s="94">
        <v>94.1</v>
      </c>
      <c r="BS67" s="95">
        <v>15</v>
      </c>
      <c r="BT67" s="96">
        <v>3.5327366933584551E-3</v>
      </c>
      <c r="BU67" s="97">
        <v>258</v>
      </c>
      <c r="BV67" s="96">
        <v>6.0763071125765428E-2</v>
      </c>
      <c r="BW67"/>
      <c r="BX67" s="99">
        <v>41</v>
      </c>
      <c r="BY67" s="100">
        <v>61</v>
      </c>
      <c r="BZ67" s="101">
        <v>2</v>
      </c>
      <c r="CA67" s="102">
        <v>90.94</v>
      </c>
      <c r="CB67" s="103">
        <v>270</v>
      </c>
      <c r="CC67" s="104">
        <v>4.6519641626464506E-2</v>
      </c>
      <c r="CD67" s="105">
        <v>661</v>
      </c>
      <c r="CE67" s="104">
        <v>0.11388697450034459</v>
      </c>
      <c r="CF67"/>
      <c r="CG67" s="92">
        <v>41</v>
      </c>
      <c r="CH67" s="93">
        <v>77</v>
      </c>
      <c r="CI67" s="98">
        <v>2</v>
      </c>
      <c r="CJ67" s="94">
        <v>95.01</v>
      </c>
      <c r="CK67" s="95">
        <v>20</v>
      </c>
      <c r="CL67" s="96">
        <v>3.8073481819912432E-3</v>
      </c>
      <c r="CM67" s="97">
        <v>272</v>
      </c>
      <c r="CN67" s="96">
        <v>5.1779935275080909E-2</v>
      </c>
      <c r="CO67"/>
      <c r="CP67"/>
      <c r="CQ67"/>
      <c r="CR67"/>
      <c r="CS67"/>
      <c r="CT67"/>
      <c r="CU67"/>
      <c r="CV67"/>
      <c r="CW67"/>
      <c r="CX67"/>
      <c r="CY67"/>
    </row>
    <row r="68" spans="1:103" ht="16" customHeight="1" x14ac:dyDescent="0.2">
      <c r="A68"/>
      <c r="B68"/>
      <c r="C68"/>
      <c r="D68"/>
      <c r="E68"/>
      <c r="F68" s="86">
        <v>25</v>
      </c>
      <c r="G68" s="85">
        <v>4</v>
      </c>
      <c r="H68" s="36"/>
      <c r="I68" s="86">
        <v>16</v>
      </c>
      <c r="J68" s="85">
        <v>4</v>
      </c>
      <c r="K68" s="70"/>
      <c r="L68" s="70"/>
      <c r="M68" s="70"/>
      <c r="N68"/>
      <c r="O68" s="56">
        <v>70</v>
      </c>
      <c r="P68" s="83">
        <v>8</v>
      </c>
      <c r="Q68" s="15">
        <v>9.84</v>
      </c>
      <c r="R68" s="57">
        <v>4302</v>
      </c>
      <c r="S68" s="16">
        <v>1.4992158912702561E-2</v>
      </c>
      <c r="T68" s="17">
        <v>260851</v>
      </c>
      <c r="U68" s="16">
        <v>0.90904687227740022</v>
      </c>
      <c r="V68" s="28"/>
      <c r="W68" s="56">
        <v>96</v>
      </c>
      <c r="X68" s="83">
        <v>5</v>
      </c>
      <c r="Y68" s="15">
        <v>50.75</v>
      </c>
      <c r="Z68" s="57">
        <v>3795</v>
      </c>
      <c r="AA68" s="16">
        <v>1.3269277165304775E-2</v>
      </c>
      <c r="AB68" s="17">
        <v>142747</v>
      </c>
      <c r="AC68" s="16">
        <v>0.49911712978017403</v>
      </c>
      <c r="AD68"/>
      <c r="AE68" s="92">
        <v>40</v>
      </c>
      <c r="AF68" s="144">
        <v>63</v>
      </c>
      <c r="AG68" s="146">
        <v>3</v>
      </c>
      <c r="AH68" s="148">
        <v>86.25</v>
      </c>
      <c r="AI68" s="150">
        <v>601</v>
      </c>
      <c r="AJ68" s="157">
        <v>3.1416623105070568E-2</v>
      </c>
      <c r="AK68" s="159">
        <v>2930</v>
      </c>
      <c r="AL68" s="157">
        <v>0.15316257187663357</v>
      </c>
      <c r="AM68"/>
      <c r="AN68" s="99">
        <v>40</v>
      </c>
      <c r="AO68" s="145"/>
      <c r="AP68" s="147"/>
      <c r="AQ68" s="149"/>
      <c r="AR68" s="151"/>
      <c r="AS68" s="158"/>
      <c r="AT68" s="160"/>
      <c r="AU68" s="158"/>
      <c r="AV68"/>
      <c r="AW68" s="92">
        <v>40</v>
      </c>
      <c r="AX68" s="93">
        <v>66</v>
      </c>
      <c r="AY68" s="98">
        <v>2</v>
      </c>
      <c r="AZ68" s="94">
        <v>89.72</v>
      </c>
      <c r="BA68" s="95">
        <v>41</v>
      </c>
      <c r="BB68" s="96">
        <v>3.4884710286735301E-3</v>
      </c>
      <c r="BC68" s="97">
        <v>1229</v>
      </c>
      <c r="BD68" s="96">
        <v>0.10456904620096996</v>
      </c>
      <c r="BE68"/>
      <c r="BF68" s="92">
        <v>40</v>
      </c>
      <c r="BG68" s="93">
        <v>73</v>
      </c>
      <c r="BH68" s="98">
        <v>2</v>
      </c>
      <c r="BI68" s="94">
        <v>94.92</v>
      </c>
      <c r="BJ68" s="95">
        <v>9</v>
      </c>
      <c r="BK68" s="96">
        <v>2.3740437879187551E-3</v>
      </c>
      <c r="BL68" s="97">
        <v>197</v>
      </c>
      <c r="BM68" s="96">
        <v>5.1965180691110523E-2</v>
      </c>
      <c r="BN68"/>
      <c r="BO68" s="92">
        <v>40</v>
      </c>
      <c r="BP68" s="93">
        <v>72</v>
      </c>
      <c r="BQ68" s="98">
        <v>2</v>
      </c>
      <c r="BR68" s="94">
        <v>93.65</v>
      </c>
      <c r="BS68" s="95">
        <v>23</v>
      </c>
      <c r="BT68" s="96">
        <v>5.4168629298162975E-3</v>
      </c>
      <c r="BU68" s="97">
        <v>281</v>
      </c>
      <c r="BV68" s="96">
        <v>6.6179934055581729E-2</v>
      </c>
      <c r="BW68"/>
      <c r="BX68" s="92">
        <v>40</v>
      </c>
      <c r="BY68" s="93">
        <v>60</v>
      </c>
      <c r="BZ68" s="98">
        <v>3</v>
      </c>
      <c r="CA68" s="94">
        <v>87.31</v>
      </c>
      <c r="CB68" s="95">
        <v>151</v>
      </c>
      <c r="CC68" s="96">
        <v>2.6016540317022743E-2</v>
      </c>
      <c r="CD68" s="97">
        <v>812</v>
      </c>
      <c r="CE68" s="96">
        <v>0.13990351481736732</v>
      </c>
      <c r="CF68"/>
      <c r="CG68" s="92">
        <v>40</v>
      </c>
      <c r="CH68" s="93">
        <v>76</v>
      </c>
      <c r="CI68" s="98">
        <v>2</v>
      </c>
      <c r="CJ68" s="94">
        <v>94.63</v>
      </c>
      <c r="CK68" s="95">
        <v>20</v>
      </c>
      <c r="CL68" s="96">
        <v>3.8073481819912432E-3</v>
      </c>
      <c r="CM68" s="97">
        <v>292</v>
      </c>
      <c r="CN68" s="96">
        <v>5.5587283457072152E-2</v>
      </c>
      <c r="CO68"/>
      <c r="CP68"/>
      <c r="CQ68"/>
      <c r="CR68"/>
      <c r="CS68"/>
      <c r="CT68"/>
      <c r="CU68"/>
      <c r="CV68"/>
      <c r="CW68"/>
      <c r="CX68"/>
      <c r="CY68"/>
    </row>
    <row r="69" spans="1:103" ht="16" customHeight="1" x14ac:dyDescent="0.2">
      <c r="A69"/>
      <c r="B69"/>
      <c r="C69"/>
      <c r="D69"/>
      <c r="E69"/>
      <c r="F69" s="86">
        <v>19</v>
      </c>
      <c r="G69" s="85">
        <v>5</v>
      </c>
      <c r="H69" s="36"/>
      <c r="I69" s="86">
        <v>12</v>
      </c>
      <c r="J69" s="85">
        <v>5</v>
      </c>
      <c r="K69" s="70"/>
      <c r="L69" s="70"/>
      <c r="M69" s="70"/>
      <c r="N69"/>
      <c r="O69" s="56">
        <v>69</v>
      </c>
      <c r="P69" s="83">
        <v>8</v>
      </c>
      <c r="Q69" s="15">
        <v>8.65</v>
      </c>
      <c r="R69" s="57">
        <v>2570</v>
      </c>
      <c r="S69" s="16">
        <v>8.9562641575187309E-3</v>
      </c>
      <c r="T69" s="17">
        <v>263421</v>
      </c>
      <c r="U69" s="16">
        <v>0.91800313643491893</v>
      </c>
      <c r="V69" s="28"/>
      <c r="W69" s="56">
        <v>95</v>
      </c>
      <c r="X69" s="83">
        <v>5</v>
      </c>
      <c r="Y69" s="15">
        <v>49.42</v>
      </c>
      <c r="Z69" s="57">
        <v>3796</v>
      </c>
      <c r="AA69" s="16">
        <v>1.3272773681026856E-2</v>
      </c>
      <c r="AB69" s="17">
        <v>146543</v>
      </c>
      <c r="AC69" s="16">
        <v>0.51238990346120095</v>
      </c>
      <c r="AD69"/>
      <c r="AE69" s="92">
        <v>39</v>
      </c>
      <c r="AF69" s="145"/>
      <c r="AG69" s="147"/>
      <c r="AH69" s="149"/>
      <c r="AI69" s="151"/>
      <c r="AJ69" s="158"/>
      <c r="AK69" s="160"/>
      <c r="AL69" s="158"/>
      <c r="AM69"/>
      <c r="AN69" s="92">
        <v>39</v>
      </c>
      <c r="AO69" s="93">
        <v>64</v>
      </c>
      <c r="AP69" s="98">
        <v>3</v>
      </c>
      <c r="AQ69" s="94">
        <v>87.74</v>
      </c>
      <c r="AR69" s="95">
        <v>246</v>
      </c>
      <c r="AS69" s="96">
        <v>1.7219655606887863E-2</v>
      </c>
      <c r="AT69" s="97">
        <v>1875</v>
      </c>
      <c r="AU69" s="96">
        <v>0.13124737505249895</v>
      </c>
      <c r="AV69"/>
      <c r="AW69" s="99">
        <v>39</v>
      </c>
      <c r="AX69" s="100">
        <v>65</v>
      </c>
      <c r="AY69" s="101">
        <v>2</v>
      </c>
      <c r="AZ69" s="102">
        <v>88.85</v>
      </c>
      <c r="BA69" s="103">
        <v>162</v>
      </c>
      <c r="BB69" s="104">
        <v>1.3783714796222242E-2</v>
      </c>
      <c r="BC69" s="105">
        <v>1391</v>
      </c>
      <c r="BD69" s="104">
        <v>0.11835276099719221</v>
      </c>
      <c r="BE69"/>
      <c r="BF69" s="92">
        <v>39</v>
      </c>
      <c r="BG69" s="93">
        <v>72</v>
      </c>
      <c r="BH69" s="98">
        <v>2</v>
      </c>
      <c r="BI69" s="94">
        <v>94.34</v>
      </c>
      <c r="BJ69" s="95">
        <v>35</v>
      </c>
      <c r="BK69" s="96">
        <v>9.2323925085729362E-3</v>
      </c>
      <c r="BL69" s="97">
        <v>232</v>
      </c>
      <c r="BM69" s="96">
        <v>6.1197573199683462E-2</v>
      </c>
      <c r="BN69"/>
      <c r="BO69" s="92">
        <v>39</v>
      </c>
      <c r="BP69" s="93">
        <v>71</v>
      </c>
      <c r="BQ69" s="98">
        <v>2</v>
      </c>
      <c r="BR69" s="94">
        <v>92.96</v>
      </c>
      <c r="BS69" s="95">
        <v>36</v>
      </c>
      <c r="BT69" s="96">
        <v>8.4785680640602924E-3</v>
      </c>
      <c r="BU69" s="97">
        <v>317</v>
      </c>
      <c r="BV69" s="96">
        <v>7.465850211964202E-2</v>
      </c>
      <c r="BW69"/>
      <c r="BX69" s="92">
        <v>39</v>
      </c>
      <c r="BY69" s="93">
        <v>59</v>
      </c>
      <c r="BZ69" s="98">
        <v>3</v>
      </c>
      <c r="CA69" s="94">
        <v>83.47</v>
      </c>
      <c r="CB69" s="95">
        <v>295</v>
      </c>
      <c r="CC69" s="96">
        <v>5.082701585113715E-2</v>
      </c>
      <c r="CD69" s="97">
        <v>1107</v>
      </c>
      <c r="CE69" s="96">
        <v>0.19073053066850448</v>
      </c>
      <c r="CF69"/>
      <c r="CG69" s="92">
        <v>39</v>
      </c>
      <c r="CH69" s="93">
        <v>75</v>
      </c>
      <c r="CI69" s="98">
        <v>2</v>
      </c>
      <c r="CJ69" s="94">
        <v>94.26</v>
      </c>
      <c r="CK69" s="95">
        <v>19</v>
      </c>
      <c r="CL69" s="96">
        <v>3.6169807728916809E-3</v>
      </c>
      <c r="CM69" s="97">
        <v>311</v>
      </c>
      <c r="CN69" s="96">
        <v>5.9204264229963832E-2</v>
      </c>
      <c r="CO69"/>
      <c r="CP69"/>
      <c r="CQ69"/>
      <c r="CR69"/>
      <c r="CS69"/>
      <c r="CT69"/>
      <c r="CU69"/>
      <c r="CV69"/>
      <c r="CW69"/>
      <c r="CX69"/>
      <c r="CY69"/>
    </row>
    <row r="70" spans="1:103" ht="16" customHeight="1" x14ac:dyDescent="0.2">
      <c r="A70"/>
      <c r="B70"/>
      <c r="C70"/>
      <c r="D70"/>
      <c r="E70"/>
      <c r="F70" s="86">
        <v>14</v>
      </c>
      <c r="G70" s="85">
        <v>6</v>
      </c>
      <c r="H70" s="36"/>
      <c r="I70" s="86">
        <v>10</v>
      </c>
      <c r="J70" s="85">
        <v>6</v>
      </c>
      <c r="K70" s="70"/>
      <c r="L70" s="70"/>
      <c r="M70" s="70"/>
      <c r="N70"/>
      <c r="O70" s="56">
        <v>68</v>
      </c>
      <c r="P70" s="83">
        <v>8</v>
      </c>
      <c r="Q70" s="15">
        <v>7.76</v>
      </c>
      <c r="R70" s="57">
        <v>2507</v>
      </c>
      <c r="S70" s="16">
        <v>8.7367137131904513E-3</v>
      </c>
      <c r="T70" s="17">
        <v>265928</v>
      </c>
      <c r="U70" s="16">
        <v>0.92673985014810945</v>
      </c>
      <c r="V70" s="28"/>
      <c r="W70" s="56">
        <v>94</v>
      </c>
      <c r="X70" s="83">
        <v>5</v>
      </c>
      <c r="Y70" s="15">
        <v>48.01</v>
      </c>
      <c r="Z70" s="57">
        <v>4312</v>
      </c>
      <c r="AA70" s="16">
        <v>1.5076975793621656E-2</v>
      </c>
      <c r="AB70" s="17">
        <v>150855</v>
      </c>
      <c r="AC70" s="16">
        <v>0.52746687925482261</v>
      </c>
      <c r="AD70"/>
      <c r="AE70" s="92">
        <v>38</v>
      </c>
      <c r="AF70" s="93">
        <v>62</v>
      </c>
      <c r="AG70" s="98">
        <v>3</v>
      </c>
      <c r="AH70" s="94">
        <v>84.05</v>
      </c>
      <c r="AI70" s="95">
        <v>242</v>
      </c>
      <c r="AJ70" s="96">
        <v>1.265028750653424E-2</v>
      </c>
      <c r="AK70" s="97">
        <v>3172</v>
      </c>
      <c r="AL70" s="96">
        <v>0.16581285938316781</v>
      </c>
      <c r="AM70"/>
      <c r="AN70" s="92">
        <v>38</v>
      </c>
      <c r="AO70" s="93">
        <v>63</v>
      </c>
      <c r="AP70" s="98">
        <v>3</v>
      </c>
      <c r="AQ70" s="94">
        <v>85.97</v>
      </c>
      <c r="AR70" s="95">
        <v>258</v>
      </c>
      <c r="AS70" s="96">
        <v>1.8059638807223857E-2</v>
      </c>
      <c r="AT70" s="97">
        <v>2133</v>
      </c>
      <c r="AU70" s="96">
        <v>0.14930701385972281</v>
      </c>
      <c r="AV70"/>
      <c r="AW70" s="92">
        <v>38</v>
      </c>
      <c r="AX70" s="93">
        <v>64</v>
      </c>
      <c r="AY70" s="98">
        <v>3</v>
      </c>
      <c r="AZ70" s="94">
        <v>87.59</v>
      </c>
      <c r="BA70" s="95">
        <v>134</v>
      </c>
      <c r="BB70" s="96">
        <v>1.1401344337615927E-2</v>
      </c>
      <c r="BC70" s="97">
        <v>1525</v>
      </c>
      <c r="BD70" s="96">
        <v>0.12975410533480813</v>
      </c>
      <c r="BE70"/>
      <c r="BF70" s="92">
        <v>38</v>
      </c>
      <c r="BG70" s="93">
        <v>71</v>
      </c>
      <c r="BH70" s="98">
        <v>2</v>
      </c>
      <c r="BI70" s="94">
        <v>93.55</v>
      </c>
      <c r="BJ70" s="95">
        <v>25</v>
      </c>
      <c r="BK70" s="96">
        <v>6.5945660775520972E-3</v>
      </c>
      <c r="BL70" s="97">
        <v>257</v>
      </c>
      <c r="BM70" s="96">
        <v>6.7792139277235555E-2</v>
      </c>
      <c r="BN70"/>
      <c r="BO70" s="92">
        <v>38</v>
      </c>
      <c r="BP70" s="93">
        <v>70</v>
      </c>
      <c r="BQ70" s="98">
        <v>2</v>
      </c>
      <c r="BR70" s="94">
        <v>92.22</v>
      </c>
      <c r="BS70" s="95">
        <v>27</v>
      </c>
      <c r="BT70" s="96">
        <v>6.3589260480452188E-3</v>
      </c>
      <c r="BU70" s="97">
        <v>344</v>
      </c>
      <c r="BV70" s="96">
        <v>8.1017428167687242E-2</v>
      </c>
      <c r="BW70"/>
      <c r="BX70" s="92">
        <v>38</v>
      </c>
      <c r="BY70" s="152">
        <v>58</v>
      </c>
      <c r="BZ70" s="153">
        <v>3</v>
      </c>
      <c r="CA70" s="154">
        <v>78.12</v>
      </c>
      <c r="CB70" s="155">
        <v>326</v>
      </c>
      <c r="CC70" s="161">
        <v>5.6168159889731221E-2</v>
      </c>
      <c r="CD70" s="162">
        <v>1433</v>
      </c>
      <c r="CE70" s="161">
        <v>0.24689869055823571</v>
      </c>
      <c r="CF70"/>
      <c r="CG70" s="92">
        <v>38</v>
      </c>
      <c r="CH70" s="93">
        <v>74</v>
      </c>
      <c r="CI70" s="98">
        <v>2</v>
      </c>
      <c r="CJ70" s="94">
        <v>93.89</v>
      </c>
      <c r="CK70" s="95">
        <v>20</v>
      </c>
      <c r="CL70" s="96">
        <v>3.8073481819912432E-3</v>
      </c>
      <c r="CM70" s="97">
        <v>331</v>
      </c>
      <c r="CN70" s="96">
        <v>6.3011612411955076E-2</v>
      </c>
      <c r="CO70"/>
      <c r="CP70"/>
      <c r="CQ70"/>
      <c r="CR70"/>
      <c r="CS70"/>
      <c r="CT70"/>
      <c r="CU70"/>
      <c r="CV70"/>
      <c r="CW70"/>
      <c r="CX70"/>
      <c r="CY70"/>
    </row>
    <row r="71" spans="1:103" ht="16" customHeight="1" x14ac:dyDescent="0.2">
      <c r="A71"/>
      <c r="B71"/>
      <c r="C71"/>
      <c r="D71"/>
      <c r="E71"/>
      <c r="F71" s="86">
        <v>11</v>
      </c>
      <c r="G71" s="85">
        <v>7</v>
      </c>
      <c r="H71" s="36"/>
      <c r="I71" s="86">
        <v>7</v>
      </c>
      <c r="J71" s="85">
        <v>7</v>
      </c>
      <c r="K71" s="70"/>
      <c r="L71" s="70"/>
      <c r="M71" s="70"/>
      <c r="N71"/>
      <c r="O71" s="56">
        <v>67</v>
      </c>
      <c r="P71" s="83">
        <v>8</v>
      </c>
      <c r="Q71" s="15">
        <v>6.04</v>
      </c>
      <c r="R71" s="57">
        <v>7398</v>
      </c>
      <c r="S71" s="16">
        <v>2.5781495033978044E-2</v>
      </c>
      <c r="T71" s="17">
        <v>273326</v>
      </c>
      <c r="U71" s="16">
        <v>0.95252134518208742</v>
      </c>
      <c r="V71" s="28"/>
      <c r="W71" s="56">
        <v>93</v>
      </c>
      <c r="X71" s="83">
        <v>5</v>
      </c>
      <c r="Y71" s="15">
        <v>46.45</v>
      </c>
      <c r="Z71" s="57">
        <v>4589</v>
      </c>
      <c r="AA71" s="16">
        <v>1.6045510648638631E-2</v>
      </c>
      <c r="AB71" s="17">
        <v>155444</v>
      </c>
      <c r="AC71" s="16">
        <v>0.54351238990346118</v>
      </c>
      <c r="AD71"/>
      <c r="AE71" s="92">
        <v>37</v>
      </c>
      <c r="AF71" s="93">
        <v>61</v>
      </c>
      <c r="AG71" s="98">
        <v>3</v>
      </c>
      <c r="AH71" s="94">
        <v>82.41</v>
      </c>
      <c r="AI71" s="95">
        <v>386</v>
      </c>
      <c r="AJ71" s="96">
        <v>2.0177731312075273E-2</v>
      </c>
      <c r="AK71" s="97">
        <v>3558</v>
      </c>
      <c r="AL71" s="96">
        <v>0.18599059069524307</v>
      </c>
      <c r="AM71"/>
      <c r="AN71" s="92">
        <v>37</v>
      </c>
      <c r="AO71" s="93">
        <v>62</v>
      </c>
      <c r="AP71" s="98">
        <v>3</v>
      </c>
      <c r="AQ71" s="94">
        <v>84.57</v>
      </c>
      <c r="AR71" s="95">
        <v>143</v>
      </c>
      <c r="AS71" s="96">
        <v>1.0009799804003921E-2</v>
      </c>
      <c r="AT71" s="97">
        <v>2276</v>
      </c>
      <c r="AU71" s="96">
        <v>0.15931681366372671</v>
      </c>
      <c r="AV71"/>
      <c r="AW71" s="92">
        <v>37</v>
      </c>
      <c r="AX71" s="144">
        <v>63</v>
      </c>
      <c r="AY71" s="146">
        <v>3</v>
      </c>
      <c r="AZ71" s="148">
        <v>85.94</v>
      </c>
      <c r="BA71" s="150">
        <v>254</v>
      </c>
      <c r="BB71" s="157">
        <v>2.1611503445928697E-2</v>
      </c>
      <c r="BC71" s="159">
        <v>1779</v>
      </c>
      <c r="BD71" s="157">
        <v>0.15136560878073682</v>
      </c>
      <c r="BE71"/>
      <c r="BF71" s="92">
        <v>37</v>
      </c>
      <c r="BG71" s="93">
        <v>70</v>
      </c>
      <c r="BH71" s="98">
        <v>2</v>
      </c>
      <c r="BI71" s="94">
        <v>92.89</v>
      </c>
      <c r="BJ71" s="95">
        <v>25</v>
      </c>
      <c r="BK71" s="96">
        <v>6.5945660775520972E-3</v>
      </c>
      <c r="BL71" s="97">
        <v>282</v>
      </c>
      <c r="BM71" s="96">
        <v>7.4386705354787655E-2</v>
      </c>
      <c r="BN71"/>
      <c r="BO71" s="92">
        <v>37</v>
      </c>
      <c r="BP71" s="93">
        <v>69</v>
      </c>
      <c r="BQ71" s="98">
        <v>2</v>
      </c>
      <c r="BR71" s="94">
        <v>91.51</v>
      </c>
      <c r="BS71" s="95">
        <v>33</v>
      </c>
      <c r="BT71" s="96">
        <v>7.7720207253886009E-3</v>
      </c>
      <c r="BU71" s="97">
        <v>377</v>
      </c>
      <c r="BV71" s="96">
        <v>8.8789448893075842E-2</v>
      </c>
      <c r="BW71"/>
      <c r="BX71" s="99">
        <v>37</v>
      </c>
      <c r="BY71" s="145"/>
      <c r="BZ71" s="147"/>
      <c r="CA71" s="149"/>
      <c r="CB71" s="151"/>
      <c r="CC71" s="158"/>
      <c r="CD71" s="160"/>
      <c r="CE71" s="158"/>
      <c r="CF71"/>
      <c r="CG71" s="92">
        <v>37</v>
      </c>
      <c r="CH71" s="93">
        <v>73</v>
      </c>
      <c r="CI71" s="98">
        <v>2</v>
      </c>
      <c r="CJ71" s="94">
        <v>93.62</v>
      </c>
      <c r="CK71" s="95">
        <v>8</v>
      </c>
      <c r="CL71" s="96">
        <v>1.5229392727964973E-3</v>
      </c>
      <c r="CM71" s="97">
        <v>339</v>
      </c>
      <c r="CN71" s="96">
        <v>6.453455168475157E-2</v>
      </c>
      <c r="CO71"/>
      <c r="CP71"/>
      <c r="CQ71"/>
      <c r="CR71"/>
      <c r="CS71"/>
      <c r="CT71"/>
      <c r="CU71"/>
      <c r="CV71"/>
      <c r="CW71"/>
      <c r="CX71"/>
      <c r="CY71"/>
    </row>
    <row r="72" spans="1:103" ht="16" customHeight="1" x14ac:dyDescent="0.2">
      <c r="A72"/>
      <c r="B72"/>
      <c r="C72"/>
      <c r="D72"/>
      <c r="E72"/>
      <c r="F72" s="86">
        <v>7</v>
      </c>
      <c r="G72" s="85">
        <v>8</v>
      </c>
      <c r="H72" s="36"/>
      <c r="I72" s="86">
        <v>5</v>
      </c>
      <c r="J72" s="85">
        <v>8</v>
      </c>
      <c r="K72" s="70"/>
      <c r="L72" s="70"/>
      <c r="M72" s="70"/>
      <c r="N72"/>
      <c r="O72" s="56">
        <v>66</v>
      </c>
      <c r="P72" s="83">
        <v>8</v>
      </c>
      <c r="Q72" s="15">
        <v>4.4400000000000004</v>
      </c>
      <c r="R72" s="57">
        <v>1773</v>
      </c>
      <c r="S72" s="16">
        <v>6.1787767903816E-3</v>
      </c>
      <c r="T72" s="17">
        <v>275099</v>
      </c>
      <c r="U72" s="16">
        <v>0.95870012197246912</v>
      </c>
      <c r="V72" s="28"/>
      <c r="W72" s="56">
        <v>92</v>
      </c>
      <c r="X72" s="83">
        <v>5</v>
      </c>
      <c r="Y72" s="15">
        <v>44.92</v>
      </c>
      <c r="Z72" s="57">
        <v>4161</v>
      </c>
      <c r="AA72" s="16">
        <v>1.4549001919587131E-2</v>
      </c>
      <c r="AB72" s="17">
        <v>159605</v>
      </c>
      <c r="AC72" s="16">
        <v>0.55806139182304837</v>
      </c>
      <c r="AD72"/>
      <c r="AE72" s="92">
        <v>36</v>
      </c>
      <c r="AF72" s="93">
        <v>60</v>
      </c>
      <c r="AG72" s="98">
        <v>3</v>
      </c>
      <c r="AH72" s="94">
        <v>80.52</v>
      </c>
      <c r="AI72" s="95">
        <v>337</v>
      </c>
      <c r="AJ72" s="96">
        <v>1.7616309461578671E-2</v>
      </c>
      <c r="AK72" s="97">
        <v>3895</v>
      </c>
      <c r="AL72" s="96">
        <v>0.20360690015682176</v>
      </c>
      <c r="AM72"/>
      <c r="AN72" s="92">
        <v>36</v>
      </c>
      <c r="AO72" s="144">
        <v>61</v>
      </c>
      <c r="AP72" s="146">
        <v>3</v>
      </c>
      <c r="AQ72" s="148">
        <v>82.3</v>
      </c>
      <c r="AR72" s="150">
        <v>504</v>
      </c>
      <c r="AS72" s="157">
        <v>3.527929441411172E-2</v>
      </c>
      <c r="AT72" s="159">
        <v>2780</v>
      </c>
      <c r="AU72" s="157">
        <v>0.19459610807783845</v>
      </c>
      <c r="AV72"/>
      <c r="AW72" s="92">
        <v>36</v>
      </c>
      <c r="AX72" s="145"/>
      <c r="AY72" s="147"/>
      <c r="AZ72" s="149"/>
      <c r="BA72" s="151"/>
      <c r="BB72" s="158"/>
      <c r="BC72" s="160"/>
      <c r="BD72" s="158"/>
      <c r="BE72"/>
      <c r="BF72" s="92">
        <v>36</v>
      </c>
      <c r="BG72" s="93">
        <v>69</v>
      </c>
      <c r="BH72" s="98">
        <v>2</v>
      </c>
      <c r="BI72" s="94">
        <v>92.15</v>
      </c>
      <c r="BJ72" s="95">
        <v>31</v>
      </c>
      <c r="BK72" s="96">
        <v>8.1772619361646006E-3</v>
      </c>
      <c r="BL72" s="97">
        <v>313</v>
      </c>
      <c r="BM72" s="96">
        <v>8.256396729095225E-2</v>
      </c>
      <c r="BN72"/>
      <c r="BO72" s="92">
        <v>36</v>
      </c>
      <c r="BP72" s="93">
        <v>68</v>
      </c>
      <c r="BQ72" s="98">
        <v>2</v>
      </c>
      <c r="BR72" s="94">
        <v>90.8</v>
      </c>
      <c r="BS72" s="95">
        <v>27</v>
      </c>
      <c r="BT72" s="96">
        <v>6.3589260480452188E-3</v>
      </c>
      <c r="BU72" s="97">
        <v>404</v>
      </c>
      <c r="BV72" s="96">
        <v>9.514837494112105E-2</v>
      </c>
      <c r="BW72"/>
      <c r="BX72" s="92">
        <v>36</v>
      </c>
      <c r="BY72" s="93">
        <v>57</v>
      </c>
      <c r="BZ72" s="98">
        <v>4</v>
      </c>
      <c r="CA72" s="94">
        <v>73.760000000000005</v>
      </c>
      <c r="CB72" s="95">
        <v>180</v>
      </c>
      <c r="CC72" s="96">
        <v>3.1013094417643005E-2</v>
      </c>
      <c r="CD72" s="97">
        <v>1613</v>
      </c>
      <c r="CE72" s="96">
        <v>0.27791178497587871</v>
      </c>
      <c r="CF72"/>
      <c r="CG72" s="92">
        <v>36</v>
      </c>
      <c r="CH72" s="93">
        <v>72</v>
      </c>
      <c r="CI72" s="98">
        <v>2</v>
      </c>
      <c r="CJ72" s="94">
        <v>93.38</v>
      </c>
      <c r="CK72" s="95">
        <v>18</v>
      </c>
      <c r="CL72" s="96">
        <v>3.4266133637921186E-3</v>
      </c>
      <c r="CM72" s="97">
        <v>357</v>
      </c>
      <c r="CN72" s="96">
        <v>6.7961165048543687E-2</v>
      </c>
      <c r="CO72"/>
      <c r="CP72"/>
      <c r="CQ72"/>
      <c r="CR72"/>
      <c r="CS72"/>
      <c r="CT72"/>
      <c r="CU72"/>
      <c r="CV72"/>
      <c r="CW72"/>
      <c r="CX72"/>
      <c r="CY72"/>
    </row>
    <row r="73" spans="1:103" ht="16" customHeight="1" x14ac:dyDescent="0.2">
      <c r="A73"/>
      <c r="B73"/>
      <c r="C73"/>
      <c r="D73"/>
      <c r="E73"/>
      <c r="F73" s="86">
        <v>0</v>
      </c>
      <c r="G73" s="85">
        <v>9</v>
      </c>
      <c r="H73" s="36"/>
      <c r="I73" s="86">
        <v>0</v>
      </c>
      <c r="J73" s="85">
        <v>9</v>
      </c>
      <c r="K73" s="70"/>
      <c r="L73" s="70"/>
      <c r="M73" s="70"/>
      <c r="N73"/>
      <c r="O73" s="60">
        <v>65</v>
      </c>
      <c r="P73" s="84">
        <v>8</v>
      </c>
      <c r="Q73" s="33">
        <v>3.79</v>
      </c>
      <c r="R73" s="61">
        <v>1949</v>
      </c>
      <c r="S73" s="34">
        <v>6.7921240634256841E-3</v>
      </c>
      <c r="T73" s="35">
        <v>277048</v>
      </c>
      <c r="U73" s="34">
        <v>0.96549224603589479</v>
      </c>
      <c r="V73" s="28"/>
      <c r="W73" s="56">
        <v>91</v>
      </c>
      <c r="X73" s="83">
        <v>5</v>
      </c>
      <c r="Y73" s="15">
        <v>43.34</v>
      </c>
      <c r="Z73" s="57">
        <v>4875</v>
      </c>
      <c r="AA73" s="16">
        <v>1.7045514145154355E-2</v>
      </c>
      <c r="AB73" s="17">
        <v>164480</v>
      </c>
      <c r="AC73" s="16">
        <v>0.57510690596820269</v>
      </c>
      <c r="AD73"/>
      <c r="AE73" s="92">
        <v>35</v>
      </c>
      <c r="AF73" s="152">
        <v>59</v>
      </c>
      <c r="AG73" s="153">
        <v>3</v>
      </c>
      <c r="AH73" s="154">
        <v>77.87</v>
      </c>
      <c r="AI73" s="155">
        <v>678</v>
      </c>
      <c r="AJ73" s="161">
        <v>3.5441714584422371E-2</v>
      </c>
      <c r="AK73" s="162">
        <v>4573</v>
      </c>
      <c r="AL73" s="161">
        <v>0.23904861474124411</v>
      </c>
      <c r="AM73"/>
      <c r="AN73" s="92">
        <v>35</v>
      </c>
      <c r="AO73" s="145"/>
      <c r="AP73" s="147"/>
      <c r="AQ73" s="149"/>
      <c r="AR73" s="151"/>
      <c r="AS73" s="158"/>
      <c r="AT73" s="160"/>
      <c r="AU73" s="158"/>
      <c r="AV73"/>
      <c r="AW73" s="92">
        <v>35</v>
      </c>
      <c r="AX73" s="93">
        <v>62</v>
      </c>
      <c r="AY73" s="98">
        <v>3</v>
      </c>
      <c r="AZ73" s="94">
        <v>84.28</v>
      </c>
      <c r="BA73" s="95">
        <v>136</v>
      </c>
      <c r="BB73" s="96">
        <v>1.1571513656087808E-2</v>
      </c>
      <c r="BC73" s="97">
        <v>1915</v>
      </c>
      <c r="BD73" s="96">
        <v>0.16293712243682465</v>
      </c>
      <c r="BE73"/>
      <c r="BF73" s="92">
        <v>35</v>
      </c>
      <c r="BG73" s="93">
        <v>68</v>
      </c>
      <c r="BH73" s="98">
        <v>2</v>
      </c>
      <c r="BI73" s="94">
        <v>91.51</v>
      </c>
      <c r="BJ73" s="95">
        <v>18</v>
      </c>
      <c r="BK73" s="96">
        <v>4.7480875758375103E-3</v>
      </c>
      <c r="BL73" s="97">
        <v>331</v>
      </c>
      <c r="BM73" s="96">
        <v>8.7312054866789765E-2</v>
      </c>
      <c r="BN73"/>
      <c r="BO73" s="92">
        <v>35</v>
      </c>
      <c r="BP73" s="93">
        <v>67</v>
      </c>
      <c r="BQ73" s="98">
        <v>2</v>
      </c>
      <c r="BR73" s="94">
        <v>90.25</v>
      </c>
      <c r="BS73" s="95">
        <v>20</v>
      </c>
      <c r="BT73" s="96">
        <v>4.7103155911446069E-3</v>
      </c>
      <c r="BU73" s="97">
        <v>424</v>
      </c>
      <c r="BV73" s="96">
        <v>9.9858690532265662E-2</v>
      </c>
      <c r="BW73"/>
      <c r="BX73" s="92">
        <v>35</v>
      </c>
      <c r="BY73" s="93">
        <v>56</v>
      </c>
      <c r="BZ73" s="98">
        <v>4</v>
      </c>
      <c r="CA73" s="94">
        <v>71.39</v>
      </c>
      <c r="CB73" s="95">
        <v>95</v>
      </c>
      <c r="CC73" s="96">
        <v>1.636802205375603E-2</v>
      </c>
      <c r="CD73" s="97">
        <v>1708</v>
      </c>
      <c r="CE73" s="96">
        <v>0.29427980702963474</v>
      </c>
      <c r="CF73"/>
      <c r="CG73" s="92">
        <v>35</v>
      </c>
      <c r="CH73" s="93">
        <v>71</v>
      </c>
      <c r="CI73" s="98">
        <v>2</v>
      </c>
      <c r="CJ73" s="94">
        <v>92.98</v>
      </c>
      <c r="CK73" s="95">
        <v>23</v>
      </c>
      <c r="CL73" s="96">
        <v>4.3784504092899299E-3</v>
      </c>
      <c r="CM73" s="97">
        <v>380</v>
      </c>
      <c r="CN73" s="96">
        <v>7.2339615457833614E-2</v>
      </c>
      <c r="CO73"/>
      <c r="CP73"/>
      <c r="CQ73"/>
      <c r="CR73"/>
      <c r="CS73"/>
      <c r="CT73"/>
      <c r="CU73"/>
      <c r="CV73"/>
      <c r="CW73"/>
      <c r="CX73"/>
      <c r="CY73"/>
    </row>
    <row r="74" spans="1:103" ht="16" customHeight="1" x14ac:dyDescent="0.2">
      <c r="A74"/>
      <c r="B74"/>
      <c r="C74"/>
      <c r="D74"/>
      <c r="E74"/>
      <c r="F74" s="1"/>
      <c r="G74" s="1"/>
      <c r="H74" s="1"/>
      <c r="I74" s="1"/>
      <c r="J74" s="1"/>
      <c r="K74" s="1"/>
      <c r="L74" s="1"/>
      <c r="M74" s="1"/>
      <c r="N74"/>
      <c r="O74" s="56">
        <v>64</v>
      </c>
      <c r="P74" s="83">
        <v>9</v>
      </c>
      <c r="Q74" s="15">
        <v>3.18</v>
      </c>
      <c r="R74" s="57">
        <v>1526</v>
      </c>
      <c r="S74" s="16">
        <v>5.3179996515072313E-3</v>
      </c>
      <c r="T74" s="17">
        <v>278574</v>
      </c>
      <c r="U74" s="16">
        <v>0.97081024568740204</v>
      </c>
      <c r="V74" s="28"/>
      <c r="W74" s="56">
        <v>90</v>
      </c>
      <c r="X74" s="83">
        <v>5</v>
      </c>
      <c r="Y74" s="15">
        <v>41.65</v>
      </c>
      <c r="Z74" s="57">
        <v>4809</v>
      </c>
      <c r="AA74" s="16">
        <v>1.6814744107496879E-2</v>
      </c>
      <c r="AB74" s="17">
        <v>169289</v>
      </c>
      <c r="AC74" s="16">
        <v>0.59192165007569952</v>
      </c>
      <c r="AD74"/>
      <c r="AE74" s="99">
        <v>34</v>
      </c>
      <c r="AF74" s="145"/>
      <c r="AG74" s="147"/>
      <c r="AH74" s="149"/>
      <c r="AI74" s="151"/>
      <c r="AJ74" s="158"/>
      <c r="AK74" s="160"/>
      <c r="AL74" s="158"/>
      <c r="AM74"/>
      <c r="AN74" s="92">
        <v>34</v>
      </c>
      <c r="AO74" s="93">
        <v>60</v>
      </c>
      <c r="AP74" s="98">
        <v>3</v>
      </c>
      <c r="AQ74" s="94">
        <v>79.83</v>
      </c>
      <c r="AR74" s="95">
        <v>204</v>
      </c>
      <c r="AS74" s="96">
        <v>1.4279714405711887E-2</v>
      </c>
      <c r="AT74" s="97">
        <v>2984</v>
      </c>
      <c r="AU74" s="96">
        <v>0.20887582248355033</v>
      </c>
      <c r="AV74"/>
      <c r="AW74" s="92">
        <v>34</v>
      </c>
      <c r="AX74" s="93">
        <v>61</v>
      </c>
      <c r="AY74" s="98">
        <v>3</v>
      </c>
      <c r="AZ74" s="94">
        <v>83.11</v>
      </c>
      <c r="BA74" s="95">
        <v>139</v>
      </c>
      <c r="BB74" s="96">
        <v>1.1826767633795627E-2</v>
      </c>
      <c r="BC74" s="97">
        <v>2054</v>
      </c>
      <c r="BD74" s="96">
        <v>0.17476389007062026</v>
      </c>
      <c r="BE74"/>
      <c r="BF74" s="92">
        <v>34</v>
      </c>
      <c r="BG74" s="93">
        <v>67</v>
      </c>
      <c r="BH74" s="98">
        <v>2</v>
      </c>
      <c r="BI74" s="94">
        <v>90.74</v>
      </c>
      <c r="BJ74" s="95">
        <v>40</v>
      </c>
      <c r="BK74" s="96">
        <v>1.0551305724083356E-2</v>
      </c>
      <c r="BL74" s="97">
        <v>371</v>
      </c>
      <c r="BM74" s="96">
        <v>9.7863360590873125E-2</v>
      </c>
      <c r="BN74"/>
      <c r="BO74" s="92">
        <v>34</v>
      </c>
      <c r="BP74" s="93">
        <v>66</v>
      </c>
      <c r="BQ74" s="98">
        <v>2</v>
      </c>
      <c r="BR74" s="94">
        <v>89.53</v>
      </c>
      <c r="BS74" s="95">
        <v>41</v>
      </c>
      <c r="BT74" s="96">
        <v>9.6561469618464436E-3</v>
      </c>
      <c r="BU74" s="97">
        <v>465</v>
      </c>
      <c r="BV74" s="96">
        <v>0.1095148374941121</v>
      </c>
      <c r="BW74"/>
      <c r="BX74" s="92">
        <v>34</v>
      </c>
      <c r="BY74" s="93">
        <v>55</v>
      </c>
      <c r="BZ74" s="98">
        <v>4</v>
      </c>
      <c r="CA74" s="94">
        <v>69.180000000000007</v>
      </c>
      <c r="CB74" s="95">
        <v>162</v>
      </c>
      <c r="CC74" s="96">
        <v>2.7911784975878703E-2</v>
      </c>
      <c r="CD74" s="97">
        <v>1870</v>
      </c>
      <c r="CE74" s="96">
        <v>0.32219159200551345</v>
      </c>
      <c r="CF74"/>
      <c r="CG74" s="92">
        <v>34</v>
      </c>
      <c r="CH74" s="93">
        <v>70</v>
      </c>
      <c r="CI74" s="98">
        <v>2</v>
      </c>
      <c r="CJ74" s="94">
        <v>92.7</v>
      </c>
      <c r="CK74" s="95">
        <v>7</v>
      </c>
      <c r="CL74" s="96">
        <v>1.332571863696935E-3</v>
      </c>
      <c r="CM74" s="97">
        <v>387</v>
      </c>
      <c r="CN74" s="96">
        <v>7.3672187321530552E-2</v>
      </c>
      <c r="CO74"/>
      <c r="CP74"/>
      <c r="CQ74"/>
      <c r="CR74"/>
      <c r="CS74"/>
      <c r="CT74"/>
      <c r="CU74"/>
      <c r="CV74"/>
      <c r="CW74"/>
      <c r="CX74"/>
      <c r="CY74"/>
    </row>
    <row r="75" spans="1:103" ht="16" customHeight="1" thickBot="1" x14ac:dyDescent="0.25">
      <c r="A75"/>
      <c r="B75"/>
      <c r="C75"/>
      <c r="D75"/>
      <c r="E75"/>
      <c r="F75" s="117" t="s">
        <v>8</v>
      </c>
      <c r="G75" s="118"/>
      <c r="H75" s="36"/>
      <c r="I75" s="117" t="s">
        <v>31</v>
      </c>
      <c r="J75" s="118"/>
      <c r="K75" s="36"/>
      <c r="L75"/>
      <c r="M75"/>
      <c r="N75"/>
      <c r="O75" s="56">
        <v>63</v>
      </c>
      <c r="P75" s="83">
        <v>9</v>
      </c>
      <c r="Q75" s="15">
        <v>2.68</v>
      </c>
      <c r="R75" s="57">
        <v>1382</v>
      </c>
      <c r="S75" s="16">
        <v>4.8161700644711626E-3</v>
      </c>
      <c r="T75" s="17">
        <v>279956</v>
      </c>
      <c r="U75" s="16">
        <v>0.97562641575187314</v>
      </c>
      <c r="V75" s="28"/>
      <c r="W75" s="60">
        <v>89</v>
      </c>
      <c r="X75" s="84">
        <v>5</v>
      </c>
      <c r="Y75" s="33">
        <v>39.93</v>
      </c>
      <c r="Z75" s="61">
        <v>5032</v>
      </c>
      <c r="AA75" s="34">
        <v>1.7594467113521375E-2</v>
      </c>
      <c r="AB75" s="35">
        <v>174321</v>
      </c>
      <c r="AC75" s="34">
        <v>0.60951611718922094</v>
      </c>
      <c r="AD75"/>
      <c r="AE75" s="92">
        <v>33</v>
      </c>
      <c r="AF75" s="93">
        <v>58</v>
      </c>
      <c r="AG75" s="98">
        <v>4</v>
      </c>
      <c r="AH75" s="94">
        <v>75.22</v>
      </c>
      <c r="AI75" s="95">
        <v>335</v>
      </c>
      <c r="AJ75" s="96">
        <v>1.7511761630946157E-2</v>
      </c>
      <c r="AK75" s="97">
        <v>4908</v>
      </c>
      <c r="AL75" s="96">
        <v>0.25656037637219026</v>
      </c>
      <c r="AM75"/>
      <c r="AN75" s="92">
        <v>33</v>
      </c>
      <c r="AO75" s="93">
        <v>59</v>
      </c>
      <c r="AP75" s="98">
        <v>3</v>
      </c>
      <c r="AQ75" s="94">
        <v>78.25</v>
      </c>
      <c r="AR75" s="95">
        <v>247</v>
      </c>
      <c r="AS75" s="96">
        <v>1.7289654206915861E-2</v>
      </c>
      <c r="AT75" s="97">
        <v>3231</v>
      </c>
      <c r="AU75" s="96">
        <v>0.22616547669046619</v>
      </c>
      <c r="AV75"/>
      <c r="AW75" s="92">
        <v>33</v>
      </c>
      <c r="AX75" s="93">
        <v>60</v>
      </c>
      <c r="AY75" s="98">
        <v>3</v>
      </c>
      <c r="AZ75" s="94">
        <v>81.89</v>
      </c>
      <c r="BA75" s="95">
        <v>148</v>
      </c>
      <c r="BB75" s="96">
        <v>1.2592529566919084E-2</v>
      </c>
      <c r="BC75" s="97">
        <v>2202</v>
      </c>
      <c r="BD75" s="96">
        <v>0.18735641963753935</v>
      </c>
      <c r="BE75"/>
      <c r="BF75" s="92">
        <v>33</v>
      </c>
      <c r="BG75" s="93">
        <v>66</v>
      </c>
      <c r="BH75" s="98">
        <v>2</v>
      </c>
      <c r="BI75" s="94">
        <v>89.75</v>
      </c>
      <c r="BJ75" s="95">
        <v>35</v>
      </c>
      <c r="BK75" s="96">
        <v>9.2323925085729362E-3</v>
      </c>
      <c r="BL75" s="97">
        <v>406</v>
      </c>
      <c r="BM75" s="96">
        <v>0.10709575309944605</v>
      </c>
      <c r="BN75"/>
      <c r="BO75" s="99">
        <v>33</v>
      </c>
      <c r="BP75" s="100">
        <v>65</v>
      </c>
      <c r="BQ75" s="101">
        <v>2</v>
      </c>
      <c r="BR75" s="102">
        <v>88.73</v>
      </c>
      <c r="BS75" s="103">
        <v>27</v>
      </c>
      <c r="BT75" s="104">
        <v>6.3589260480452188E-3</v>
      </c>
      <c r="BU75" s="105">
        <v>492</v>
      </c>
      <c r="BV75" s="104">
        <v>0.11587376354215732</v>
      </c>
      <c r="BW75"/>
      <c r="BX75" s="92">
        <v>33</v>
      </c>
      <c r="BY75" s="93">
        <v>54</v>
      </c>
      <c r="BZ75" s="98">
        <v>4</v>
      </c>
      <c r="CA75" s="94">
        <v>66.52</v>
      </c>
      <c r="CB75" s="95">
        <v>146</v>
      </c>
      <c r="CC75" s="96">
        <v>2.5155065472088216E-2</v>
      </c>
      <c r="CD75" s="97">
        <v>2016</v>
      </c>
      <c r="CE75" s="96">
        <v>0.34734665747760163</v>
      </c>
      <c r="CF75"/>
      <c r="CG75" s="92">
        <v>33</v>
      </c>
      <c r="CH75" s="93">
        <v>69</v>
      </c>
      <c r="CI75" s="98">
        <v>2</v>
      </c>
      <c r="CJ75" s="94">
        <v>92.43</v>
      </c>
      <c r="CK75" s="95">
        <v>21</v>
      </c>
      <c r="CL75" s="96">
        <v>3.9977155910908054E-3</v>
      </c>
      <c r="CM75" s="97">
        <v>408</v>
      </c>
      <c r="CN75" s="96">
        <v>7.7669902912621352E-2</v>
      </c>
      <c r="CO75"/>
      <c r="CP75"/>
      <c r="CQ75"/>
      <c r="CR75"/>
      <c r="CS75"/>
      <c r="CT75"/>
      <c r="CU75"/>
      <c r="CV75"/>
      <c r="CW75"/>
      <c r="CX75"/>
      <c r="CY75"/>
    </row>
    <row r="76" spans="1:103" ht="16" customHeight="1" x14ac:dyDescent="0.2">
      <c r="A76"/>
      <c r="B76"/>
      <c r="C76"/>
      <c r="D76"/>
      <c r="E76"/>
      <c r="F76" s="30" t="s">
        <v>30</v>
      </c>
      <c r="G76" s="30" t="s">
        <v>14</v>
      </c>
      <c r="H76" s="36"/>
      <c r="I76" s="30" t="s">
        <v>30</v>
      </c>
      <c r="J76" s="30" t="s">
        <v>14</v>
      </c>
      <c r="K76" s="36"/>
      <c r="L76"/>
      <c r="M76"/>
      <c r="N76"/>
      <c r="O76" s="56">
        <v>62</v>
      </c>
      <c r="P76" s="83">
        <v>9</v>
      </c>
      <c r="Q76" s="15">
        <v>2.23</v>
      </c>
      <c r="R76" s="57">
        <v>1184</v>
      </c>
      <c r="S76" s="16">
        <v>4.1261543822965676E-3</v>
      </c>
      <c r="T76" s="17">
        <v>281140</v>
      </c>
      <c r="U76" s="16">
        <v>0.97975257013416972</v>
      </c>
      <c r="V76" s="28"/>
      <c r="W76" s="56">
        <v>88</v>
      </c>
      <c r="X76" s="83">
        <v>6</v>
      </c>
      <c r="Y76" s="15">
        <v>38.01</v>
      </c>
      <c r="Z76" s="57">
        <v>5930</v>
      </c>
      <c r="AA76" s="16">
        <v>2.0734338231951858E-2</v>
      </c>
      <c r="AB76" s="17">
        <v>180251</v>
      </c>
      <c r="AC76" s="16">
        <v>0.63025045542117275</v>
      </c>
      <c r="AD76"/>
      <c r="AE76" s="92">
        <v>32</v>
      </c>
      <c r="AF76" s="93">
        <v>57</v>
      </c>
      <c r="AG76" s="98">
        <v>4</v>
      </c>
      <c r="AH76" s="94">
        <v>73.3</v>
      </c>
      <c r="AI76" s="95">
        <v>400</v>
      </c>
      <c r="AJ76" s="96">
        <v>2.0909566126502875E-2</v>
      </c>
      <c r="AK76" s="97">
        <v>5308</v>
      </c>
      <c r="AL76" s="96">
        <v>0.27746994249869317</v>
      </c>
      <c r="AM76"/>
      <c r="AN76" s="99">
        <v>32</v>
      </c>
      <c r="AO76" s="100">
        <v>58</v>
      </c>
      <c r="AP76" s="101">
        <v>3</v>
      </c>
      <c r="AQ76" s="102">
        <v>76.459999999999994</v>
      </c>
      <c r="AR76" s="103">
        <v>263</v>
      </c>
      <c r="AS76" s="104">
        <v>1.8409631807363852E-2</v>
      </c>
      <c r="AT76" s="105">
        <v>3494</v>
      </c>
      <c r="AU76" s="104">
        <v>0.24457510849783004</v>
      </c>
      <c r="AV76"/>
      <c r="AW76" s="92">
        <v>32</v>
      </c>
      <c r="AX76" s="144">
        <v>59</v>
      </c>
      <c r="AY76" s="146">
        <v>3</v>
      </c>
      <c r="AZ76" s="148">
        <v>79.92</v>
      </c>
      <c r="BA76" s="150">
        <v>316</v>
      </c>
      <c r="BB76" s="157">
        <v>2.6886752318556965E-2</v>
      </c>
      <c r="BC76" s="159">
        <v>2518</v>
      </c>
      <c r="BD76" s="157">
        <v>0.21424317195609632</v>
      </c>
      <c r="BE76"/>
      <c r="BF76" s="99">
        <v>32</v>
      </c>
      <c r="BG76" s="100">
        <v>65</v>
      </c>
      <c r="BH76" s="101">
        <v>2</v>
      </c>
      <c r="BI76" s="102">
        <v>88.92</v>
      </c>
      <c r="BJ76" s="103">
        <v>28</v>
      </c>
      <c r="BK76" s="104">
        <v>7.3859140068583485E-3</v>
      </c>
      <c r="BL76" s="105">
        <v>434</v>
      </c>
      <c r="BM76" s="104">
        <v>0.11448166710630441</v>
      </c>
      <c r="BN76"/>
      <c r="BO76" s="92">
        <v>32</v>
      </c>
      <c r="BP76" s="93">
        <v>64</v>
      </c>
      <c r="BQ76" s="98">
        <v>3</v>
      </c>
      <c r="BR76" s="94">
        <v>88.11</v>
      </c>
      <c r="BS76" s="95">
        <v>26</v>
      </c>
      <c r="BT76" s="96">
        <v>6.1234102684879889E-3</v>
      </c>
      <c r="BU76" s="97">
        <v>518</v>
      </c>
      <c r="BV76" s="96">
        <v>0.12199717381064532</v>
      </c>
      <c r="BW76"/>
      <c r="BX76" s="92">
        <v>32</v>
      </c>
      <c r="BY76" s="144">
        <v>53</v>
      </c>
      <c r="BZ76" s="146">
        <v>4</v>
      </c>
      <c r="CA76" s="148">
        <v>63.06</v>
      </c>
      <c r="CB76" s="150">
        <v>256</v>
      </c>
      <c r="CC76" s="157">
        <v>4.4107512060647829E-2</v>
      </c>
      <c r="CD76" s="159">
        <v>2272</v>
      </c>
      <c r="CE76" s="157">
        <v>0.39145416953824946</v>
      </c>
      <c r="CF76"/>
      <c r="CG76" s="92">
        <v>32</v>
      </c>
      <c r="CH76" s="93">
        <v>68</v>
      </c>
      <c r="CI76" s="98">
        <v>2</v>
      </c>
      <c r="CJ76" s="94">
        <v>92.11</v>
      </c>
      <c r="CK76" s="95">
        <v>13</v>
      </c>
      <c r="CL76" s="96">
        <v>2.4747763182943082E-3</v>
      </c>
      <c r="CM76" s="97">
        <v>421</v>
      </c>
      <c r="CN76" s="96">
        <v>8.0144679230915672E-2</v>
      </c>
      <c r="CO76"/>
      <c r="CP76"/>
      <c r="CQ76"/>
      <c r="CR76"/>
      <c r="CS76"/>
      <c r="CT76"/>
      <c r="CU76"/>
      <c r="CV76"/>
      <c r="CW76"/>
      <c r="CX76"/>
      <c r="CY76"/>
    </row>
    <row r="77" spans="1:103" ht="16" customHeight="1" x14ac:dyDescent="0.2">
      <c r="A77"/>
      <c r="B77"/>
      <c r="C77"/>
      <c r="D77"/>
      <c r="E77"/>
      <c r="F77" s="86">
        <v>44</v>
      </c>
      <c r="G77" s="85">
        <v>1</v>
      </c>
      <c r="H77" s="36"/>
      <c r="I77" s="86">
        <v>43</v>
      </c>
      <c r="J77" s="85">
        <v>1</v>
      </c>
      <c r="K77" s="70"/>
      <c r="L77"/>
      <c r="M77"/>
      <c r="N77"/>
      <c r="O77" s="56">
        <v>61</v>
      </c>
      <c r="P77" s="83">
        <v>9</v>
      </c>
      <c r="Q77" s="15">
        <v>1.8</v>
      </c>
      <c r="R77" s="57">
        <v>1273</v>
      </c>
      <c r="S77" s="16">
        <v>4.4363129465063598E-3</v>
      </c>
      <c r="T77" s="17">
        <v>282413</v>
      </c>
      <c r="U77" s="16">
        <v>0.98418888308067609</v>
      </c>
      <c r="V77" s="28"/>
      <c r="W77" s="56">
        <v>87</v>
      </c>
      <c r="X77" s="83">
        <v>6</v>
      </c>
      <c r="Y77" s="15">
        <v>35.979999999999997</v>
      </c>
      <c r="Z77" s="57">
        <v>5670</v>
      </c>
      <c r="AA77" s="16">
        <v>1.9825244144210295E-2</v>
      </c>
      <c r="AB77" s="17">
        <v>185921</v>
      </c>
      <c r="AC77" s="16">
        <v>0.65007569956538314</v>
      </c>
      <c r="AD77"/>
      <c r="AE77" s="92">
        <v>31</v>
      </c>
      <c r="AF77" s="93">
        <v>56</v>
      </c>
      <c r="AG77" s="98">
        <v>4</v>
      </c>
      <c r="AH77" s="94">
        <v>71.31</v>
      </c>
      <c r="AI77" s="95">
        <v>359</v>
      </c>
      <c r="AJ77" s="96">
        <v>1.876633559853633E-2</v>
      </c>
      <c r="AK77" s="97">
        <v>5667</v>
      </c>
      <c r="AL77" s="96">
        <v>0.29623627809722947</v>
      </c>
      <c r="AM77"/>
      <c r="AN77" s="92">
        <v>31</v>
      </c>
      <c r="AO77" s="93">
        <v>57</v>
      </c>
      <c r="AP77" s="98">
        <v>4</v>
      </c>
      <c r="AQ77" s="94">
        <v>74.81</v>
      </c>
      <c r="AR77" s="95">
        <v>209</v>
      </c>
      <c r="AS77" s="96">
        <v>1.4629707405851884E-2</v>
      </c>
      <c r="AT77" s="97">
        <v>3703</v>
      </c>
      <c r="AU77" s="96">
        <v>0.25920481590368194</v>
      </c>
      <c r="AV77"/>
      <c r="AW77" s="92">
        <v>31</v>
      </c>
      <c r="AX77" s="145"/>
      <c r="AY77" s="147"/>
      <c r="AZ77" s="149"/>
      <c r="BA77" s="151"/>
      <c r="BB77" s="158"/>
      <c r="BC77" s="160"/>
      <c r="BD77" s="158"/>
      <c r="BE77"/>
      <c r="BF77" s="92">
        <v>31</v>
      </c>
      <c r="BG77" s="93">
        <v>64</v>
      </c>
      <c r="BH77" s="98">
        <v>3</v>
      </c>
      <c r="BI77" s="94">
        <v>88.12</v>
      </c>
      <c r="BJ77" s="95">
        <v>33</v>
      </c>
      <c r="BK77" s="96">
        <v>8.7048272223687675E-3</v>
      </c>
      <c r="BL77" s="97">
        <v>467</v>
      </c>
      <c r="BM77" s="96">
        <v>0.12318649432867318</v>
      </c>
      <c r="BN77"/>
      <c r="BO77" s="92">
        <v>31</v>
      </c>
      <c r="BP77" s="144">
        <v>63</v>
      </c>
      <c r="BQ77" s="146">
        <v>3</v>
      </c>
      <c r="BR77" s="148">
        <v>87.12</v>
      </c>
      <c r="BS77" s="150">
        <v>58</v>
      </c>
      <c r="BT77" s="157">
        <v>1.3659915214319359E-2</v>
      </c>
      <c r="BU77" s="159">
        <v>576</v>
      </c>
      <c r="BV77" s="157">
        <v>0.13565708902496468</v>
      </c>
      <c r="BW77"/>
      <c r="BX77" s="92">
        <v>31</v>
      </c>
      <c r="BY77" s="145"/>
      <c r="BZ77" s="147"/>
      <c r="CA77" s="149"/>
      <c r="CB77" s="151"/>
      <c r="CC77" s="158"/>
      <c r="CD77" s="160"/>
      <c r="CE77" s="158"/>
      <c r="CF77"/>
      <c r="CG77" s="92">
        <v>31</v>
      </c>
      <c r="CH77" s="93">
        <v>67</v>
      </c>
      <c r="CI77" s="98">
        <v>2</v>
      </c>
      <c r="CJ77" s="94">
        <v>91.83</v>
      </c>
      <c r="CK77" s="95">
        <v>16</v>
      </c>
      <c r="CL77" s="96">
        <v>3.0458785455929945E-3</v>
      </c>
      <c r="CM77" s="97">
        <v>437</v>
      </c>
      <c r="CN77" s="96">
        <v>8.3190557776508661E-2</v>
      </c>
      <c r="CO77"/>
      <c r="CP77"/>
      <c r="CQ77"/>
      <c r="CR77"/>
      <c r="CS77"/>
      <c r="CT77"/>
      <c r="CU77"/>
      <c r="CV77"/>
      <c r="CW77"/>
      <c r="CX77"/>
      <c r="CY77"/>
    </row>
    <row r="78" spans="1:103" ht="16" customHeight="1" x14ac:dyDescent="0.2">
      <c r="A78"/>
      <c r="B78"/>
      <c r="C78"/>
      <c r="D78"/>
      <c r="E78"/>
      <c r="F78" s="86">
        <v>38</v>
      </c>
      <c r="G78" s="85">
        <v>2</v>
      </c>
      <c r="H78" s="36"/>
      <c r="I78" s="86">
        <v>33</v>
      </c>
      <c r="J78" s="85">
        <v>2</v>
      </c>
      <c r="K78" s="70"/>
      <c r="L78"/>
      <c r="M78"/>
      <c r="N78"/>
      <c r="O78" s="56">
        <v>60</v>
      </c>
      <c r="P78" s="83">
        <v>9</v>
      </c>
      <c r="Q78" s="15">
        <v>1.45</v>
      </c>
      <c r="R78" s="57">
        <v>727</v>
      </c>
      <c r="S78" s="16">
        <v>2.5335424289945983E-3</v>
      </c>
      <c r="T78" s="17">
        <v>283140</v>
      </c>
      <c r="U78" s="16">
        <v>0.98672242550967071</v>
      </c>
      <c r="V78" s="28"/>
      <c r="W78" s="56">
        <v>86</v>
      </c>
      <c r="X78" s="83">
        <v>6</v>
      </c>
      <c r="Y78" s="15">
        <v>33.93</v>
      </c>
      <c r="Z78" s="57">
        <v>6072</v>
      </c>
      <c r="AA78" s="16">
        <v>2.1230843464487639E-2</v>
      </c>
      <c r="AB78" s="17">
        <v>191993</v>
      </c>
      <c r="AC78" s="16">
        <v>0.67130654302987069</v>
      </c>
      <c r="AD78"/>
      <c r="AE78" s="92">
        <v>30</v>
      </c>
      <c r="AF78" s="144">
        <v>55</v>
      </c>
      <c r="AG78" s="146">
        <v>4</v>
      </c>
      <c r="AH78" s="148">
        <v>68.41</v>
      </c>
      <c r="AI78" s="150">
        <v>751</v>
      </c>
      <c r="AJ78" s="157">
        <v>3.9257710402509145E-2</v>
      </c>
      <c r="AK78" s="159">
        <v>6418</v>
      </c>
      <c r="AL78" s="157">
        <v>0.3354939884997386</v>
      </c>
      <c r="AM78"/>
      <c r="AN78" s="92">
        <v>30</v>
      </c>
      <c r="AO78" s="144">
        <v>56</v>
      </c>
      <c r="AP78" s="146">
        <v>4</v>
      </c>
      <c r="AQ78" s="148">
        <v>72.25</v>
      </c>
      <c r="AR78" s="150">
        <v>522</v>
      </c>
      <c r="AS78" s="157">
        <v>3.6539269214615706E-2</v>
      </c>
      <c r="AT78" s="159">
        <v>4225</v>
      </c>
      <c r="AU78" s="157">
        <v>0.29574408511829764</v>
      </c>
      <c r="AV78"/>
      <c r="AW78" s="92">
        <v>30</v>
      </c>
      <c r="AX78" s="93">
        <v>58</v>
      </c>
      <c r="AY78" s="98">
        <v>3</v>
      </c>
      <c r="AZ78" s="94">
        <v>77.84</v>
      </c>
      <c r="BA78" s="95">
        <v>173</v>
      </c>
      <c r="BB78" s="96">
        <v>1.4719646047817579E-2</v>
      </c>
      <c r="BC78" s="97">
        <v>2691</v>
      </c>
      <c r="BD78" s="96">
        <v>0.22896281800391388</v>
      </c>
      <c r="BE78"/>
      <c r="BF78" s="92">
        <v>30</v>
      </c>
      <c r="BG78" s="93">
        <v>63</v>
      </c>
      <c r="BH78" s="98">
        <v>3</v>
      </c>
      <c r="BI78" s="94">
        <v>87.34</v>
      </c>
      <c r="BJ78" s="95">
        <v>26</v>
      </c>
      <c r="BK78" s="96">
        <v>6.8583487206541806E-3</v>
      </c>
      <c r="BL78" s="97">
        <v>493</v>
      </c>
      <c r="BM78" s="96">
        <v>0.13004484304932734</v>
      </c>
      <c r="BN78"/>
      <c r="BO78" s="92">
        <v>30</v>
      </c>
      <c r="BP78" s="145"/>
      <c r="BQ78" s="147"/>
      <c r="BR78" s="149"/>
      <c r="BS78" s="151"/>
      <c r="BT78" s="158"/>
      <c r="BU78" s="160"/>
      <c r="BV78" s="158"/>
      <c r="BW78"/>
      <c r="BX78" s="99">
        <v>30</v>
      </c>
      <c r="BY78" s="100">
        <v>52</v>
      </c>
      <c r="BZ78" s="101">
        <v>4</v>
      </c>
      <c r="CA78" s="102">
        <v>60.1</v>
      </c>
      <c r="CB78" s="103">
        <v>88</v>
      </c>
      <c r="CC78" s="104">
        <v>1.5161957270847692E-2</v>
      </c>
      <c r="CD78" s="105">
        <v>2360</v>
      </c>
      <c r="CE78" s="104">
        <v>0.4066161268090972</v>
      </c>
      <c r="CF78"/>
      <c r="CG78" s="92">
        <v>30</v>
      </c>
      <c r="CH78" s="93">
        <v>66</v>
      </c>
      <c r="CI78" s="98">
        <v>2</v>
      </c>
      <c r="CJ78" s="94">
        <v>91.49</v>
      </c>
      <c r="CK78" s="95">
        <v>20</v>
      </c>
      <c r="CL78" s="96">
        <v>3.8073481819912432E-3</v>
      </c>
      <c r="CM78" s="97">
        <v>457</v>
      </c>
      <c r="CN78" s="96">
        <v>8.6997905958499905E-2</v>
      </c>
      <c r="CO78"/>
      <c r="CP78"/>
      <c r="CQ78"/>
      <c r="CR78"/>
      <c r="CS78"/>
      <c r="CT78"/>
      <c r="CU78"/>
      <c r="CV78"/>
      <c r="CW78"/>
      <c r="CX78"/>
      <c r="CY78"/>
    </row>
    <row r="79" spans="1:103" ht="16" customHeight="1" x14ac:dyDescent="0.2">
      <c r="A79"/>
      <c r="B79"/>
      <c r="C79"/>
      <c r="D79"/>
      <c r="E79"/>
      <c r="F79" s="86">
        <v>33</v>
      </c>
      <c r="G79" s="85">
        <v>3</v>
      </c>
      <c r="H79" s="36"/>
      <c r="I79" s="86">
        <v>20</v>
      </c>
      <c r="J79" s="85">
        <v>3</v>
      </c>
      <c r="K79" s="70"/>
      <c r="L79"/>
      <c r="M79"/>
      <c r="N79"/>
      <c r="O79" s="56">
        <v>59</v>
      </c>
      <c r="P79" s="83">
        <v>9</v>
      </c>
      <c r="Q79" s="15">
        <v>1.21</v>
      </c>
      <c r="R79" s="57">
        <v>666</v>
      </c>
      <c r="S79" s="16">
        <v>2.3209618400418189E-3</v>
      </c>
      <c r="T79" s="17">
        <v>283806</v>
      </c>
      <c r="U79" s="16">
        <v>0.98904338734971253</v>
      </c>
      <c r="V79" s="28"/>
      <c r="W79" s="56">
        <v>85</v>
      </c>
      <c r="X79" s="83">
        <v>6</v>
      </c>
      <c r="Y79" s="15">
        <v>31.86</v>
      </c>
      <c r="Z79" s="57">
        <v>5767</v>
      </c>
      <c r="AA79" s="16">
        <v>2.0164406169252341E-2</v>
      </c>
      <c r="AB79" s="17">
        <v>197760</v>
      </c>
      <c r="AC79" s="16">
        <v>0.69147094919912311</v>
      </c>
      <c r="AD79"/>
      <c r="AE79" s="92">
        <v>29</v>
      </c>
      <c r="AF79" s="145"/>
      <c r="AG79" s="147"/>
      <c r="AH79" s="149"/>
      <c r="AI79" s="151"/>
      <c r="AJ79" s="158"/>
      <c r="AK79" s="160"/>
      <c r="AL79" s="158"/>
      <c r="AM79"/>
      <c r="AN79" s="92">
        <v>29</v>
      </c>
      <c r="AO79" s="145"/>
      <c r="AP79" s="147"/>
      <c r="AQ79" s="149"/>
      <c r="AR79" s="151"/>
      <c r="AS79" s="158"/>
      <c r="AT79" s="160"/>
      <c r="AU79" s="158"/>
      <c r="AV79"/>
      <c r="AW79" s="99">
        <v>29</v>
      </c>
      <c r="AX79" s="100">
        <v>57</v>
      </c>
      <c r="AY79" s="101">
        <v>3</v>
      </c>
      <c r="AZ79" s="102">
        <v>76.239999999999995</v>
      </c>
      <c r="BA79" s="103">
        <v>203</v>
      </c>
      <c r="BB79" s="104">
        <v>1.7272185824895772E-2</v>
      </c>
      <c r="BC79" s="105">
        <v>2894</v>
      </c>
      <c r="BD79" s="104">
        <v>0.24623500382880967</v>
      </c>
      <c r="BE79"/>
      <c r="BF79" s="92">
        <v>29</v>
      </c>
      <c r="BG79" s="93">
        <v>62</v>
      </c>
      <c r="BH79" s="98">
        <v>3</v>
      </c>
      <c r="BI79" s="94">
        <v>86.49</v>
      </c>
      <c r="BJ79" s="95">
        <v>38</v>
      </c>
      <c r="BK79" s="96">
        <v>1.0023740437879188E-2</v>
      </c>
      <c r="BL79" s="97">
        <v>531</v>
      </c>
      <c r="BM79" s="96">
        <v>0.14006858348720655</v>
      </c>
      <c r="BN79"/>
      <c r="BO79" s="92">
        <v>29</v>
      </c>
      <c r="BP79" s="93">
        <v>62</v>
      </c>
      <c r="BQ79" s="98">
        <v>3</v>
      </c>
      <c r="BR79" s="94">
        <v>86.2</v>
      </c>
      <c r="BS79" s="95">
        <v>20</v>
      </c>
      <c r="BT79" s="96">
        <v>4.7103155911446069E-3</v>
      </c>
      <c r="BU79" s="97">
        <v>596</v>
      </c>
      <c r="BV79" s="96">
        <v>0.14036740461610928</v>
      </c>
      <c r="BW79"/>
      <c r="BX79" s="92">
        <v>29</v>
      </c>
      <c r="BY79" s="93">
        <v>51</v>
      </c>
      <c r="BZ79" s="98">
        <v>5</v>
      </c>
      <c r="CA79" s="94">
        <v>58.08</v>
      </c>
      <c r="CB79" s="95">
        <v>146</v>
      </c>
      <c r="CC79" s="96">
        <v>2.5155065472088216E-2</v>
      </c>
      <c r="CD79" s="97">
        <v>2506</v>
      </c>
      <c r="CE79" s="96">
        <v>0.43177119228118538</v>
      </c>
      <c r="CF79"/>
      <c r="CG79" s="92">
        <v>29</v>
      </c>
      <c r="CH79" s="93">
        <v>65</v>
      </c>
      <c r="CI79" s="98">
        <v>2</v>
      </c>
      <c r="CJ79" s="94">
        <v>91.1</v>
      </c>
      <c r="CK79" s="95">
        <v>21</v>
      </c>
      <c r="CL79" s="96">
        <v>3.9977155910908054E-3</v>
      </c>
      <c r="CM79" s="97">
        <v>478</v>
      </c>
      <c r="CN79" s="96">
        <v>9.0995621549590705E-2</v>
      </c>
      <c r="CO79"/>
      <c r="CP79"/>
      <c r="CQ79"/>
      <c r="CR79"/>
      <c r="CS79"/>
      <c r="CT79"/>
      <c r="CU79"/>
      <c r="CV79"/>
      <c r="CW79"/>
      <c r="CX79"/>
      <c r="CY79"/>
    </row>
    <row r="80" spans="1:103" ht="16" customHeight="1" x14ac:dyDescent="0.2">
      <c r="A80"/>
      <c r="B80"/>
      <c r="C80"/>
      <c r="D80"/>
      <c r="E80"/>
      <c r="F80" s="86">
        <v>26</v>
      </c>
      <c r="G80" s="85">
        <v>4</v>
      </c>
      <c r="H80" s="36"/>
      <c r="I80" s="86">
        <v>14</v>
      </c>
      <c r="J80" s="85">
        <v>4</v>
      </c>
      <c r="K80" s="70"/>
      <c r="L80"/>
      <c r="M80"/>
      <c r="N80"/>
      <c r="O80" s="56">
        <v>58</v>
      </c>
      <c r="P80" s="83">
        <v>9</v>
      </c>
      <c r="Q80" s="15">
        <v>0.99</v>
      </c>
      <c r="R80" s="57">
        <v>588</v>
      </c>
      <c r="S80" s="16">
        <v>2.0491374803972818E-3</v>
      </c>
      <c r="T80" s="17">
        <v>284394</v>
      </c>
      <c r="U80" s="16">
        <v>0.99109252483010979</v>
      </c>
      <c r="V80" s="28"/>
      <c r="W80" s="56">
        <v>84</v>
      </c>
      <c r="X80" s="83">
        <v>6</v>
      </c>
      <c r="Y80" s="15">
        <v>29.65</v>
      </c>
      <c r="Z80" s="57">
        <v>6889</v>
      </c>
      <c r="AA80" s="16">
        <v>2.4087496809429402E-2</v>
      </c>
      <c r="AB80" s="17">
        <v>204649</v>
      </c>
      <c r="AC80" s="16">
        <v>0.71555844600855245</v>
      </c>
      <c r="AD80"/>
      <c r="AE80" s="92">
        <v>28</v>
      </c>
      <c r="AF80" s="93">
        <v>54</v>
      </c>
      <c r="AG80" s="98">
        <v>4</v>
      </c>
      <c r="AH80" s="94">
        <v>65.38</v>
      </c>
      <c r="AI80" s="95">
        <v>408</v>
      </c>
      <c r="AJ80" s="96">
        <v>2.1327757449032932E-2</v>
      </c>
      <c r="AK80" s="97">
        <v>6826</v>
      </c>
      <c r="AL80" s="96">
        <v>0.35682174594877158</v>
      </c>
      <c r="AM80"/>
      <c r="AN80" s="92">
        <v>28</v>
      </c>
      <c r="AO80" s="93">
        <v>55</v>
      </c>
      <c r="AP80" s="98">
        <v>4</v>
      </c>
      <c r="AQ80" s="94">
        <v>69.56</v>
      </c>
      <c r="AR80" s="95">
        <v>246</v>
      </c>
      <c r="AS80" s="96">
        <v>1.7219655606887863E-2</v>
      </c>
      <c r="AT80" s="97">
        <v>4471</v>
      </c>
      <c r="AU80" s="96">
        <v>0.31296374072518551</v>
      </c>
      <c r="AV80"/>
      <c r="AW80" s="92">
        <v>28</v>
      </c>
      <c r="AX80" s="93">
        <v>56</v>
      </c>
      <c r="AY80" s="98">
        <v>4</v>
      </c>
      <c r="AZ80" s="94">
        <v>74.510000000000005</v>
      </c>
      <c r="BA80" s="95">
        <v>203</v>
      </c>
      <c r="BB80" s="96">
        <v>1.7272185824895772E-2</v>
      </c>
      <c r="BC80" s="97">
        <v>3097</v>
      </c>
      <c r="BD80" s="96">
        <v>0.26350718965370545</v>
      </c>
      <c r="BE80"/>
      <c r="BF80" s="92">
        <v>28</v>
      </c>
      <c r="BG80" s="93">
        <v>61</v>
      </c>
      <c r="BH80" s="98">
        <v>3</v>
      </c>
      <c r="BI80" s="94">
        <v>85.54</v>
      </c>
      <c r="BJ80" s="95">
        <v>34</v>
      </c>
      <c r="BK80" s="96">
        <v>8.9686098654708519E-3</v>
      </c>
      <c r="BL80" s="97">
        <v>565</v>
      </c>
      <c r="BM80" s="96">
        <v>0.1490371933526774</v>
      </c>
      <c r="BN80"/>
      <c r="BO80" s="92">
        <v>28</v>
      </c>
      <c r="BP80" s="93">
        <v>61</v>
      </c>
      <c r="BQ80" s="98">
        <v>3</v>
      </c>
      <c r="BR80" s="94">
        <v>85.56</v>
      </c>
      <c r="BS80" s="95">
        <v>34</v>
      </c>
      <c r="BT80" s="96">
        <v>8.0075365049458308E-3</v>
      </c>
      <c r="BU80" s="97">
        <v>630</v>
      </c>
      <c r="BV80" s="96">
        <v>0.14837494112105512</v>
      </c>
      <c r="BW80"/>
      <c r="BX80" s="92">
        <v>28</v>
      </c>
      <c r="BY80" s="93">
        <v>50</v>
      </c>
      <c r="BZ80" s="98">
        <v>5</v>
      </c>
      <c r="CA80" s="94">
        <v>55.94</v>
      </c>
      <c r="CB80" s="95">
        <v>102</v>
      </c>
      <c r="CC80" s="96">
        <v>1.7574086836664369E-2</v>
      </c>
      <c r="CD80" s="97">
        <v>2608</v>
      </c>
      <c r="CE80" s="96">
        <v>0.44934527911784977</v>
      </c>
      <c r="CF80"/>
      <c r="CG80" s="92">
        <v>28</v>
      </c>
      <c r="CH80" s="93">
        <v>64</v>
      </c>
      <c r="CI80" s="98">
        <v>2</v>
      </c>
      <c r="CJ80" s="94">
        <v>90.67</v>
      </c>
      <c r="CK80" s="95">
        <v>24</v>
      </c>
      <c r="CL80" s="96">
        <v>4.5688178183894918E-3</v>
      </c>
      <c r="CM80" s="97">
        <v>502</v>
      </c>
      <c r="CN80" s="96">
        <v>9.5564439367980203E-2</v>
      </c>
      <c r="CO80"/>
      <c r="CP80"/>
      <c r="CQ80"/>
      <c r="CR80"/>
      <c r="CS80"/>
      <c r="CT80"/>
      <c r="CU80"/>
      <c r="CV80"/>
      <c r="CW80"/>
      <c r="CX80"/>
      <c r="CY80"/>
    </row>
    <row r="81" spans="1:103" ht="16" customHeight="1" x14ac:dyDescent="0.2">
      <c r="A81"/>
      <c r="B81"/>
      <c r="C81"/>
      <c r="D81"/>
      <c r="E81"/>
      <c r="F81" s="86">
        <v>20</v>
      </c>
      <c r="G81" s="85">
        <v>5</v>
      </c>
      <c r="H81" s="36"/>
      <c r="I81" s="86">
        <v>12</v>
      </c>
      <c r="J81" s="85">
        <v>5</v>
      </c>
      <c r="K81" s="70"/>
      <c r="L81"/>
      <c r="M81"/>
      <c r="N81"/>
      <c r="O81" s="56">
        <v>57</v>
      </c>
      <c r="P81" s="83">
        <v>9</v>
      </c>
      <c r="Q81" s="15">
        <v>0.83</v>
      </c>
      <c r="R81" s="57">
        <v>352</v>
      </c>
      <c r="S81" s="16">
        <v>1.2266945460881686E-3</v>
      </c>
      <c r="T81" s="17">
        <v>284746</v>
      </c>
      <c r="U81" s="16">
        <v>0.99231921937619794</v>
      </c>
      <c r="V81" s="28"/>
      <c r="W81" s="56">
        <v>83</v>
      </c>
      <c r="X81" s="83">
        <v>6</v>
      </c>
      <c r="Y81" s="15">
        <v>27.14</v>
      </c>
      <c r="Z81" s="57">
        <v>7480</v>
      </c>
      <c r="AA81" s="16">
        <v>2.6153937601180424E-2</v>
      </c>
      <c r="AB81" s="17">
        <v>212129</v>
      </c>
      <c r="AC81" s="16">
        <v>0.74171238360973291</v>
      </c>
      <c r="AD81"/>
      <c r="AE81" s="92">
        <v>27</v>
      </c>
      <c r="AF81" s="93">
        <v>53</v>
      </c>
      <c r="AG81" s="98">
        <v>4</v>
      </c>
      <c r="AH81" s="94">
        <v>63.31</v>
      </c>
      <c r="AI81" s="95">
        <v>385</v>
      </c>
      <c r="AJ81" s="96">
        <v>2.0125457396759017E-2</v>
      </c>
      <c r="AK81" s="97">
        <v>7211</v>
      </c>
      <c r="AL81" s="96">
        <v>0.37694720334553056</v>
      </c>
      <c r="AM81"/>
      <c r="AN81" s="92">
        <v>27</v>
      </c>
      <c r="AO81" s="93">
        <v>54</v>
      </c>
      <c r="AP81" s="98">
        <v>4</v>
      </c>
      <c r="AQ81" s="94">
        <v>67.849999999999994</v>
      </c>
      <c r="AR81" s="95">
        <v>245</v>
      </c>
      <c r="AS81" s="96">
        <v>1.7149657006859862E-2</v>
      </c>
      <c r="AT81" s="97">
        <v>4716</v>
      </c>
      <c r="AU81" s="96">
        <v>0.33011339773204534</v>
      </c>
      <c r="AV81"/>
      <c r="AW81" s="92">
        <v>27</v>
      </c>
      <c r="AX81" s="93">
        <v>55</v>
      </c>
      <c r="AY81" s="98">
        <v>4</v>
      </c>
      <c r="AZ81" s="94">
        <v>72.739999999999995</v>
      </c>
      <c r="BA81" s="95">
        <v>213</v>
      </c>
      <c r="BB81" s="96">
        <v>1.8123032417255169E-2</v>
      </c>
      <c r="BC81" s="97">
        <v>3310</v>
      </c>
      <c r="BD81" s="96">
        <v>0.28163022207096061</v>
      </c>
      <c r="BE81"/>
      <c r="BF81" s="92">
        <v>27</v>
      </c>
      <c r="BG81" s="93">
        <v>60</v>
      </c>
      <c r="BH81" s="98">
        <v>3</v>
      </c>
      <c r="BI81" s="94">
        <v>84.69</v>
      </c>
      <c r="BJ81" s="95">
        <v>31</v>
      </c>
      <c r="BK81" s="96">
        <v>8.1772619361646006E-3</v>
      </c>
      <c r="BL81" s="97">
        <v>596</v>
      </c>
      <c r="BM81" s="96">
        <v>0.15721445528884198</v>
      </c>
      <c r="BN81"/>
      <c r="BO81" s="92">
        <v>27</v>
      </c>
      <c r="BP81" s="93">
        <v>60</v>
      </c>
      <c r="BQ81" s="98">
        <v>3</v>
      </c>
      <c r="BR81" s="94">
        <v>84.92</v>
      </c>
      <c r="BS81" s="95">
        <v>21</v>
      </c>
      <c r="BT81" s="96">
        <v>4.9458313707018368E-3</v>
      </c>
      <c r="BU81" s="97">
        <v>651</v>
      </c>
      <c r="BV81" s="96">
        <v>0.15332077249175693</v>
      </c>
      <c r="BW81"/>
      <c r="BX81" s="92">
        <v>27</v>
      </c>
      <c r="BY81" s="144">
        <v>49</v>
      </c>
      <c r="BZ81" s="146">
        <v>5</v>
      </c>
      <c r="CA81" s="148">
        <v>52.87</v>
      </c>
      <c r="CB81" s="150">
        <v>255</v>
      </c>
      <c r="CC81" s="157">
        <v>4.3935217091660921E-2</v>
      </c>
      <c r="CD81" s="159">
        <v>2863</v>
      </c>
      <c r="CE81" s="157">
        <v>0.4932804962095107</v>
      </c>
      <c r="CF81"/>
      <c r="CG81" s="92">
        <v>27</v>
      </c>
      <c r="CH81" s="93">
        <v>63</v>
      </c>
      <c r="CI81" s="98">
        <v>2</v>
      </c>
      <c r="CJ81" s="94">
        <v>90.23</v>
      </c>
      <c r="CK81" s="95">
        <v>22</v>
      </c>
      <c r="CL81" s="96">
        <v>4.1880830001903672E-3</v>
      </c>
      <c r="CM81" s="97">
        <v>524</v>
      </c>
      <c r="CN81" s="96">
        <v>9.9752522368170574E-2</v>
      </c>
      <c r="CO81"/>
      <c r="CP81"/>
      <c r="CQ81"/>
      <c r="CR81"/>
      <c r="CS81"/>
      <c r="CT81"/>
      <c r="CU81"/>
      <c r="CV81"/>
      <c r="CW81"/>
      <c r="CX81"/>
      <c r="CY81"/>
    </row>
    <row r="82" spans="1:103" ht="16" customHeight="1" x14ac:dyDescent="0.2">
      <c r="A82"/>
      <c r="B82"/>
      <c r="C82"/>
      <c r="D82"/>
      <c r="E82"/>
      <c r="F82" s="86">
        <v>14</v>
      </c>
      <c r="G82" s="85">
        <v>6</v>
      </c>
      <c r="H82" s="36"/>
      <c r="I82" s="86">
        <v>9</v>
      </c>
      <c r="J82" s="85">
        <v>6</v>
      </c>
      <c r="K82" s="70"/>
      <c r="L82"/>
      <c r="M82"/>
      <c r="N82"/>
      <c r="O82" s="56">
        <v>56</v>
      </c>
      <c r="P82" s="83">
        <v>9</v>
      </c>
      <c r="Q82" s="15">
        <v>0.66</v>
      </c>
      <c r="R82" s="57">
        <v>595</v>
      </c>
      <c r="S82" s="16">
        <v>2.0735319742115352E-3</v>
      </c>
      <c r="T82" s="17">
        <v>285341</v>
      </c>
      <c r="U82" s="16">
        <v>0.9943927513504095</v>
      </c>
      <c r="V82" s="28"/>
      <c r="W82" s="56">
        <v>82</v>
      </c>
      <c r="X82" s="83">
        <v>6</v>
      </c>
      <c r="Y82" s="15">
        <v>24.57</v>
      </c>
      <c r="Z82" s="57">
        <v>7219</v>
      </c>
      <c r="AA82" s="16">
        <v>2.5241346997716775E-2</v>
      </c>
      <c r="AB82" s="17">
        <v>219348</v>
      </c>
      <c r="AC82" s="16">
        <v>0.76695373060744965</v>
      </c>
      <c r="AD82"/>
      <c r="AE82" s="92">
        <v>26</v>
      </c>
      <c r="AF82" s="93">
        <v>52</v>
      </c>
      <c r="AG82" s="98">
        <v>4</v>
      </c>
      <c r="AH82" s="94">
        <v>61.23</v>
      </c>
      <c r="AI82" s="95">
        <v>412</v>
      </c>
      <c r="AJ82" s="96">
        <v>2.153685311029796E-2</v>
      </c>
      <c r="AK82" s="97">
        <v>7623</v>
      </c>
      <c r="AL82" s="96">
        <v>0.39848405645582852</v>
      </c>
      <c r="AM82"/>
      <c r="AN82" s="92">
        <v>26</v>
      </c>
      <c r="AO82" s="93">
        <v>53</v>
      </c>
      <c r="AP82" s="98">
        <v>4</v>
      </c>
      <c r="AQ82" s="94">
        <v>65.930000000000007</v>
      </c>
      <c r="AR82" s="95">
        <v>302</v>
      </c>
      <c r="AS82" s="96">
        <v>2.1139577208455832E-2</v>
      </c>
      <c r="AT82" s="97">
        <v>5018</v>
      </c>
      <c r="AU82" s="96">
        <v>0.35125297494050117</v>
      </c>
      <c r="AV82"/>
      <c r="AW82" s="92">
        <v>26</v>
      </c>
      <c r="AX82" s="144">
        <v>54</v>
      </c>
      <c r="AY82" s="146">
        <v>4</v>
      </c>
      <c r="AZ82" s="148">
        <v>69.94</v>
      </c>
      <c r="BA82" s="150">
        <v>445</v>
      </c>
      <c r="BB82" s="157">
        <v>3.7862673359993194E-2</v>
      </c>
      <c r="BC82" s="159">
        <v>3755</v>
      </c>
      <c r="BD82" s="157">
        <v>0.31949289543095377</v>
      </c>
      <c r="BE82"/>
      <c r="BF82" s="92">
        <v>26</v>
      </c>
      <c r="BG82" s="93">
        <v>59</v>
      </c>
      <c r="BH82" s="98">
        <v>3</v>
      </c>
      <c r="BI82" s="94">
        <v>83.86</v>
      </c>
      <c r="BJ82" s="95">
        <v>32</v>
      </c>
      <c r="BK82" s="96">
        <v>8.4410445792666849E-3</v>
      </c>
      <c r="BL82" s="97">
        <v>628</v>
      </c>
      <c r="BM82" s="96">
        <v>0.16565549986810868</v>
      </c>
      <c r="BN82"/>
      <c r="BO82" s="92">
        <v>26</v>
      </c>
      <c r="BP82" s="93">
        <v>59</v>
      </c>
      <c r="BQ82" s="98">
        <v>3</v>
      </c>
      <c r="BR82" s="94">
        <v>84.28</v>
      </c>
      <c r="BS82" s="95">
        <v>33</v>
      </c>
      <c r="BT82" s="96">
        <v>7.7720207253886009E-3</v>
      </c>
      <c r="BU82" s="97">
        <v>684</v>
      </c>
      <c r="BV82" s="96">
        <v>0.16109279321714554</v>
      </c>
      <c r="BW82"/>
      <c r="BX82" s="92">
        <v>26</v>
      </c>
      <c r="BY82" s="145"/>
      <c r="BZ82" s="147"/>
      <c r="CA82" s="149"/>
      <c r="CB82" s="151"/>
      <c r="CC82" s="158"/>
      <c r="CD82" s="160"/>
      <c r="CE82" s="158"/>
      <c r="CF82"/>
      <c r="CG82" s="92">
        <v>26</v>
      </c>
      <c r="CH82" s="93">
        <v>62</v>
      </c>
      <c r="CI82" s="98">
        <v>2</v>
      </c>
      <c r="CJ82" s="94">
        <v>89.77</v>
      </c>
      <c r="CK82" s="95">
        <v>27</v>
      </c>
      <c r="CL82" s="96">
        <v>5.1399200456881781E-3</v>
      </c>
      <c r="CM82" s="97">
        <v>551</v>
      </c>
      <c r="CN82" s="96">
        <v>0.10489244241385874</v>
      </c>
      <c r="CO82"/>
      <c r="CP82"/>
      <c r="CQ82"/>
      <c r="CR82"/>
      <c r="CS82"/>
      <c r="CT82"/>
      <c r="CU82"/>
      <c r="CV82"/>
      <c r="CW82"/>
      <c r="CX82"/>
      <c r="CY82"/>
    </row>
    <row r="83" spans="1:103" ht="16" customHeight="1" x14ac:dyDescent="0.2">
      <c r="A83"/>
      <c r="B83"/>
      <c r="C83"/>
      <c r="D83"/>
      <c r="E83"/>
      <c r="F83" s="86">
        <v>11</v>
      </c>
      <c r="G83" s="85">
        <v>7</v>
      </c>
      <c r="H83" s="36"/>
      <c r="I83" s="86">
        <v>7</v>
      </c>
      <c r="J83" s="85">
        <v>7</v>
      </c>
      <c r="K83" s="70"/>
      <c r="L83"/>
      <c r="M83"/>
      <c r="N83"/>
      <c r="O83" s="56">
        <v>55</v>
      </c>
      <c r="P83" s="83">
        <v>9</v>
      </c>
      <c r="Q83" s="15">
        <v>0.54</v>
      </c>
      <c r="R83" s="57">
        <v>131</v>
      </c>
      <c r="S83" s="16">
        <v>4.5652552709531276E-4</v>
      </c>
      <c r="T83" s="17">
        <v>285472</v>
      </c>
      <c r="U83" s="16">
        <v>0.9948492768775048</v>
      </c>
      <c r="V83" s="28"/>
      <c r="W83" s="60">
        <v>81</v>
      </c>
      <c r="X83" s="84">
        <v>6</v>
      </c>
      <c r="Y83" s="33">
        <v>21.41</v>
      </c>
      <c r="Z83" s="61">
        <v>10827</v>
      </c>
      <c r="AA83" s="34">
        <v>3.7856775722992037E-2</v>
      </c>
      <c r="AB83" s="35">
        <v>230175</v>
      </c>
      <c r="AC83" s="34">
        <v>0.80481050633044171</v>
      </c>
      <c r="AD83"/>
      <c r="AE83" s="99">
        <v>25</v>
      </c>
      <c r="AF83" s="100">
        <v>51</v>
      </c>
      <c r="AG83" s="101">
        <v>4</v>
      </c>
      <c r="AH83" s="102">
        <v>58.94</v>
      </c>
      <c r="AI83" s="103">
        <v>464</v>
      </c>
      <c r="AJ83" s="104">
        <v>2.4255096706743334E-2</v>
      </c>
      <c r="AK83" s="105">
        <v>8087</v>
      </c>
      <c r="AL83" s="104">
        <v>0.42273915316257188</v>
      </c>
      <c r="AM83"/>
      <c r="AN83" s="92">
        <v>25</v>
      </c>
      <c r="AO83" s="144">
        <v>52</v>
      </c>
      <c r="AP83" s="146">
        <v>4</v>
      </c>
      <c r="AQ83" s="148">
        <v>62.57</v>
      </c>
      <c r="AR83" s="150">
        <v>658</v>
      </c>
      <c r="AS83" s="157">
        <v>4.6059078818423631E-2</v>
      </c>
      <c r="AT83" s="159">
        <v>5676</v>
      </c>
      <c r="AU83" s="157">
        <v>0.39731205375892481</v>
      </c>
      <c r="AV83"/>
      <c r="AW83" s="92">
        <v>25</v>
      </c>
      <c r="AX83" s="145"/>
      <c r="AY83" s="147"/>
      <c r="AZ83" s="149"/>
      <c r="BA83" s="151"/>
      <c r="BB83" s="158"/>
      <c r="BC83" s="160"/>
      <c r="BD83" s="158"/>
      <c r="BE83"/>
      <c r="BF83" s="92">
        <v>25</v>
      </c>
      <c r="BG83" s="93">
        <v>58</v>
      </c>
      <c r="BH83" s="98">
        <v>3</v>
      </c>
      <c r="BI83" s="94">
        <v>82.79</v>
      </c>
      <c r="BJ83" s="95">
        <v>49</v>
      </c>
      <c r="BK83" s="96">
        <v>1.292534951200211E-2</v>
      </c>
      <c r="BL83" s="97">
        <v>677</v>
      </c>
      <c r="BM83" s="96">
        <v>0.17858084938011079</v>
      </c>
      <c r="BN83"/>
      <c r="BO83" s="92">
        <v>25</v>
      </c>
      <c r="BP83" s="93">
        <v>58</v>
      </c>
      <c r="BQ83" s="98">
        <v>3</v>
      </c>
      <c r="BR83" s="94">
        <v>83.41</v>
      </c>
      <c r="BS83" s="95">
        <v>41</v>
      </c>
      <c r="BT83" s="96">
        <v>9.6561469618464436E-3</v>
      </c>
      <c r="BU83" s="97">
        <v>725</v>
      </c>
      <c r="BV83" s="96">
        <v>0.170748940178992</v>
      </c>
      <c r="BW83"/>
      <c r="BX83" s="92">
        <v>25</v>
      </c>
      <c r="BY83" s="93">
        <v>48</v>
      </c>
      <c r="BZ83" s="98">
        <v>5</v>
      </c>
      <c r="CA83" s="94">
        <v>49.71</v>
      </c>
      <c r="CB83" s="95">
        <v>112</v>
      </c>
      <c r="CC83" s="96">
        <v>1.9297036526533425E-2</v>
      </c>
      <c r="CD83" s="97">
        <v>2975</v>
      </c>
      <c r="CE83" s="96">
        <v>0.51257753273604412</v>
      </c>
      <c r="CF83"/>
      <c r="CG83" s="92">
        <v>25</v>
      </c>
      <c r="CH83" s="93">
        <v>61</v>
      </c>
      <c r="CI83" s="98">
        <v>2</v>
      </c>
      <c r="CJ83" s="94">
        <v>89.26</v>
      </c>
      <c r="CK83" s="95">
        <v>26</v>
      </c>
      <c r="CL83" s="96">
        <v>4.9495526365886163E-3</v>
      </c>
      <c r="CM83" s="97">
        <v>577</v>
      </c>
      <c r="CN83" s="96">
        <v>0.10984199505044737</v>
      </c>
      <c r="CO83"/>
      <c r="CP83"/>
      <c r="CQ83"/>
      <c r="CR83"/>
      <c r="CS83"/>
      <c r="CT83"/>
      <c r="CU83"/>
      <c r="CV83"/>
      <c r="CW83"/>
      <c r="CX83"/>
      <c r="CY83"/>
    </row>
    <row r="84" spans="1:103" ht="16" customHeight="1" x14ac:dyDescent="0.2">
      <c r="A84"/>
      <c r="B84"/>
      <c r="C84"/>
      <c r="D84"/>
      <c r="E84"/>
      <c r="F84" s="86">
        <v>8</v>
      </c>
      <c r="G84" s="85">
        <v>8</v>
      </c>
      <c r="H84" s="36"/>
      <c r="I84" s="86">
        <v>5</v>
      </c>
      <c r="J84" s="85">
        <v>8</v>
      </c>
      <c r="K84" s="70"/>
      <c r="L84"/>
      <c r="M84"/>
      <c r="N84"/>
      <c r="O84" s="56">
        <v>54</v>
      </c>
      <c r="P84" s="83">
        <v>9</v>
      </c>
      <c r="Q84" s="15">
        <v>0.49</v>
      </c>
      <c r="R84" s="57">
        <v>153</v>
      </c>
      <c r="S84" s="16">
        <v>5.3319393622582327E-4</v>
      </c>
      <c r="T84" s="17">
        <v>285625</v>
      </c>
      <c r="U84" s="16">
        <v>0.99538247081373066</v>
      </c>
      <c r="V84" s="28"/>
      <c r="W84" s="56">
        <v>80</v>
      </c>
      <c r="X84" s="83">
        <v>7</v>
      </c>
      <c r="Y84" s="15">
        <v>17</v>
      </c>
      <c r="Z84" s="57">
        <v>14432</v>
      </c>
      <c r="AA84" s="16">
        <v>5.0461714901101053E-2</v>
      </c>
      <c r="AB84" s="17">
        <v>244607</v>
      </c>
      <c r="AC84" s="16">
        <v>0.85527222123154278</v>
      </c>
      <c r="AD84"/>
      <c r="AE84" s="92">
        <v>24</v>
      </c>
      <c r="AF84" s="144">
        <v>50</v>
      </c>
      <c r="AG84" s="146">
        <v>5</v>
      </c>
      <c r="AH84" s="148">
        <v>55.33</v>
      </c>
      <c r="AI84" s="150">
        <v>917</v>
      </c>
      <c r="AJ84" s="157">
        <v>4.7935180345007843E-2</v>
      </c>
      <c r="AK84" s="159">
        <v>9004</v>
      </c>
      <c r="AL84" s="157">
        <v>0.4706743335075797</v>
      </c>
      <c r="AM84"/>
      <c r="AN84" s="92">
        <v>24</v>
      </c>
      <c r="AO84" s="145"/>
      <c r="AP84" s="147"/>
      <c r="AQ84" s="149"/>
      <c r="AR84" s="151"/>
      <c r="AS84" s="158"/>
      <c r="AT84" s="160"/>
      <c r="AU84" s="158"/>
      <c r="AV84"/>
      <c r="AW84" s="92">
        <v>24</v>
      </c>
      <c r="AX84" s="93">
        <v>53</v>
      </c>
      <c r="AY84" s="98">
        <v>4</v>
      </c>
      <c r="AZ84" s="94">
        <v>67</v>
      </c>
      <c r="BA84" s="95">
        <v>248</v>
      </c>
      <c r="BB84" s="96">
        <v>2.1100995490513062E-2</v>
      </c>
      <c r="BC84" s="97">
        <v>4003</v>
      </c>
      <c r="BD84" s="96">
        <v>0.34059389092146686</v>
      </c>
      <c r="BE84"/>
      <c r="BF84" s="92">
        <v>24</v>
      </c>
      <c r="BG84" s="93">
        <v>57</v>
      </c>
      <c r="BH84" s="98">
        <v>3</v>
      </c>
      <c r="BI84" s="94">
        <v>81.36</v>
      </c>
      <c r="BJ84" s="95">
        <v>59</v>
      </c>
      <c r="BK84" s="96">
        <v>1.556317594302295E-2</v>
      </c>
      <c r="BL84" s="97">
        <v>736</v>
      </c>
      <c r="BM84" s="96">
        <v>0.19414402532313374</v>
      </c>
      <c r="BN84"/>
      <c r="BO84" s="92">
        <v>24</v>
      </c>
      <c r="BP84" s="93">
        <v>57</v>
      </c>
      <c r="BQ84" s="98">
        <v>3</v>
      </c>
      <c r="BR84" s="94">
        <v>82.45</v>
      </c>
      <c r="BS84" s="95">
        <v>40</v>
      </c>
      <c r="BT84" s="96">
        <v>9.4206311822892137E-3</v>
      </c>
      <c r="BU84" s="97">
        <v>765</v>
      </c>
      <c r="BV84" s="96">
        <v>0.1801695713612812</v>
      </c>
      <c r="BW84"/>
      <c r="BX84" s="92">
        <v>24</v>
      </c>
      <c r="BY84" s="93">
        <v>47</v>
      </c>
      <c r="BZ84" s="98">
        <v>5</v>
      </c>
      <c r="CA84" s="94">
        <v>47.49</v>
      </c>
      <c r="CB84" s="95">
        <v>145</v>
      </c>
      <c r="CC84" s="96">
        <v>2.4982770503101309E-2</v>
      </c>
      <c r="CD84" s="97">
        <v>3120</v>
      </c>
      <c r="CE84" s="96">
        <v>0.53756030323914539</v>
      </c>
      <c r="CF84"/>
      <c r="CG84" s="99">
        <v>24</v>
      </c>
      <c r="CH84" s="100">
        <v>60</v>
      </c>
      <c r="CI84" s="101">
        <v>2</v>
      </c>
      <c r="CJ84" s="102">
        <v>88.54</v>
      </c>
      <c r="CK84" s="103">
        <v>50</v>
      </c>
      <c r="CL84" s="104">
        <v>9.5183704549781072E-3</v>
      </c>
      <c r="CM84" s="105">
        <v>627</v>
      </c>
      <c r="CN84" s="104">
        <v>0.11936036550542548</v>
      </c>
      <c r="CO84"/>
      <c r="CP84"/>
      <c r="CQ84"/>
      <c r="CR84"/>
      <c r="CS84"/>
      <c r="CT84"/>
      <c r="CU84"/>
      <c r="CV84"/>
      <c r="CW84"/>
      <c r="CX84"/>
      <c r="CY84"/>
    </row>
    <row r="85" spans="1:103" ht="16" customHeight="1" x14ac:dyDescent="0.2">
      <c r="A85"/>
      <c r="B85"/>
      <c r="C85"/>
      <c r="D85"/>
      <c r="E85"/>
      <c r="F85" s="86">
        <v>0</v>
      </c>
      <c r="G85" s="85">
        <v>9</v>
      </c>
      <c r="H85" s="36"/>
      <c r="I85" s="86">
        <v>0</v>
      </c>
      <c r="J85" s="85">
        <v>9</v>
      </c>
      <c r="K85" s="70"/>
      <c r="L85"/>
      <c r="M85"/>
      <c r="N85"/>
      <c r="O85" s="56">
        <v>53</v>
      </c>
      <c r="P85" s="83">
        <v>9</v>
      </c>
      <c r="Q85" s="15">
        <v>0.45</v>
      </c>
      <c r="R85" s="57">
        <v>74</v>
      </c>
      <c r="S85" s="16">
        <v>2.5788464889353547E-4</v>
      </c>
      <c r="T85" s="17">
        <v>285699</v>
      </c>
      <c r="U85" s="16">
        <v>0.99564035546262419</v>
      </c>
      <c r="V85" s="28"/>
      <c r="W85" s="60">
        <v>79</v>
      </c>
      <c r="X85" s="84">
        <v>7</v>
      </c>
      <c r="Y85" s="33">
        <v>12.56</v>
      </c>
      <c r="Z85" s="61">
        <v>10962</v>
      </c>
      <c r="AA85" s="34">
        <v>3.8328805345473234E-2</v>
      </c>
      <c r="AB85" s="35">
        <v>255569</v>
      </c>
      <c r="AC85" s="34">
        <v>0.89360102657701601</v>
      </c>
      <c r="AD85"/>
      <c r="AE85" s="92">
        <v>23</v>
      </c>
      <c r="AF85" s="145"/>
      <c r="AG85" s="147"/>
      <c r="AH85" s="149"/>
      <c r="AI85" s="151"/>
      <c r="AJ85" s="158"/>
      <c r="AK85" s="160"/>
      <c r="AL85" s="158"/>
      <c r="AM85"/>
      <c r="AN85" s="99">
        <v>23</v>
      </c>
      <c r="AO85" s="100">
        <v>51</v>
      </c>
      <c r="AP85" s="101">
        <v>4</v>
      </c>
      <c r="AQ85" s="102">
        <v>59.06</v>
      </c>
      <c r="AR85" s="103">
        <v>344</v>
      </c>
      <c r="AS85" s="104">
        <v>2.4079518409631809E-2</v>
      </c>
      <c r="AT85" s="105">
        <v>6020</v>
      </c>
      <c r="AU85" s="104">
        <v>0.42139157216855661</v>
      </c>
      <c r="AV85"/>
      <c r="AW85" s="92">
        <v>23</v>
      </c>
      <c r="AX85" s="93">
        <v>52</v>
      </c>
      <c r="AY85" s="98">
        <v>4</v>
      </c>
      <c r="AZ85" s="94">
        <v>64.849999999999994</v>
      </c>
      <c r="BA85" s="95">
        <v>257</v>
      </c>
      <c r="BB85" s="96">
        <v>2.1866757423636519E-2</v>
      </c>
      <c r="BC85" s="97">
        <v>4260</v>
      </c>
      <c r="BD85" s="96">
        <v>0.36246064834510339</v>
      </c>
      <c r="BE85"/>
      <c r="BF85" s="92">
        <v>23</v>
      </c>
      <c r="BG85" s="93">
        <v>56</v>
      </c>
      <c r="BH85" s="98">
        <v>3</v>
      </c>
      <c r="BI85" s="94">
        <v>79.66</v>
      </c>
      <c r="BJ85" s="95">
        <v>70</v>
      </c>
      <c r="BK85" s="96">
        <v>1.8464785017145872E-2</v>
      </c>
      <c r="BL85" s="97">
        <v>806</v>
      </c>
      <c r="BM85" s="96">
        <v>0.21260881034027962</v>
      </c>
      <c r="BN85"/>
      <c r="BO85" s="92">
        <v>23</v>
      </c>
      <c r="BP85" s="93">
        <v>56</v>
      </c>
      <c r="BQ85" s="98">
        <v>3</v>
      </c>
      <c r="BR85" s="94">
        <v>81.36</v>
      </c>
      <c r="BS85" s="95">
        <v>53</v>
      </c>
      <c r="BT85" s="96">
        <v>1.2482336316533208E-2</v>
      </c>
      <c r="BU85" s="97">
        <v>818</v>
      </c>
      <c r="BV85" s="96">
        <v>0.19265190767781443</v>
      </c>
      <c r="BW85"/>
      <c r="BX85" s="92">
        <v>23</v>
      </c>
      <c r="BY85" s="93">
        <v>46</v>
      </c>
      <c r="BZ85" s="98">
        <v>5</v>
      </c>
      <c r="CA85" s="94">
        <v>45.19</v>
      </c>
      <c r="CB85" s="95">
        <v>122</v>
      </c>
      <c r="CC85" s="96">
        <v>2.101998621640248E-2</v>
      </c>
      <c r="CD85" s="97">
        <v>3242</v>
      </c>
      <c r="CE85" s="96">
        <v>0.55858028945554794</v>
      </c>
      <c r="CF85"/>
      <c r="CG85" s="92">
        <v>23</v>
      </c>
      <c r="CH85" s="93">
        <v>59</v>
      </c>
      <c r="CI85" s="98">
        <v>3</v>
      </c>
      <c r="CJ85" s="94">
        <v>87.66</v>
      </c>
      <c r="CK85" s="95">
        <v>42</v>
      </c>
      <c r="CL85" s="96">
        <v>7.9954311821816108E-3</v>
      </c>
      <c r="CM85" s="97">
        <v>669</v>
      </c>
      <c r="CN85" s="96">
        <v>0.12735579668760708</v>
      </c>
      <c r="CO85"/>
      <c r="CP85"/>
      <c r="CQ85"/>
      <c r="CR85"/>
      <c r="CS85"/>
      <c r="CT85"/>
      <c r="CU85"/>
      <c r="CV85"/>
      <c r="CW85"/>
      <c r="CX85"/>
      <c r="CY85"/>
    </row>
    <row r="86" spans="1:103" ht="16" customHeight="1" x14ac:dyDescent="0.2">
      <c r="A86"/>
      <c r="B86"/>
      <c r="C86"/>
      <c r="D86"/>
      <c r="E86"/>
      <c r="F86" s="1"/>
      <c r="G86" s="1"/>
      <c r="H86" s="1"/>
      <c r="I86" s="1"/>
      <c r="J86" s="1"/>
      <c r="K86" s="1"/>
      <c r="L86"/>
      <c r="M86"/>
      <c r="N86"/>
      <c r="O86" s="56">
        <v>52</v>
      </c>
      <c r="P86" s="83">
        <v>9</v>
      </c>
      <c r="Q86" s="15">
        <v>0.43</v>
      </c>
      <c r="R86" s="57">
        <v>54</v>
      </c>
      <c r="S86" s="16">
        <v>1.8818609513852587E-4</v>
      </c>
      <c r="T86" s="17">
        <v>285753</v>
      </c>
      <c r="U86" s="16">
        <v>0.99582854155776268</v>
      </c>
      <c r="V86" s="28"/>
      <c r="W86" s="56">
        <v>78</v>
      </c>
      <c r="X86" s="83">
        <v>8</v>
      </c>
      <c r="Y86" s="15">
        <v>9.7200000000000006</v>
      </c>
      <c r="Z86" s="57">
        <v>5249</v>
      </c>
      <c r="AA86" s="16">
        <v>1.8353211025213374E-2</v>
      </c>
      <c r="AB86" s="17">
        <v>260818</v>
      </c>
      <c r="AC86" s="16">
        <v>0.91195423760222938</v>
      </c>
      <c r="AD86"/>
      <c r="AE86" s="92">
        <v>22</v>
      </c>
      <c r="AF86" s="93">
        <v>49</v>
      </c>
      <c r="AG86" s="98">
        <v>5</v>
      </c>
      <c r="AH86" s="94">
        <v>51.67</v>
      </c>
      <c r="AI86" s="95">
        <v>484</v>
      </c>
      <c r="AJ86" s="96">
        <v>2.5300575013068479E-2</v>
      </c>
      <c r="AK86" s="97">
        <v>9488</v>
      </c>
      <c r="AL86" s="96">
        <v>0.49597490852064818</v>
      </c>
      <c r="AM86"/>
      <c r="AN86" s="92">
        <v>22</v>
      </c>
      <c r="AO86" s="93">
        <v>50</v>
      </c>
      <c r="AP86" s="98">
        <v>5</v>
      </c>
      <c r="AQ86" s="94">
        <v>56.76</v>
      </c>
      <c r="AR86" s="95">
        <v>315</v>
      </c>
      <c r="AS86" s="96">
        <v>2.2049559008819823E-2</v>
      </c>
      <c r="AT86" s="97">
        <v>6335</v>
      </c>
      <c r="AU86" s="96">
        <v>0.44344113117737644</v>
      </c>
      <c r="AV86"/>
      <c r="AW86" s="92">
        <v>22</v>
      </c>
      <c r="AX86" s="93">
        <v>51</v>
      </c>
      <c r="AY86" s="98">
        <v>4</v>
      </c>
      <c r="AZ86" s="94">
        <v>62.66</v>
      </c>
      <c r="BA86" s="95">
        <v>257</v>
      </c>
      <c r="BB86" s="96">
        <v>2.1866757423636519E-2</v>
      </c>
      <c r="BC86" s="97">
        <v>4517</v>
      </c>
      <c r="BD86" s="96">
        <v>0.38432740576873992</v>
      </c>
      <c r="BE86"/>
      <c r="BF86" s="92">
        <v>22</v>
      </c>
      <c r="BG86" s="93">
        <v>55</v>
      </c>
      <c r="BH86" s="98">
        <v>3</v>
      </c>
      <c r="BI86" s="94">
        <v>77.91</v>
      </c>
      <c r="BJ86" s="95">
        <v>63</v>
      </c>
      <c r="BK86" s="96">
        <v>1.6618306515431284E-2</v>
      </c>
      <c r="BL86" s="97">
        <v>869</v>
      </c>
      <c r="BM86" s="96">
        <v>0.2292271168557109</v>
      </c>
      <c r="BN86"/>
      <c r="BO86" s="92">
        <v>22</v>
      </c>
      <c r="BP86" s="93">
        <v>55</v>
      </c>
      <c r="BQ86" s="98">
        <v>3</v>
      </c>
      <c r="BR86" s="94">
        <v>80.040000000000006</v>
      </c>
      <c r="BS86" s="95">
        <v>59</v>
      </c>
      <c r="BT86" s="96">
        <v>1.3895430993876589E-2</v>
      </c>
      <c r="BU86" s="97">
        <v>877</v>
      </c>
      <c r="BV86" s="96">
        <v>0.20654733867169101</v>
      </c>
      <c r="BW86"/>
      <c r="BX86" s="92">
        <v>22</v>
      </c>
      <c r="BY86" s="152">
        <v>45</v>
      </c>
      <c r="BZ86" s="153">
        <v>5</v>
      </c>
      <c r="CA86" s="154">
        <v>41.82</v>
      </c>
      <c r="CB86" s="155">
        <v>269</v>
      </c>
      <c r="CC86" s="161">
        <v>4.6347346657477605E-2</v>
      </c>
      <c r="CD86" s="162">
        <v>3511</v>
      </c>
      <c r="CE86" s="161">
        <v>0.60492763611302547</v>
      </c>
      <c r="CF86"/>
      <c r="CG86" s="92">
        <v>22</v>
      </c>
      <c r="CH86" s="93">
        <v>58</v>
      </c>
      <c r="CI86" s="98">
        <v>3</v>
      </c>
      <c r="CJ86" s="94">
        <v>86.76</v>
      </c>
      <c r="CK86" s="95">
        <v>53</v>
      </c>
      <c r="CL86" s="96">
        <v>1.0089472682276794E-2</v>
      </c>
      <c r="CM86" s="97">
        <v>722</v>
      </c>
      <c r="CN86" s="96">
        <v>0.13744526936988388</v>
      </c>
      <c r="CO86"/>
      <c r="CP86"/>
      <c r="CQ86"/>
      <c r="CR86"/>
      <c r="CS86"/>
      <c r="CT86"/>
      <c r="CU86"/>
      <c r="CV86"/>
      <c r="CW86"/>
      <c r="CX86"/>
      <c r="CY86"/>
    </row>
    <row r="87" spans="1:103" ht="16" customHeight="1" thickBot="1" x14ac:dyDescent="0.25">
      <c r="A87"/>
      <c r="B87"/>
      <c r="C87"/>
      <c r="D87"/>
      <c r="E87"/>
      <c r="F87" s="117" t="s">
        <v>9</v>
      </c>
      <c r="G87" s="118"/>
      <c r="H87" s="36"/>
      <c r="I87" s="117" t="s">
        <v>32</v>
      </c>
      <c r="J87" s="118"/>
      <c r="K87" s="36"/>
      <c r="L87" s="36"/>
      <c r="M87" s="36"/>
      <c r="N87"/>
      <c r="O87" s="56">
        <v>51</v>
      </c>
      <c r="P87" s="83">
        <v>9</v>
      </c>
      <c r="Q87" s="15">
        <v>0.4</v>
      </c>
      <c r="R87" s="57">
        <v>72</v>
      </c>
      <c r="S87" s="16">
        <v>2.5091479351803451E-4</v>
      </c>
      <c r="T87" s="17">
        <v>285825</v>
      </c>
      <c r="U87" s="16">
        <v>0.9960794563512807</v>
      </c>
      <c r="V87" s="28"/>
      <c r="W87" s="56">
        <v>77</v>
      </c>
      <c r="X87" s="83">
        <v>8</v>
      </c>
      <c r="Y87" s="15">
        <v>7.59</v>
      </c>
      <c r="Z87" s="57">
        <v>6930</v>
      </c>
      <c r="AA87" s="16">
        <v>2.4230853954034803E-2</v>
      </c>
      <c r="AB87" s="17">
        <v>267748</v>
      </c>
      <c r="AC87" s="16">
        <v>0.93618509155626417</v>
      </c>
      <c r="AD87"/>
      <c r="AE87" s="92">
        <v>21</v>
      </c>
      <c r="AF87" s="93">
        <v>48</v>
      </c>
      <c r="AG87" s="98">
        <v>5</v>
      </c>
      <c r="AH87" s="94">
        <v>49.26</v>
      </c>
      <c r="AI87" s="95">
        <v>436</v>
      </c>
      <c r="AJ87" s="96">
        <v>2.2791427077888133E-2</v>
      </c>
      <c r="AK87" s="97">
        <v>9924</v>
      </c>
      <c r="AL87" s="96">
        <v>0.51876633559853635</v>
      </c>
      <c r="AM87"/>
      <c r="AN87" s="92">
        <v>21</v>
      </c>
      <c r="AO87" s="93">
        <v>49</v>
      </c>
      <c r="AP87" s="98">
        <v>5</v>
      </c>
      <c r="AQ87" s="94">
        <v>54.46</v>
      </c>
      <c r="AR87" s="95">
        <v>343</v>
      </c>
      <c r="AS87" s="96">
        <v>2.4009519809603808E-2</v>
      </c>
      <c r="AT87" s="97">
        <v>6678</v>
      </c>
      <c r="AU87" s="96">
        <v>0.46745065098698024</v>
      </c>
      <c r="AV87"/>
      <c r="AW87" s="99">
        <v>21</v>
      </c>
      <c r="AX87" s="100">
        <v>50</v>
      </c>
      <c r="AY87" s="101">
        <v>4</v>
      </c>
      <c r="AZ87" s="102">
        <v>60.31</v>
      </c>
      <c r="BA87" s="103">
        <v>295</v>
      </c>
      <c r="BB87" s="104">
        <v>2.509997447460223E-2</v>
      </c>
      <c r="BC87" s="105">
        <v>4812</v>
      </c>
      <c r="BD87" s="104">
        <v>0.40942738024334213</v>
      </c>
      <c r="BE87"/>
      <c r="BF87" s="99">
        <v>21</v>
      </c>
      <c r="BG87" s="100">
        <v>54</v>
      </c>
      <c r="BH87" s="101">
        <v>3</v>
      </c>
      <c r="BI87" s="102">
        <v>76.09</v>
      </c>
      <c r="BJ87" s="103">
        <v>75</v>
      </c>
      <c r="BK87" s="104">
        <v>1.9783698232656292E-2</v>
      </c>
      <c r="BL87" s="105">
        <v>944</v>
      </c>
      <c r="BM87" s="104">
        <v>0.2490108150883672</v>
      </c>
      <c r="BN87"/>
      <c r="BO87" s="92">
        <v>21</v>
      </c>
      <c r="BP87" s="93">
        <v>54</v>
      </c>
      <c r="BQ87" s="98">
        <v>3</v>
      </c>
      <c r="BR87" s="94">
        <v>78.38</v>
      </c>
      <c r="BS87" s="95">
        <v>82</v>
      </c>
      <c r="BT87" s="96">
        <v>1.9312293923692887E-2</v>
      </c>
      <c r="BU87" s="97">
        <v>959</v>
      </c>
      <c r="BV87" s="96">
        <v>0.22585963259538389</v>
      </c>
      <c r="BW87"/>
      <c r="BX87" s="99">
        <v>21</v>
      </c>
      <c r="BY87" s="145"/>
      <c r="BZ87" s="147"/>
      <c r="CA87" s="149"/>
      <c r="CB87" s="151"/>
      <c r="CC87" s="158"/>
      <c r="CD87" s="160"/>
      <c r="CE87" s="158"/>
      <c r="CF87"/>
      <c r="CG87" s="92">
        <v>21</v>
      </c>
      <c r="CH87" s="93">
        <v>57</v>
      </c>
      <c r="CI87" s="98">
        <v>3</v>
      </c>
      <c r="CJ87" s="94">
        <v>85.72</v>
      </c>
      <c r="CK87" s="95">
        <v>56</v>
      </c>
      <c r="CL87" s="96">
        <v>1.066057490957548E-2</v>
      </c>
      <c r="CM87" s="97">
        <v>778</v>
      </c>
      <c r="CN87" s="96">
        <v>0.14810584427945936</v>
      </c>
      <c r="CO87"/>
      <c r="CP87"/>
      <c r="CQ87"/>
      <c r="CR87"/>
      <c r="CS87"/>
      <c r="CT87"/>
      <c r="CU87"/>
      <c r="CV87"/>
      <c r="CW87"/>
      <c r="CX87"/>
      <c r="CY87"/>
    </row>
    <row r="88" spans="1:103" ht="16" customHeight="1" x14ac:dyDescent="0.2">
      <c r="A88"/>
      <c r="B88"/>
      <c r="C88"/>
      <c r="D88"/>
      <c r="E88"/>
      <c r="F88" s="30" t="s">
        <v>30</v>
      </c>
      <c r="G88" s="30" t="s">
        <v>14</v>
      </c>
      <c r="H88" s="36"/>
      <c r="I88" s="30" t="s">
        <v>30</v>
      </c>
      <c r="J88" s="30" t="s">
        <v>14</v>
      </c>
      <c r="K88" s="36"/>
      <c r="L88" s="36"/>
      <c r="M88" s="36"/>
      <c r="N88"/>
      <c r="O88" s="56">
        <v>50</v>
      </c>
      <c r="P88" s="83">
        <v>9</v>
      </c>
      <c r="Q88" s="15">
        <v>0.38</v>
      </c>
      <c r="R88" s="57">
        <v>57</v>
      </c>
      <c r="S88" s="16">
        <v>1.9864087820177731E-4</v>
      </c>
      <c r="T88" s="17">
        <v>285882</v>
      </c>
      <c r="U88" s="16">
        <v>0.99627809722948246</v>
      </c>
      <c r="V88" s="28"/>
      <c r="W88" s="56">
        <v>76</v>
      </c>
      <c r="X88" s="83">
        <v>8</v>
      </c>
      <c r="Y88" s="15">
        <v>5.71</v>
      </c>
      <c r="Z88" s="57">
        <v>3834</v>
      </c>
      <c r="AA88" s="16">
        <v>1.3405641278466008E-2</v>
      </c>
      <c r="AB88" s="17">
        <v>271582</v>
      </c>
      <c r="AC88" s="16">
        <v>0.94959073283473017</v>
      </c>
      <c r="AD88"/>
      <c r="AE88" s="92">
        <v>20</v>
      </c>
      <c r="AF88" s="93">
        <v>47</v>
      </c>
      <c r="AG88" s="98">
        <v>5</v>
      </c>
      <c r="AH88" s="94">
        <v>46.83</v>
      </c>
      <c r="AI88" s="95">
        <v>495</v>
      </c>
      <c r="AJ88" s="96">
        <v>2.5875588081547309E-2</v>
      </c>
      <c r="AK88" s="97">
        <v>10419</v>
      </c>
      <c r="AL88" s="96">
        <v>0.54464192368008368</v>
      </c>
      <c r="AM88"/>
      <c r="AN88" s="92">
        <v>20</v>
      </c>
      <c r="AO88" s="93">
        <v>48</v>
      </c>
      <c r="AP88" s="98">
        <v>5</v>
      </c>
      <c r="AQ88" s="94">
        <v>51.95</v>
      </c>
      <c r="AR88" s="95">
        <v>374</v>
      </c>
      <c r="AS88" s="96">
        <v>2.6179476410471792E-2</v>
      </c>
      <c r="AT88" s="97">
        <v>7052</v>
      </c>
      <c r="AU88" s="96">
        <v>0.49363012739745205</v>
      </c>
      <c r="AV88"/>
      <c r="AW88" s="92">
        <v>20</v>
      </c>
      <c r="AX88" s="144">
        <v>49</v>
      </c>
      <c r="AY88" s="146">
        <v>5</v>
      </c>
      <c r="AZ88" s="148">
        <v>56.16</v>
      </c>
      <c r="BA88" s="150">
        <v>680</v>
      </c>
      <c r="BB88" s="157">
        <v>5.7857568280439038E-2</v>
      </c>
      <c r="BC88" s="159">
        <v>5492</v>
      </c>
      <c r="BD88" s="157">
        <v>0.46728494852378116</v>
      </c>
      <c r="BE88"/>
      <c r="BF88" s="92">
        <v>20</v>
      </c>
      <c r="BG88" s="93">
        <v>53</v>
      </c>
      <c r="BH88" s="98">
        <v>4</v>
      </c>
      <c r="BI88" s="94">
        <v>73.819999999999993</v>
      </c>
      <c r="BJ88" s="95">
        <v>97</v>
      </c>
      <c r="BK88" s="96">
        <v>2.5586916380902137E-2</v>
      </c>
      <c r="BL88" s="97">
        <v>1041</v>
      </c>
      <c r="BM88" s="96">
        <v>0.2745977314692693</v>
      </c>
      <c r="BN88"/>
      <c r="BO88" s="99">
        <v>20</v>
      </c>
      <c r="BP88" s="100">
        <v>53</v>
      </c>
      <c r="BQ88" s="101">
        <v>3</v>
      </c>
      <c r="BR88" s="102">
        <v>76.58</v>
      </c>
      <c r="BS88" s="103">
        <v>71</v>
      </c>
      <c r="BT88" s="104">
        <v>1.6721620348563355E-2</v>
      </c>
      <c r="BU88" s="105">
        <v>1030</v>
      </c>
      <c r="BV88" s="104">
        <v>0.24258125294394725</v>
      </c>
      <c r="BW88"/>
      <c r="BX88" s="92">
        <v>20</v>
      </c>
      <c r="BY88" s="93">
        <v>44</v>
      </c>
      <c r="BZ88" s="98">
        <v>6</v>
      </c>
      <c r="CA88" s="94">
        <v>38.26</v>
      </c>
      <c r="CB88" s="95">
        <v>145</v>
      </c>
      <c r="CC88" s="96">
        <v>2.4982770503101309E-2</v>
      </c>
      <c r="CD88" s="97">
        <v>3656</v>
      </c>
      <c r="CE88" s="96">
        <v>0.62991040661612685</v>
      </c>
      <c r="CF88"/>
      <c r="CG88" s="92">
        <v>20</v>
      </c>
      <c r="CH88" s="93">
        <v>56</v>
      </c>
      <c r="CI88" s="98">
        <v>3</v>
      </c>
      <c r="CJ88" s="94">
        <v>84.24</v>
      </c>
      <c r="CK88" s="95">
        <v>100</v>
      </c>
      <c r="CL88" s="96">
        <v>1.9036740909956214E-2</v>
      </c>
      <c r="CM88" s="97">
        <v>878</v>
      </c>
      <c r="CN88" s="96">
        <v>0.16714258518941558</v>
      </c>
      <c r="CO88"/>
      <c r="CP88"/>
      <c r="CQ88"/>
      <c r="CR88"/>
      <c r="CS88"/>
      <c r="CT88"/>
      <c r="CU88"/>
      <c r="CV88"/>
      <c r="CW88"/>
      <c r="CX88"/>
      <c r="CY88"/>
    </row>
    <row r="89" spans="1:103" ht="16" customHeight="1" x14ac:dyDescent="0.2">
      <c r="A89"/>
      <c r="B89"/>
      <c r="C89"/>
      <c r="D89"/>
      <c r="E89"/>
      <c r="F89" s="86">
        <v>42</v>
      </c>
      <c r="G89" s="85">
        <v>1</v>
      </c>
      <c r="H89" s="36"/>
      <c r="I89" s="86">
        <v>47</v>
      </c>
      <c r="J89" s="85">
        <v>1</v>
      </c>
      <c r="K89" s="70"/>
      <c r="L89" s="70"/>
      <c r="M89" s="70"/>
      <c r="N89"/>
      <c r="O89" s="56">
        <v>49</v>
      </c>
      <c r="P89" s="83">
        <v>9</v>
      </c>
      <c r="Q89" s="15">
        <v>0.32</v>
      </c>
      <c r="R89" s="57">
        <v>289</v>
      </c>
      <c r="S89" s="16">
        <v>1.0071441017598885E-3</v>
      </c>
      <c r="T89" s="17">
        <v>286171</v>
      </c>
      <c r="U89" s="16">
        <v>0.99728524133124241</v>
      </c>
      <c r="V89" s="28"/>
      <c r="W89" s="60">
        <v>75</v>
      </c>
      <c r="X89" s="84">
        <v>8</v>
      </c>
      <c r="Y89" s="33">
        <v>4.2300000000000004</v>
      </c>
      <c r="Z89" s="61">
        <v>4612</v>
      </c>
      <c r="AA89" s="34">
        <v>1.612593051024654E-2</v>
      </c>
      <c r="AB89" s="35">
        <v>276194</v>
      </c>
      <c r="AC89" s="34">
        <v>0.96571666334497674</v>
      </c>
      <c r="AD89"/>
      <c r="AE89" s="92">
        <v>19</v>
      </c>
      <c r="AF89" s="144">
        <v>46</v>
      </c>
      <c r="AG89" s="146">
        <v>5</v>
      </c>
      <c r="AH89" s="148">
        <v>42.88</v>
      </c>
      <c r="AI89" s="150">
        <v>1016</v>
      </c>
      <c r="AJ89" s="157">
        <v>5.3110297961317304E-2</v>
      </c>
      <c r="AK89" s="159">
        <v>11435</v>
      </c>
      <c r="AL89" s="157">
        <v>0.59775222164140096</v>
      </c>
      <c r="AM89"/>
      <c r="AN89" s="92">
        <v>19</v>
      </c>
      <c r="AO89" s="144">
        <v>47</v>
      </c>
      <c r="AP89" s="146">
        <v>5</v>
      </c>
      <c r="AQ89" s="148">
        <v>47.51</v>
      </c>
      <c r="AR89" s="150">
        <v>894</v>
      </c>
      <c r="AS89" s="157">
        <v>6.25787484250315E-2</v>
      </c>
      <c r="AT89" s="159">
        <v>7946</v>
      </c>
      <c r="AU89" s="157">
        <v>0.55620887582248357</v>
      </c>
      <c r="AV89"/>
      <c r="AW89" s="92">
        <v>19</v>
      </c>
      <c r="AX89" s="145"/>
      <c r="AY89" s="147"/>
      <c r="AZ89" s="149"/>
      <c r="BA89" s="151"/>
      <c r="BB89" s="158"/>
      <c r="BC89" s="160"/>
      <c r="BD89" s="158"/>
      <c r="BE89"/>
      <c r="BF89" s="92">
        <v>19</v>
      </c>
      <c r="BG89" s="93">
        <v>52</v>
      </c>
      <c r="BH89" s="98">
        <v>4</v>
      </c>
      <c r="BI89" s="94">
        <v>71.22</v>
      </c>
      <c r="BJ89" s="95">
        <v>100</v>
      </c>
      <c r="BK89" s="96">
        <v>2.6378264310208389E-2</v>
      </c>
      <c r="BL89" s="97">
        <v>1141</v>
      </c>
      <c r="BM89" s="96">
        <v>0.3009759957794777</v>
      </c>
      <c r="BN89"/>
      <c r="BO89" s="92">
        <v>19</v>
      </c>
      <c r="BP89" s="144">
        <v>52</v>
      </c>
      <c r="BQ89" s="146">
        <v>4</v>
      </c>
      <c r="BR89" s="148">
        <v>73.23</v>
      </c>
      <c r="BS89" s="150">
        <v>213</v>
      </c>
      <c r="BT89" s="157">
        <v>5.0164861045690061E-2</v>
      </c>
      <c r="BU89" s="159">
        <v>1243</v>
      </c>
      <c r="BV89" s="157">
        <v>0.29274611398963729</v>
      </c>
      <c r="BW89"/>
      <c r="BX89" s="92">
        <v>19</v>
      </c>
      <c r="BY89" s="93">
        <v>43</v>
      </c>
      <c r="BZ89" s="98">
        <v>6</v>
      </c>
      <c r="CA89" s="94">
        <v>35.46</v>
      </c>
      <c r="CB89" s="95">
        <v>180</v>
      </c>
      <c r="CC89" s="96">
        <v>3.1013094417643005E-2</v>
      </c>
      <c r="CD89" s="97">
        <v>3836</v>
      </c>
      <c r="CE89" s="96">
        <v>0.66092350103376984</v>
      </c>
      <c r="CF89"/>
      <c r="CG89" s="92">
        <v>19</v>
      </c>
      <c r="CH89" s="93">
        <v>55</v>
      </c>
      <c r="CI89" s="98">
        <v>3</v>
      </c>
      <c r="CJ89" s="94">
        <v>82.6</v>
      </c>
      <c r="CK89" s="95">
        <v>72</v>
      </c>
      <c r="CL89" s="96">
        <v>1.3706453455168474E-2</v>
      </c>
      <c r="CM89" s="97">
        <v>950</v>
      </c>
      <c r="CN89" s="96">
        <v>0.18084903864458404</v>
      </c>
      <c r="CO89"/>
      <c r="CP89"/>
      <c r="CQ89"/>
      <c r="CR89"/>
      <c r="CS89"/>
      <c r="CT89"/>
      <c r="CU89"/>
      <c r="CV89"/>
      <c r="CW89"/>
      <c r="CX89"/>
      <c r="CY89"/>
    </row>
    <row r="90" spans="1:103" ht="16" customHeight="1" x14ac:dyDescent="0.2">
      <c r="A90"/>
      <c r="B90"/>
      <c r="C90"/>
      <c r="D90"/>
      <c r="E90"/>
      <c r="F90" s="86">
        <v>38</v>
      </c>
      <c r="G90" s="85">
        <v>2</v>
      </c>
      <c r="H90" s="36"/>
      <c r="I90" s="86">
        <v>41</v>
      </c>
      <c r="J90" s="85">
        <v>2</v>
      </c>
      <c r="K90" s="70"/>
      <c r="L90" s="70"/>
      <c r="M90" s="70"/>
      <c r="N90"/>
      <c r="O90" s="60">
        <v>48</v>
      </c>
      <c r="P90" s="84">
        <v>9</v>
      </c>
      <c r="Q90" s="33">
        <v>0.14000000000000001</v>
      </c>
      <c r="R90" s="61">
        <v>779</v>
      </c>
      <c r="S90" s="34">
        <v>2.7147586687576233E-3</v>
      </c>
      <c r="T90" s="35">
        <v>286950</v>
      </c>
      <c r="U90" s="72">
        <v>1</v>
      </c>
      <c r="V90" s="28"/>
      <c r="W90" s="56">
        <v>74</v>
      </c>
      <c r="X90" s="83">
        <v>9</v>
      </c>
      <c r="Y90" s="15">
        <v>3.04</v>
      </c>
      <c r="Z90" s="57">
        <v>2237</v>
      </c>
      <c r="AA90" s="16">
        <v>7.8217056702995467E-3</v>
      </c>
      <c r="AB90" s="17">
        <v>278431</v>
      </c>
      <c r="AC90" s="16">
        <v>0.97353836901527624</v>
      </c>
      <c r="AD90"/>
      <c r="AE90" s="92">
        <v>18</v>
      </c>
      <c r="AF90" s="145"/>
      <c r="AG90" s="147"/>
      <c r="AH90" s="149"/>
      <c r="AI90" s="151"/>
      <c r="AJ90" s="158"/>
      <c r="AK90" s="160"/>
      <c r="AL90" s="158"/>
      <c r="AM90"/>
      <c r="AN90" s="92">
        <v>18</v>
      </c>
      <c r="AO90" s="145"/>
      <c r="AP90" s="147"/>
      <c r="AQ90" s="149"/>
      <c r="AR90" s="151"/>
      <c r="AS90" s="158"/>
      <c r="AT90" s="160"/>
      <c r="AU90" s="158"/>
      <c r="AV90"/>
      <c r="AW90" s="92">
        <v>18</v>
      </c>
      <c r="AX90" s="93">
        <v>48</v>
      </c>
      <c r="AY90" s="98">
        <v>5</v>
      </c>
      <c r="AZ90" s="94">
        <v>51.82</v>
      </c>
      <c r="BA90" s="95">
        <v>341</v>
      </c>
      <c r="BB90" s="96">
        <v>2.9013868799455458E-2</v>
      </c>
      <c r="BC90" s="97">
        <v>5833</v>
      </c>
      <c r="BD90" s="96">
        <v>0.49629881732323661</v>
      </c>
      <c r="BE90"/>
      <c r="BF90" s="92">
        <v>18</v>
      </c>
      <c r="BG90" s="93">
        <v>51</v>
      </c>
      <c r="BH90" s="98">
        <v>4</v>
      </c>
      <c r="BI90" s="94">
        <v>68.33</v>
      </c>
      <c r="BJ90" s="95">
        <v>119</v>
      </c>
      <c r="BK90" s="96">
        <v>3.1390134529147982E-2</v>
      </c>
      <c r="BL90" s="97">
        <v>1260</v>
      </c>
      <c r="BM90" s="96">
        <v>0.33236613030862572</v>
      </c>
      <c r="BN90"/>
      <c r="BO90" s="92">
        <v>18</v>
      </c>
      <c r="BP90" s="145"/>
      <c r="BQ90" s="147"/>
      <c r="BR90" s="149"/>
      <c r="BS90" s="151"/>
      <c r="BT90" s="158"/>
      <c r="BU90" s="160"/>
      <c r="BV90" s="158"/>
      <c r="BW90"/>
      <c r="BX90" s="92">
        <v>18</v>
      </c>
      <c r="BY90" s="93">
        <v>42</v>
      </c>
      <c r="BZ90" s="98">
        <v>6</v>
      </c>
      <c r="CA90" s="94">
        <v>32.68</v>
      </c>
      <c r="CB90" s="95">
        <v>142</v>
      </c>
      <c r="CC90" s="96">
        <v>2.4465885596140591E-2</v>
      </c>
      <c r="CD90" s="97">
        <v>3978</v>
      </c>
      <c r="CE90" s="96">
        <v>0.68538938662991045</v>
      </c>
      <c r="CF90"/>
      <c r="CG90" s="92">
        <v>18</v>
      </c>
      <c r="CH90" s="93">
        <v>54</v>
      </c>
      <c r="CI90" s="98">
        <v>3</v>
      </c>
      <c r="CJ90" s="94">
        <v>80.819999999999993</v>
      </c>
      <c r="CK90" s="95">
        <v>115</v>
      </c>
      <c r="CL90" s="96">
        <v>2.1892252046449647E-2</v>
      </c>
      <c r="CM90" s="97">
        <v>1065</v>
      </c>
      <c r="CN90" s="96">
        <v>0.20274129069103369</v>
      </c>
      <c r="CO90"/>
      <c r="CP90"/>
      <c r="CQ90"/>
      <c r="CR90"/>
      <c r="CS90"/>
      <c r="CT90"/>
      <c r="CU90"/>
      <c r="CV90"/>
      <c r="CW90"/>
      <c r="CX90"/>
      <c r="CY90"/>
    </row>
    <row r="91" spans="1:103" ht="16" customHeight="1" x14ac:dyDescent="0.2">
      <c r="A91"/>
      <c r="B91"/>
      <c r="C91"/>
      <c r="D91"/>
      <c r="E91"/>
      <c r="F91" s="86">
        <v>32</v>
      </c>
      <c r="G91" s="85">
        <v>3</v>
      </c>
      <c r="H91" s="36"/>
      <c r="I91" s="86">
        <v>37</v>
      </c>
      <c r="J91" s="85">
        <v>3</v>
      </c>
      <c r="K91" s="70"/>
      <c r="L91" s="70"/>
      <c r="M91" s="70"/>
      <c r="N91"/>
      <c r="O91"/>
      <c r="P91"/>
      <c r="Q91"/>
      <c r="R91"/>
      <c r="S91"/>
      <c r="T91"/>
      <c r="U91"/>
      <c r="V91" s="28"/>
      <c r="W91" s="56">
        <v>73</v>
      </c>
      <c r="X91" s="83">
        <v>9</v>
      </c>
      <c r="Y91" s="15">
        <v>2.3199999999999998</v>
      </c>
      <c r="Z91" s="57">
        <v>1849</v>
      </c>
      <c r="AA91" s="16">
        <v>6.4650575701313637E-3</v>
      </c>
      <c r="AB91" s="17">
        <v>280280</v>
      </c>
      <c r="AC91" s="16">
        <v>0.98000342658540762</v>
      </c>
      <c r="AD91"/>
      <c r="AE91" s="99">
        <v>17</v>
      </c>
      <c r="AF91" s="100">
        <v>45</v>
      </c>
      <c r="AG91" s="101">
        <v>5</v>
      </c>
      <c r="AH91" s="102">
        <v>38.83</v>
      </c>
      <c r="AI91" s="103">
        <v>534</v>
      </c>
      <c r="AJ91" s="104">
        <v>2.7914270778881339E-2</v>
      </c>
      <c r="AK91" s="105">
        <v>11969</v>
      </c>
      <c r="AL91" s="104">
        <v>0.62566649242028227</v>
      </c>
      <c r="AM91"/>
      <c r="AN91" s="92">
        <v>17</v>
      </c>
      <c r="AO91" s="93">
        <v>46</v>
      </c>
      <c r="AP91" s="98">
        <v>5</v>
      </c>
      <c r="AQ91" s="94">
        <v>42.89</v>
      </c>
      <c r="AR91" s="95">
        <v>426</v>
      </c>
      <c r="AS91" s="96">
        <v>2.981940361192776E-2</v>
      </c>
      <c r="AT91" s="97">
        <v>8372</v>
      </c>
      <c r="AU91" s="96">
        <v>0.58602827943441127</v>
      </c>
      <c r="AV91"/>
      <c r="AW91" s="92">
        <v>17</v>
      </c>
      <c r="AX91" s="93">
        <v>47</v>
      </c>
      <c r="AY91" s="98">
        <v>5</v>
      </c>
      <c r="AZ91" s="94">
        <v>48.63</v>
      </c>
      <c r="BA91" s="95">
        <v>410</v>
      </c>
      <c r="BB91" s="96">
        <v>3.4884710286735301E-2</v>
      </c>
      <c r="BC91" s="97">
        <v>6243</v>
      </c>
      <c r="BD91" s="96">
        <v>0.53118352760997189</v>
      </c>
      <c r="BE91"/>
      <c r="BF91" s="92">
        <v>17</v>
      </c>
      <c r="BG91" s="93">
        <v>50</v>
      </c>
      <c r="BH91" s="98">
        <v>4</v>
      </c>
      <c r="BI91" s="94">
        <v>64.959999999999994</v>
      </c>
      <c r="BJ91" s="95">
        <v>137</v>
      </c>
      <c r="BK91" s="96">
        <v>3.613822210498549E-2</v>
      </c>
      <c r="BL91" s="97">
        <v>1397</v>
      </c>
      <c r="BM91" s="96">
        <v>0.36850435241361118</v>
      </c>
      <c r="BN91"/>
      <c r="BO91" s="92">
        <v>17</v>
      </c>
      <c r="BP91" s="93">
        <v>51</v>
      </c>
      <c r="BQ91" s="98">
        <v>4</v>
      </c>
      <c r="BR91" s="94">
        <v>69.349999999999994</v>
      </c>
      <c r="BS91" s="95">
        <v>117</v>
      </c>
      <c r="BT91" s="96">
        <v>2.7555346208195948E-2</v>
      </c>
      <c r="BU91" s="97">
        <v>1360</v>
      </c>
      <c r="BV91" s="96">
        <v>0.32030146019783323</v>
      </c>
      <c r="BW91"/>
      <c r="BX91" s="92">
        <v>17</v>
      </c>
      <c r="BY91" s="93">
        <v>41</v>
      </c>
      <c r="BZ91" s="98">
        <v>6</v>
      </c>
      <c r="CA91" s="94">
        <v>29.85</v>
      </c>
      <c r="CB91" s="95">
        <v>187</v>
      </c>
      <c r="CC91" s="96">
        <v>3.2219159200551344E-2</v>
      </c>
      <c r="CD91" s="97">
        <v>4165</v>
      </c>
      <c r="CE91" s="96">
        <v>0.71760854583046174</v>
      </c>
      <c r="CF91"/>
      <c r="CG91" s="92">
        <v>17</v>
      </c>
      <c r="CH91" s="93">
        <v>53</v>
      </c>
      <c r="CI91" s="98">
        <v>3</v>
      </c>
      <c r="CJ91" s="94">
        <v>78.510000000000005</v>
      </c>
      <c r="CK91" s="95">
        <v>128</v>
      </c>
      <c r="CL91" s="96">
        <v>2.4367028364743956E-2</v>
      </c>
      <c r="CM91" s="97">
        <v>1193</v>
      </c>
      <c r="CN91" s="96">
        <v>0.22710831905577766</v>
      </c>
      <c r="CO91"/>
      <c r="CP91"/>
      <c r="CQ91"/>
      <c r="CR91"/>
      <c r="CS91"/>
      <c r="CT91"/>
      <c r="CU91"/>
      <c r="CV91"/>
      <c r="CW91"/>
      <c r="CX91"/>
      <c r="CY91"/>
    </row>
    <row r="92" spans="1:103" ht="16" customHeight="1" x14ac:dyDescent="0.2">
      <c r="A92"/>
      <c r="B92"/>
      <c r="C92"/>
      <c r="D92"/>
      <c r="E92"/>
      <c r="F92" s="86">
        <v>25</v>
      </c>
      <c r="G92" s="85">
        <v>4</v>
      </c>
      <c r="H92" s="36"/>
      <c r="I92" s="86">
        <v>30</v>
      </c>
      <c r="J92" s="85">
        <v>4</v>
      </c>
      <c r="K92" s="70"/>
      <c r="L92" s="70"/>
      <c r="M92" s="70"/>
      <c r="N92"/>
      <c r="O92"/>
      <c r="P92"/>
      <c r="Q92"/>
      <c r="R92"/>
      <c r="S92"/>
      <c r="T92"/>
      <c r="U92"/>
      <c r="V92" s="28"/>
      <c r="W92" s="56">
        <v>72</v>
      </c>
      <c r="X92" s="83">
        <v>9</v>
      </c>
      <c r="Y92" s="15">
        <v>1.73</v>
      </c>
      <c r="Z92" s="57">
        <v>1553</v>
      </c>
      <c r="AA92" s="16">
        <v>5.4300889163948129E-3</v>
      </c>
      <c r="AB92" s="17">
        <v>281833</v>
      </c>
      <c r="AC92" s="16">
        <v>0.98543351550180247</v>
      </c>
      <c r="AD92"/>
      <c r="AE92" s="92">
        <v>16</v>
      </c>
      <c r="AF92" s="93">
        <v>44</v>
      </c>
      <c r="AG92" s="98">
        <v>6</v>
      </c>
      <c r="AH92" s="94">
        <v>35.909999999999997</v>
      </c>
      <c r="AI92" s="95">
        <v>582</v>
      </c>
      <c r="AJ92" s="96">
        <v>3.0423418714061682E-2</v>
      </c>
      <c r="AK92" s="97">
        <v>12551</v>
      </c>
      <c r="AL92" s="96">
        <v>0.65608991113434401</v>
      </c>
      <c r="AM92"/>
      <c r="AN92" s="99">
        <v>16</v>
      </c>
      <c r="AO92" s="100">
        <v>45</v>
      </c>
      <c r="AP92" s="101">
        <v>5</v>
      </c>
      <c r="AQ92" s="102">
        <v>39.71</v>
      </c>
      <c r="AR92" s="103">
        <v>482</v>
      </c>
      <c r="AS92" s="104">
        <v>3.3739325213495729E-2</v>
      </c>
      <c r="AT92" s="105">
        <v>8854</v>
      </c>
      <c r="AU92" s="104">
        <v>0.61976760464790703</v>
      </c>
      <c r="AV92"/>
      <c r="AW92" s="92">
        <v>16</v>
      </c>
      <c r="AX92" s="93">
        <v>46</v>
      </c>
      <c r="AY92" s="98">
        <v>5</v>
      </c>
      <c r="AZ92" s="94">
        <v>45.19</v>
      </c>
      <c r="BA92" s="95">
        <v>398</v>
      </c>
      <c r="BB92" s="96">
        <v>3.3863694375904023E-2</v>
      </c>
      <c r="BC92" s="97">
        <v>6641</v>
      </c>
      <c r="BD92" s="96">
        <v>0.56504722198587598</v>
      </c>
      <c r="BE92"/>
      <c r="BF92" s="99">
        <v>16</v>
      </c>
      <c r="BG92" s="100">
        <v>49</v>
      </c>
      <c r="BH92" s="101">
        <v>4</v>
      </c>
      <c r="BI92" s="102">
        <v>61.24</v>
      </c>
      <c r="BJ92" s="103">
        <v>145</v>
      </c>
      <c r="BK92" s="104">
        <v>3.8248483249802165E-2</v>
      </c>
      <c r="BL92" s="105">
        <v>1542</v>
      </c>
      <c r="BM92" s="104">
        <v>0.40675283566341336</v>
      </c>
      <c r="BN92"/>
      <c r="BO92" s="92">
        <v>16</v>
      </c>
      <c r="BP92" s="93">
        <v>50</v>
      </c>
      <c r="BQ92" s="98">
        <v>4</v>
      </c>
      <c r="BR92" s="94">
        <v>66.290000000000006</v>
      </c>
      <c r="BS92" s="95">
        <v>143</v>
      </c>
      <c r="BT92" s="96">
        <v>3.367875647668394E-2</v>
      </c>
      <c r="BU92" s="97">
        <v>1503</v>
      </c>
      <c r="BV92" s="96">
        <v>0.35398021667451718</v>
      </c>
      <c r="BW92"/>
      <c r="BX92" s="92">
        <v>16</v>
      </c>
      <c r="BY92" s="152">
        <v>40</v>
      </c>
      <c r="BZ92" s="153">
        <v>6</v>
      </c>
      <c r="CA92" s="154">
        <v>24.97</v>
      </c>
      <c r="CB92" s="155">
        <v>379</v>
      </c>
      <c r="CC92" s="161">
        <v>6.5299793246037213E-2</v>
      </c>
      <c r="CD92" s="162">
        <v>4544</v>
      </c>
      <c r="CE92" s="161">
        <v>0.78290833907649893</v>
      </c>
      <c r="CF92"/>
      <c r="CG92" s="99">
        <v>16</v>
      </c>
      <c r="CH92" s="100">
        <v>52</v>
      </c>
      <c r="CI92" s="101">
        <v>3</v>
      </c>
      <c r="CJ92" s="102">
        <v>75.87</v>
      </c>
      <c r="CK92" s="103">
        <v>149</v>
      </c>
      <c r="CL92" s="104">
        <v>2.836474395583476E-2</v>
      </c>
      <c r="CM92" s="105">
        <v>1342</v>
      </c>
      <c r="CN92" s="104">
        <v>0.25547306301161243</v>
      </c>
      <c r="CO92"/>
      <c r="CP92"/>
      <c r="CQ92"/>
      <c r="CR92"/>
      <c r="CS92"/>
      <c r="CT92"/>
      <c r="CU92"/>
      <c r="CV92"/>
      <c r="CW92"/>
      <c r="CX92"/>
      <c r="CY92"/>
    </row>
    <row r="93" spans="1:103" ht="16" customHeight="1" x14ac:dyDescent="0.2">
      <c r="A93"/>
      <c r="B93"/>
      <c r="C93"/>
      <c r="D93"/>
      <c r="E93"/>
      <c r="F93" s="86">
        <v>19</v>
      </c>
      <c r="G93" s="85">
        <v>5</v>
      </c>
      <c r="H93" s="36"/>
      <c r="I93" s="86">
        <v>21</v>
      </c>
      <c r="J93" s="85">
        <v>5</v>
      </c>
      <c r="K93" s="70"/>
      <c r="L93" s="70"/>
      <c r="M93" s="70"/>
      <c r="N93"/>
      <c r="O93"/>
      <c r="P93"/>
      <c r="Q93"/>
      <c r="R93"/>
      <c r="S93"/>
      <c r="T93"/>
      <c r="U93"/>
      <c r="V93" s="28"/>
      <c r="W93" s="58">
        <v>71</v>
      </c>
      <c r="X93" s="83">
        <v>9</v>
      </c>
      <c r="Y93" s="15">
        <v>1.28</v>
      </c>
      <c r="Z93" s="59">
        <v>1006</v>
      </c>
      <c r="AA93" s="16">
        <v>3.5174948164154421E-3</v>
      </c>
      <c r="AB93" s="17">
        <v>282839</v>
      </c>
      <c r="AC93" s="16">
        <v>0.98895101031821786</v>
      </c>
      <c r="AD93"/>
      <c r="AE93" s="92">
        <v>15</v>
      </c>
      <c r="AF93" s="93">
        <v>43</v>
      </c>
      <c r="AG93" s="98">
        <v>6</v>
      </c>
      <c r="AH93" s="94">
        <v>32.69</v>
      </c>
      <c r="AI93" s="95">
        <v>652</v>
      </c>
      <c r="AJ93" s="96">
        <v>3.4082592786199684E-2</v>
      </c>
      <c r="AK93" s="97">
        <v>13203</v>
      </c>
      <c r="AL93" s="96">
        <v>0.69017250392054363</v>
      </c>
      <c r="AM93"/>
      <c r="AN93" s="92">
        <v>15</v>
      </c>
      <c r="AO93" s="93">
        <v>44</v>
      </c>
      <c r="AP93" s="98">
        <v>6</v>
      </c>
      <c r="AQ93" s="94">
        <v>36.409999999999997</v>
      </c>
      <c r="AR93" s="95">
        <v>460</v>
      </c>
      <c r="AS93" s="96">
        <v>3.2199356012879744E-2</v>
      </c>
      <c r="AT93" s="97">
        <v>9314</v>
      </c>
      <c r="AU93" s="96">
        <v>0.65196696066078674</v>
      </c>
      <c r="AV93"/>
      <c r="AW93" s="92">
        <v>15</v>
      </c>
      <c r="AX93" s="152">
        <v>45</v>
      </c>
      <c r="AY93" s="153">
        <v>5</v>
      </c>
      <c r="AZ93" s="154">
        <v>39.630000000000003</v>
      </c>
      <c r="BA93" s="155">
        <v>909</v>
      </c>
      <c r="BB93" s="161">
        <v>7.7341955245469246E-2</v>
      </c>
      <c r="BC93" s="162">
        <v>7550</v>
      </c>
      <c r="BD93" s="161">
        <v>0.64238917723134514</v>
      </c>
      <c r="BE93"/>
      <c r="BF93" s="92">
        <v>15</v>
      </c>
      <c r="BG93" s="93">
        <v>48</v>
      </c>
      <c r="BH93" s="98">
        <v>5</v>
      </c>
      <c r="BI93" s="94">
        <v>57.14</v>
      </c>
      <c r="BJ93" s="95">
        <v>166</v>
      </c>
      <c r="BK93" s="96">
        <v>4.3787918754945927E-2</v>
      </c>
      <c r="BL93" s="97">
        <v>1708</v>
      </c>
      <c r="BM93" s="96">
        <v>0.45054075441835928</v>
      </c>
      <c r="BN93"/>
      <c r="BO93" s="92">
        <v>15</v>
      </c>
      <c r="BP93" s="93">
        <v>49</v>
      </c>
      <c r="BQ93" s="98">
        <v>4</v>
      </c>
      <c r="BR93" s="94">
        <v>62.34</v>
      </c>
      <c r="BS93" s="95">
        <v>192</v>
      </c>
      <c r="BT93" s="96">
        <v>4.5219029674988226E-2</v>
      </c>
      <c r="BU93" s="97">
        <v>1695</v>
      </c>
      <c r="BV93" s="96">
        <v>0.39919924634950543</v>
      </c>
      <c r="BW93"/>
      <c r="BX93" s="99">
        <v>15</v>
      </c>
      <c r="BY93" s="145"/>
      <c r="BZ93" s="147"/>
      <c r="CA93" s="149"/>
      <c r="CB93" s="151"/>
      <c r="CC93" s="158"/>
      <c r="CD93" s="160"/>
      <c r="CE93" s="158"/>
      <c r="CF93"/>
      <c r="CG93" s="92">
        <v>15</v>
      </c>
      <c r="CH93" s="93">
        <v>51</v>
      </c>
      <c r="CI93" s="98">
        <v>4</v>
      </c>
      <c r="CJ93" s="94">
        <v>72.760000000000005</v>
      </c>
      <c r="CK93" s="95">
        <v>178</v>
      </c>
      <c r="CL93" s="96">
        <v>3.3885398819722065E-2</v>
      </c>
      <c r="CM93" s="97">
        <v>1520</v>
      </c>
      <c r="CN93" s="96">
        <v>0.28935846183133446</v>
      </c>
      <c r="CO93"/>
      <c r="CP93"/>
      <c r="CQ93"/>
      <c r="CR93"/>
      <c r="CS93"/>
      <c r="CT93"/>
      <c r="CU93"/>
      <c r="CV93"/>
      <c r="CW93"/>
      <c r="CX93"/>
      <c r="CY93"/>
    </row>
    <row r="94" spans="1:103" ht="16" customHeight="1" x14ac:dyDescent="0.2">
      <c r="A94"/>
      <c r="B94"/>
      <c r="C94"/>
      <c r="D94"/>
      <c r="E94"/>
      <c r="F94" s="86">
        <v>14</v>
      </c>
      <c r="G94" s="85">
        <v>6</v>
      </c>
      <c r="H94" s="36"/>
      <c r="I94" s="86">
        <v>15</v>
      </c>
      <c r="J94" s="85">
        <v>6</v>
      </c>
      <c r="K94" s="70"/>
      <c r="L94" s="70"/>
      <c r="M94" s="70"/>
      <c r="N94"/>
      <c r="O94"/>
      <c r="P94"/>
      <c r="Q94"/>
      <c r="R94"/>
      <c r="S94"/>
      <c r="T94"/>
      <c r="U94"/>
      <c r="V94" s="28"/>
      <c r="W94" s="58">
        <v>70</v>
      </c>
      <c r="X94" s="83">
        <v>9</v>
      </c>
      <c r="Y94" s="15">
        <v>0.97</v>
      </c>
      <c r="Z94" s="59">
        <v>750</v>
      </c>
      <c r="AA94" s="16">
        <v>2.6223867915622081E-3</v>
      </c>
      <c r="AB94" s="17">
        <v>283589</v>
      </c>
      <c r="AC94" s="16">
        <v>0.9915733971097801</v>
      </c>
      <c r="AD94"/>
      <c r="AE94" s="92">
        <v>14</v>
      </c>
      <c r="AF94" s="152">
        <v>42</v>
      </c>
      <c r="AG94" s="153">
        <v>6</v>
      </c>
      <c r="AH94" s="154">
        <v>25.88</v>
      </c>
      <c r="AI94" s="155">
        <v>1951</v>
      </c>
      <c r="AJ94" s="161">
        <v>0.10198640878201777</v>
      </c>
      <c r="AK94" s="162">
        <v>15154</v>
      </c>
      <c r="AL94" s="161">
        <v>0.79215891270256145</v>
      </c>
      <c r="AM94"/>
      <c r="AN94" s="92">
        <v>14</v>
      </c>
      <c r="AO94" s="144">
        <v>43</v>
      </c>
      <c r="AP94" s="146">
        <v>6</v>
      </c>
      <c r="AQ94" s="148">
        <v>31.27</v>
      </c>
      <c r="AR94" s="150">
        <v>1010</v>
      </c>
      <c r="AS94" s="157">
        <v>7.0698586028279428E-2</v>
      </c>
      <c r="AT94" s="159">
        <v>10324</v>
      </c>
      <c r="AU94" s="157">
        <v>0.72266554668906624</v>
      </c>
      <c r="AV94"/>
      <c r="AW94" s="99">
        <v>14</v>
      </c>
      <c r="AX94" s="145"/>
      <c r="AY94" s="147"/>
      <c r="AZ94" s="149"/>
      <c r="BA94" s="151"/>
      <c r="BB94" s="158"/>
      <c r="BC94" s="160"/>
      <c r="BD94" s="158"/>
      <c r="BE94"/>
      <c r="BF94" s="92">
        <v>14</v>
      </c>
      <c r="BG94" s="93">
        <v>47</v>
      </c>
      <c r="BH94" s="98">
        <v>5</v>
      </c>
      <c r="BI94" s="94">
        <v>52.49</v>
      </c>
      <c r="BJ94" s="95">
        <v>186</v>
      </c>
      <c r="BK94" s="96">
        <v>4.90635716169876E-2</v>
      </c>
      <c r="BL94" s="97">
        <v>1894</v>
      </c>
      <c r="BM94" s="96">
        <v>0.49960432603534688</v>
      </c>
      <c r="BN94"/>
      <c r="BO94" s="99">
        <v>14</v>
      </c>
      <c r="BP94" s="100">
        <v>48</v>
      </c>
      <c r="BQ94" s="101">
        <v>4</v>
      </c>
      <c r="BR94" s="102">
        <v>58.1</v>
      </c>
      <c r="BS94" s="103">
        <v>168</v>
      </c>
      <c r="BT94" s="104">
        <v>3.9566650965614694E-2</v>
      </c>
      <c r="BU94" s="105">
        <v>1863</v>
      </c>
      <c r="BV94" s="104">
        <v>0.43876589731512011</v>
      </c>
      <c r="BW94"/>
      <c r="BX94" s="92">
        <v>14</v>
      </c>
      <c r="BY94" s="93">
        <v>39</v>
      </c>
      <c r="BZ94" s="98">
        <v>7</v>
      </c>
      <c r="CA94" s="94">
        <v>20.010000000000002</v>
      </c>
      <c r="CB94" s="95">
        <v>197</v>
      </c>
      <c r="CC94" s="96">
        <v>3.3942108890420403E-2</v>
      </c>
      <c r="CD94" s="97">
        <v>4741</v>
      </c>
      <c r="CE94" s="96">
        <v>0.81685044796691941</v>
      </c>
      <c r="CF94"/>
      <c r="CG94" s="92">
        <v>14</v>
      </c>
      <c r="CH94" s="93">
        <v>50</v>
      </c>
      <c r="CI94" s="98">
        <v>4</v>
      </c>
      <c r="CJ94" s="94">
        <v>69.12</v>
      </c>
      <c r="CK94" s="95">
        <v>204</v>
      </c>
      <c r="CL94" s="96">
        <v>3.8834951456310676E-2</v>
      </c>
      <c r="CM94" s="97">
        <v>1724</v>
      </c>
      <c r="CN94" s="96">
        <v>0.32819341328764517</v>
      </c>
      <c r="CO94"/>
      <c r="CP94"/>
      <c r="CQ94"/>
      <c r="CR94"/>
      <c r="CS94"/>
      <c r="CT94"/>
      <c r="CU94"/>
      <c r="CV94"/>
      <c r="CW94"/>
      <c r="CX94"/>
      <c r="CY94"/>
    </row>
    <row r="95" spans="1:103" ht="16" customHeight="1" x14ac:dyDescent="0.2">
      <c r="A95"/>
      <c r="B95"/>
      <c r="C95"/>
      <c r="D95"/>
      <c r="E95"/>
      <c r="F95" s="86">
        <v>9</v>
      </c>
      <c r="G95" s="85">
        <v>7</v>
      </c>
      <c r="H95" s="36"/>
      <c r="I95" s="86">
        <v>10</v>
      </c>
      <c r="J95" s="85">
        <v>7</v>
      </c>
      <c r="K95" s="70"/>
      <c r="L95" s="70"/>
      <c r="M95" s="70"/>
      <c r="N95"/>
      <c r="O95"/>
      <c r="P95"/>
      <c r="Q95"/>
      <c r="R95"/>
      <c r="S95"/>
      <c r="T95"/>
      <c r="U95"/>
      <c r="V95" s="28"/>
      <c r="W95" s="58">
        <v>69</v>
      </c>
      <c r="X95" s="83">
        <v>9</v>
      </c>
      <c r="Y95" s="15">
        <v>0.75</v>
      </c>
      <c r="Z95" s="59">
        <v>536</v>
      </c>
      <c r="AA95" s="16">
        <v>1.8741324270364582E-3</v>
      </c>
      <c r="AB95" s="17">
        <v>284125</v>
      </c>
      <c r="AC95" s="16">
        <v>0.99344752953681659</v>
      </c>
      <c r="AD95"/>
      <c r="AE95" s="99">
        <v>13</v>
      </c>
      <c r="AF95" s="145"/>
      <c r="AG95" s="147"/>
      <c r="AH95" s="149"/>
      <c r="AI95" s="151"/>
      <c r="AJ95" s="158"/>
      <c r="AK95" s="160"/>
      <c r="AL95" s="158"/>
      <c r="AM95"/>
      <c r="AN95" s="92">
        <v>13</v>
      </c>
      <c r="AO95" s="145"/>
      <c r="AP95" s="147"/>
      <c r="AQ95" s="149"/>
      <c r="AR95" s="151"/>
      <c r="AS95" s="158"/>
      <c r="AT95" s="160"/>
      <c r="AU95" s="158"/>
      <c r="AV95"/>
      <c r="AW95" s="92">
        <v>13</v>
      </c>
      <c r="AX95" s="93">
        <v>44</v>
      </c>
      <c r="AY95" s="98">
        <v>6</v>
      </c>
      <c r="AZ95" s="94">
        <v>33.950000000000003</v>
      </c>
      <c r="BA95" s="95">
        <v>425</v>
      </c>
      <c r="BB95" s="96">
        <v>3.6160980175274401E-2</v>
      </c>
      <c r="BC95" s="97">
        <v>7975</v>
      </c>
      <c r="BD95" s="96">
        <v>0.67855015740661961</v>
      </c>
      <c r="BE95"/>
      <c r="BF95" s="92">
        <v>13</v>
      </c>
      <c r="BG95" s="93">
        <v>46</v>
      </c>
      <c r="BH95" s="98">
        <v>5</v>
      </c>
      <c r="BI95" s="94">
        <v>46.7</v>
      </c>
      <c r="BJ95" s="95">
        <v>253</v>
      </c>
      <c r="BK95" s="96">
        <v>6.6737008704827225E-2</v>
      </c>
      <c r="BL95" s="97">
        <v>2147</v>
      </c>
      <c r="BM95" s="96">
        <v>0.56634133474017412</v>
      </c>
      <c r="BN95"/>
      <c r="BO95" s="92">
        <v>13</v>
      </c>
      <c r="BP95" s="93">
        <v>47</v>
      </c>
      <c r="BQ95" s="98">
        <v>5</v>
      </c>
      <c r="BR95" s="94">
        <v>53.41</v>
      </c>
      <c r="BS95" s="95">
        <v>230</v>
      </c>
      <c r="BT95" s="96">
        <v>5.4168629298162976E-2</v>
      </c>
      <c r="BU95" s="97">
        <v>2093</v>
      </c>
      <c r="BV95" s="96">
        <v>0.49293452661328307</v>
      </c>
      <c r="BW95"/>
      <c r="BX95" s="92">
        <v>13</v>
      </c>
      <c r="BY95" s="93">
        <v>38</v>
      </c>
      <c r="BZ95" s="98">
        <v>7</v>
      </c>
      <c r="CA95" s="94">
        <v>16.8</v>
      </c>
      <c r="CB95" s="95">
        <v>176</v>
      </c>
      <c r="CC95" s="96">
        <v>3.0323914541695383E-2</v>
      </c>
      <c r="CD95" s="97">
        <v>4917</v>
      </c>
      <c r="CE95" s="96">
        <v>0.84717436250861478</v>
      </c>
      <c r="CF95"/>
      <c r="CG95" s="92">
        <v>13</v>
      </c>
      <c r="CH95" s="93">
        <v>49</v>
      </c>
      <c r="CI95" s="98">
        <v>4</v>
      </c>
      <c r="CJ95" s="94">
        <v>64.44</v>
      </c>
      <c r="CK95" s="95">
        <v>288</v>
      </c>
      <c r="CL95" s="96">
        <v>5.4825813820673898E-2</v>
      </c>
      <c r="CM95" s="97">
        <v>2012</v>
      </c>
      <c r="CN95" s="96">
        <v>0.38301922710831904</v>
      </c>
      <c r="CO95"/>
      <c r="CP95"/>
      <c r="CQ95"/>
      <c r="CR95"/>
      <c r="CS95"/>
      <c r="CT95"/>
      <c r="CU95"/>
      <c r="CV95"/>
      <c r="CW95"/>
      <c r="CX95"/>
      <c r="CY95"/>
    </row>
    <row r="96" spans="1:103" ht="16" customHeight="1" x14ac:dyDescent="0.2">
      <c r="A96"/>
      <c r="B96"/>
      <c r="C96"/>
      <c r="D96"/>
      <c r="E96"/>
      <c r="F96" s="86">
        <v>8</v>
      </c>
      <c r="G96" s="85">
        <v>8</v>
      </c>
      <c r="H96" s="36"/>
      <c r="I96" s="86">
        <v>8</v>
      </c>
      <c r="J96" s="85">
        <v>8</v>
      </c>
      <c r="K96" s="70"/>
      <c r="L96" s="70"/>
      <c r="M96" s="70"/>
      <c r="N96"/>
      <c r="O96"/>
      <c r="P96"/>
      <c r="Q96"/>
      <c r="R96"/>
      <c r="S96"/>
      <c r="T96"/>
      <c r="U96"/>
      <c r="V96" s="28"/>
      <c r="W96" s="58">
        <v>68</v>
      </c>
      <c r="X96" s="83">
        <v>9</v>
      </c>
      <c r="Y96" s="15">
        <v>0.62</v>
      </c>
      <c r="Z96" s="59">
        <v>191</v>
      </c>
      <c r="AA96" s="16">
        <v>6.6783450291784232E-4</v>
      </c>
      <c r="AB96" s="17">
        <v>284316</v>
      </c>
      <c r="AC96" s="16">
        <v>0.99411536403973444</v>
      </c>
      <c r="AD96"/>
      <c r="AE96" s="92">
        <v>12</v>
      </c>
      <c r="AF96" s="93">
        <v>41</v>
      </c>
      <c r="AG96" s="98">
        <v>7</v>
      </c>
      <c r="AH96" s="94">
        <v>19.239999999999998</v>
      </c>
      <c r="AI96" s="95">
        <v>591</v>
      </c>
      <c r="AJ96" s="96">
        <v>3.0893883951907997E-2</v>
      </c>
      <c r="AK96" s="97">
        <v>15745</v>
      </c>
      <c r="AL96" s="96">
        <v>0.8230527966544694</v>
      </c>
      <c r="AM96"/>
      <c r="AN96" s="92">
        <v>12</v>
      </c>
      <c r="AO96" s="93">
        <v>42</v>
      </c>
      <c r="AP96" s="98">
        <v>6</v>
      </c>
      <c r="AQ96" s="94">
        <v>25.95</v>
      </c>
      <c r="AR96" s="95">
        <v>509</v>
      </c>
      <c r="AS96" s="96">
        <v>3.5629287414251712E-2</v>
      </c>
      <c r="AT96" s="97">
        <v>10833</v>
      </c>
      <c r="AU96" s="96">
        <v>0.75829483410331788</v>
      </c>
      <c r="AV96"/>
      <c r="AW96" s="92">
        <v>12</v>
      </c>
      <c r="AX96" s="93">
        <v>43</v>
      </c>
      <c r="AY96" s="98">
        <v>6</v>
      </c>
      <c r="AZ96" s="94">
        <v>30.26</v>
      </c>
      <c r="BA96" s="95">
        <v>443</v>
      </c>
      <c r="BB96" s="96">
        <v>3.7692504041521316E-2</v>
      </c>
      <c r="BC96" s="97">
        <v>8418</v>
      </c>
      <c r="BD96" s="96">
        <v>0.71624266144814086</v>
      </c>
      <c r="BE96"/>
      <c r="BF96" s="99">
        <v>12</v>
      </c>
      <c r="BG96" s="100">
        <v>45</v>
      </c>
      <c r="BH96" s="101">
        <v>5</v>
      </c>
      <c r="BI96" s="102">
        <v>41.1</v>
      </c>
      <c r="BJ96" s="103">
        <v>172</v>
      </c>
      <c r="BK96" s="104">
        <v>4.537061461355843E-2</v>
      </c>
      <c r="BL96" s="105">
        <v>2319</v>
      </c>
      <c r="BM96" s="104">
        <v>0.61171194935373252</v>
      </c>
      <c r="BN96"/>
      <c r="BO96" s="99">
        <v>12</v>
      </c>
      <c r="BP96" s="100">
        <v>46</v>
      </c>
      <c r="BQ96" s="101">
        <v>5</v>
      </c>
      <c r="BR96" s="102">
        <v>44.35</v>
      </c>
      <c r="BS96" s="103">
        <v>540</v>
      </c>
      <c r="BT96" s="104">
        <v>0.12717852096090437</v>
      </c>
      <c r="BU96" s="105">
        <v>2633</v>
      </c>
      <c r="BV96" s="104">
        <v>0.6201130475741875</v>
      </c>
      <c r="BW96"/>
      <c r="BX96" s="92">
        <v>12</v>
      </c>
      <c r="BY96" s="93">
        <v>37</v>
      </c>
      <c r="BZ96" s="98">
        <v>7</v>
      </c>
      <c r="CA96" s="94">
        <v>13.79</v>
      </c>
      <c r="CB96" s="95">
        <v>173</v>
      </c>
      <c r="CC96" s="96">
        <v>2.9807029634734666E-2</v>
      </c>
      <c r="CD96" s="97">
        <v>5090</v>
      </c>
      <c r="CE96" s="96">
        <v>0.87698139214334947</v>
      </c>
      <c r="CF96"/>
      <c r="CG96" s="99">
        <v>12</v>
      </c>
      <c r="CH96" s="100">
        <v>48</v>
      </c>
      <c r="CI96" s="101">
        <v>4</v>
      </c>
      <c r="CJ96" s="102">
        <v>58.69</v>
      </c>
      <c r="CK96" s="103">
        <v>316</v>
      </c>
      <c r="CL96" s="104">
        <v>6.0156101275461643E-2</v>
      </c>
      <c r="CM96" s="105">
        <v>2328</v>
      </c>
      <c r="CN96" s="104">
        <v>0.44317532838378071</v>
      </c>
      <c r="CO96"/>
      <c r="CP96"/>
      <c r="CQ96"/>
      <c r="CR96"/>
      <c r="CS96"/>
      <c r="CT96"/>
      <c r="CU96"/>
      <c r="CV96"/>
      <c r="CW96"/>
      <c r="CX96"/>
      <c r="CY96"/>
    </row>
    <row r="97" spans="1:103" ht="16" customHeight="1" x14ac:dyDescent="0.2">
      <c r="A97"/>
      <c r="B97"/>
      <c r="C97"/>
      <c r="D97"/>
      <c r="E97"/>
      <c r="F97" s="86">
        <v>0</v>
      </c>
      <c r="G97" s="85">
        <v>9</v>
      </c>
      <c r="H97" s="36"/>
      <c r="I97" s="86">
        <v>2</v>
      </c>
      <c r="J97" s="85">
        <v>9</v>
      </c>
      <c r="K97" s="70"/>
      <c r="L97" s="70"/>
      <c r="M97" s="70"/>
      <c r="N97"/>
      <c r="O97"/>
      <c r="P97"/>
      <c r="Q97"/>
      <c r="R97"/>
      <c r="S97"/>
      <c r="T97"/>
      <c r="U97"/>
      <c r="V97" s="28"/>
      <c r="W97" s="58">
        <v>67</v>
      </c>
      <c r="X97" s="83">
        <v>9</v>
      </c>
      <c r="Y97" s="15">
        <v>0.48</v>
      </c>
      <c r="Z97" s="59">
        <v>594</v>
      </c>
      <c r="AA97" s="16">
        <v>2.0769303389172691E-3</v>
      </c>
      <c r="AB97" s="17">
        <v>284910</v>
      </c>
      <c r="AC97" s="16">
        <v>0.99619229437865164</v>
      </c>
      <c r="AD97"/>
      <c r="AE97" s="92">
        <v>11</v>
      </c>
      <c r="AF97" s="93">
        <v>40</v>
      </c>
      <c r="AG97" s="98">
        <v>7</v>
      </c>
      <c r="AH97" s="94">
        <v>16.100000000000001</v>
      </c>
      <c r="AI97" s="95">
        <v>611</v>
      </c>
      <c r="AJ97" s="96">
        <v>3.1939362258233142E-2</v>
      </c>
      <c r="AK97" s="97">
        <v>16356</v>
      </c>
      <c r="AL97" s="96">
        <v>0.85499215891270253</v>
      </c>
      <c r="AM97"/>
      <c r="AN97" s="99">
        <v>11</v>
      </c>
      <c r="AO97" s="100">
        <v>41</v>
      </c>
      <c r="AP97" s="101">
        <v>6</v>
      </c>
      <c r="AQ97" s="102">
        <v>20.56</v>
      </c>
      <c r="AR97" s="103">
        <v>1033</v>
      </c>
      <c r="AS97" s="104">
        <v>7.2308553828923428E-2</v>
      </c>
      <c r="AT97" s="105">
        <v>11866</v>
      </c>
      <c r="AU97" s="104">
        <v>0.83060338793224131</v>
      </c>
      <c r="AV97"/>
      <c r="AW97" s="92">
        <v>11</v>
      </c>
      <c r="AX97" s="93">
        <v>42</v>
      </c>
      <c r="AY97" s="98">
        <v>6</v>
      </c>
      <c r="AZ97" s="94">
        <v>26.38</v>
      </c>
      <c r="BA97" s="95">
        <v>470</v>
      </c>
      <c r="BB97" s="96">
        <v>3.9989789840891687E-2</v>
      </c>
      <c r="BC97" s="97">
        <v>8888</v>
      </c>
      <c r="BD97" s="96">
        <v>0.7562324512890326</v>
      </c>
      <c r="BE97"/>
      <c r="BF97" s="92">
        <v>11</v>
      </c>
      <c r="BG97" s="93">
        <v>44</v>
      </c>
      <c r="BH97" s="98">
        <v>6</v>
      </c>
      <c r="BI97" s="94">
        <v>32.72</v>
      </c>
      <c r="BJ97" s="95">
        <v>463</v>
      </c>
      <c r="BK97" s="96">
        <v>0.12213136375626484</v>
      </c>
      <c r="BL97" s="97">
        <v>2782</v>
      </c>
      <c r="BM97" s="96">
        <v>0.7338433131099974</v>
      </c>
      <c r="BN97"/>
      <c r="BO97" s="92">
        <v>11</v>
      </c>
      <c r="BP97" s="93">
        <v>45</v>
      </c>
      <c r="BQ97" s="98">
        <v>6</v>
      </c>
      <c r="BR97" s="94">
        <v>35.700000000000003</v>
      </c>
      <c r="BS97" s="95">
        <v>194</v>
      </c>
      <c r="BT97" s="96">
        <v>4.5690061234102686E-2</v>
      </c>
      <c r="BU97" s="97">
        <v>2827</v>
      </c>
      <c r="BV97" s="96">
        <v>0.66580310880829019</v>
      </c>
      <c r="BW97"/>
      <c r="BX97" s="92">
        <v>11</v>
      </c>
      <c r="BY97" s="152">
        <v>36</v>
      </c>
      <c r="BZ97" s="153">
        <v>7</v>
      </c>
      <c r="CA97" s="154">
        <v>9.3000000000000007</v>
      </c>
      <c r="CB97" s="155">
        <v>348</v>
      </c>
      <c r="CC97" s="161">
        <v>5.9958649207443142E-2</v>
      </c>
      <c r="CD97" s="162">
        <v>5438</v>
      </c>
      <c r="CE97" s="161">
        <v>0.93694004135079256</v>
      </c>
      <c r="CF97"/>
      <c r="CG97" s="92">
        <v>11</v>
      </c>
      <c r="CH97" s="93">
        <v>47</v>
      </c>
      <c r="CI97" s="98">
        <v>5</v>
      </c>
      <c r="CJ97" s="94">
        <v>48.39</v>
      </c>
      <c r="CK97" s="95">
        <v>766</v>
      </c>
      <c r="CL97" s="96">
        <v>0.14582143537026462</v>
      </c>
      <c r="CM97" s="97">
        <v>3094</v>
      </c>
      <c r="CN97" s="96">
        <v>0.5889967637540453</v>
      </c>
      <c r="CO97"/>
      <c r="CP97"/>
      <c r="CQ97"/>
      <c r="CR97"/>
      <c r="CS97"/>
      <c r="CT97"/>
      <c r="CU97"/>
      <c r="CV97"/>
      <c r="CW97"/>
      <c r="CX97"/>
      <c r="CY97"/>
    </row>
    <row r="98" spans="1:103" ht="16" customHeight="1" x14ac:dyDescent="0.2">
      <c r="A98"/>
      <c r="B98"/>
      <c r="C98"/>
      <c r="D98"/>
      <c r="E98"/>
      <c r="F98" s="1"/>
      <c r="G98" s="1"/>
      <c r="H98" s="1"/>
      <c r="I98" s="1"/>
      <c r="J98" s="1"/>
      <c r="K98" s="1"/>
      <c r="L98" s="1"/>
      <c r="M98" s="1"/>
      <c r="N98"/>
      <c r="O98"/>
      <c r="P98"/>
      <c r="Q98"/>
      <c r="R98"/>
      <c r="S98"/>
      <c r="T98"/>
      <c r="U98"/>
      <c r="V98" s="28"/>
      <c r="W98" s="62">
        <v>66</v>
      </c>
      <c r="X98" s="84">
        <v>9</v>
      </c>
      <c r="Y98" s="33">
        <v>0.19</v>
      </c>
      <c r="Z98" s="63">
        <v>1089</v>
      </c>
      <c r="AA98" s="34">
        <v>3.8077056213483263E-3</v>
      </c>
      <c r="AB98" s="35">
        <v>285999</v>
      </c>
      <c r="AC98" s="72">
        <v>1</v>
      </c>
      <c r="AD98"/>
      <c r="AE98" s="92">
        <v>10</v>
      </c>
      <c r="AF98" s="93">
        <v>39</v>
      </c>
      <c r="AG98" s="98">
        <v>7</v>
      </c>
      <c r="AH98" s="94">
        <v>13.14</v>
      </c>
      <c r="AI98" s="95">
        <v>521</v>
      </c>
      <c r="AJ98" s="96">
        <v>2.7234709879769996E-2</v>
      </c>
      <c r="AK98" s="97">
        <v>16877</v>
      </c>
      <c r="AL98" s="96">
        <v>0.88222686879247258</v>
      </c>
      <c r="AM98"/>
      <c r="AN98" s="92">
        <v>10</v>
      </c>
      <c r="AO98" s="93">
        <v>40</v>
      </c>
      <c r="AP98" s="98">
        <v>7</v>
      </c>
      <c r="AQ98" s="94">
        <v>15.17</v>
      </c>
      <c r="AR98" s="95">
        <v>505</v>
      </c>
      <c r="AS98" s="96">
        <v>3.5349293014139714E-2</v>
      </c>
      <c r="AT98" s="97">
        <v>12371</v>
      </c>
      <c r="AU98" s="96">
        <v>0.86595268094638111</v>
      </c>
      <c r="AV98"/>
      <c r="AW98" s="99">
        <v>10</v>
      </c>
      <c r="AX98" s="100">
        <v>41</v>
      </c>
      <c r="AY98" s="101">
        <v>6</v>
      </c>
      <c r="AZ98" s="102">
        <v>22.56</v>
      </c>
      <c r="BA98" s="103">
        <v>427</v>
      </c>
      <c r="BB98" s="104">
        <v>3.633114949374628E-2</v>
      </c>
      <c r="BC98" s="105">
        <v>9315</v>
      </c>
      <c r="BD98" s="104">
        <v>0.79256360078277888</v>
      </c>
      <c r="BE98"/>
      <c r="BF98" s="99">
        <v>10</v>
      </c>
      <c r="BG98" s="100">
        <v>43</v>
      </c>
      <c r="BH98" s="101">
        <v>6</v>
      </c>
      <c r="BI98" s="102">
        <v>23.87</v>
      </c>
      <c r="BJ98" s="103">
        <v>208</v>
      </c>
      <c r="BK98" s="104">
        <v>5.4866789765233445E-2</v>
      </c>
      <c r="BL98" s="105">
        <v>2990</v>
      </c>
      <c r="BM98" s="104">
        <v>0.7887101028752308</v>
      </c>
      <c r="BN98"/>
      <c r="BO98" s="92">
        <v>10</v>
      </c>
      <c r="BP98" s="93">
        <v>44</v>
      </c>
      <c r="BQ98" s="98">
        <v>6</v>
      </c>
      <c r="BR98" s="94">
        <v>28.5</v>
      </c>
      <c r="BS98" s="95">
        <v>418</v>
      </c>
      <c r="BT98" s="96">
        <v>9.8445595854922283E-2</v>
      </c>
      <c r="BU98" s="97">
        <v>3245</v>
      </c>
      <c r="BV98" s="96">
        <v>0.76424870466321249</v>
      </c>
      <c r="BW98"/>
      <c r="BX98" s="99">
        <v>10</v>
      </c>
      <c r="BY98" s="145"/>
      <c r="BZ98" s="147"/>
      <c r="CA98" s="149"/>
      <c r="CB98" s="151"/>
      <c r="CC98" s="158"/>
      <c r="CD98" s="160"/>
      <c r="CE98" s="158"/>
      <c r="CF98"/>
      <c r="CG98" s="99">
        <v>10</v>
      </c>
      <c r="CH98" s="100">
        <v>46</v>
      </c>
      <c r="CI98" s="101">
        <v>5</v>
      </c>
      <c r="CJ98" s="102">
        <v>37.729999999999997</v>
      </c>
      <c r="CK98" s="103">
        <v>354</v>
      </c>
      <c r="CL98" s="104">
        <v>6.7390062821245003E-2</v>
      </c>
      <c r="CM98" s="105">
        <v>3448</v>
      </c>
      <c r="CN98" s="104">
        <v>0.65638682657529035</v>
      </c>
      <c r="CO98"/>
      <c r="CP98"/>
      <c r="CQ98"/>
      <c r="CR98"/>
      <c r="CS98"/>
      <c r="CT98"/>
      <c r="CU98"/>
      <c r="CV98"/>
      <c r="CW98"/>
      <c r="CX98"/>
      <c r="CY98"/>
    </row>
    <row r="99" spans="1:103" ht="16" customHeight="1" thickBot="1" x14ac:dyDescent="0.25">
      <c r="A99"/>
      <c r="B99"/>
      <c r="C99"/>
      <c r="D99"/>
      <c r="E99"/>
      <c r="F99" s="117" t="s">
        <v>10</v>
      </c>
      <c r="G99" s="118"/>
      <c r="H99" s="36"/>
      <c r="I99" s="117" t="s">
        <v>33</v>
      </c>
      <c r="J99" s="118"/>
      <c r="K99" s="36"/>
      <c r="L99" s="36"/>
      <c r="M99" s="36"/>
      <c r="N99"/>
      <c r="O99"/>
      <c r="P99"/>
      <c r="Q99"/>
      <c r="R99"/>
      <c r="S99"/>
      <c r="T99"/>
      <c r="U99"/>
      <c r="V99" s="28"/>
      <c r="W99"/>
      <c r="X99"/>
      <c r="Y99"/>
      <c r="Z99"/>
      <c r="AA99"/>
      <c r="AB99"/>
      <c r="AC99"/>
      <c r="AD99"/>
      <c r="AE99" s="99">
        <v>9</v>
      </c>
      <c r="AF99" s="100">
        <v>38</v>
      </c>
      <c r="AG99" s="101">
        <v>7</v>
      </c>
      <c r="AH99" s="102">
        <v>10.43</v>
      </c>
      <c r="AI99" s="103">
        <v>514</v>
      </c>
      <c r="AJ99" s="104">
        <v>2.6868792472556195E-2</v>
      </c>
      <c r="AK99" s="105">
        <v>17391</v>
      </c>
      <c r="AL99" s="104">
        <v>0.90909566126502872</v>
      </c>
      <c r="AM99"/>
      <c r="AN99" s="99">
        <v>9</v>
      </c>
      <c r="AO99" s="100">
        <v>39</v>
      </c>
      <c r="AP99" s="101">
        <v>7</v>
      </c>
      <c r="AQ99" s="102">
        <v>12.17</v>
      </c>
      <c r="AR99" s="103">
        <v>353</v>
      </c>
      <c r="AS99" s="104">
        <v>2.4709505809883802E-2</v>
      </c>
      <c r="AT99" s="105">
        <v>12724</v>
      </c>
      <c r="AU99" s="104">
        <v>0.89066218675626485</v>
      </c>
      <c r="AV99"/>
      <c r="AW99" s="92">
        <v>9</v>
      </c>
      <c r="AX99" s="152">
        <v>40</v>
      </c>
      <c r="AY99" s="153">
        <v>7</v>
      </c>
      <c r="AZ99" s="154">
        <v>14.07</v>
      </c>
      <c r="BA99" s="155">
        <v>1569</v>
      </c>
      <c r="BB99" s="161">
        <v>0.13349783034118948</v>
      </c>
      <c r="BC99" s="162">
        <v>10884</v>
      </c>
      <c r="BD99" s="161">
        <v>0.92606143112396833</v>
      </c>
      <c r="BE99"/>
      <c r="BF99" s="92">
        <v>9</v>
      </c>
      <c r="BG99" s="93">
        <v>42</v>
      </c>
      <c r="BH99" s="98">
        <v>7</v>
      </c>
      <c r="BI99" s="94">
        <v>19.12</v>
      </c>
      <c r="BJ99" s="95">
        <v>152</v>
      </c>
      <c r="BK99" s="96">
        <v>4.009496175151675E-2</v>
      </c>
      <c r="BL99" s="97">
        <v>3142</v>
      </c>
      <c r="BM99" s="96">
        <v>0.82880506462674752</v>
      </c>
      <c r="BN99"/>
      <c r="BO99" s="99">
        <v>9</v>
      </c>
      <c r="BP99" s="100">
        <v>43</v>
      </c>
      <c r="BQ99" s="101">
        <v>6</v>
      </c>
      <c r="BR99" s="102">
        <v>20.399999999999999</v>
      </c>
      <c r="BS99" s="103">
        <v>270</v>
      </c>
      <c r="BT99" s="104">
        <v>6.3589260480452187E-2</v>
      </c>
      <c r="BU99" s="105">
        <v>3515</v>
      </c>
      <c r="BV99" s="104">
        <v>0.82783796514366459</v>
      </c>
      <c r="BW99"/>
      <c r="BX99" s="92">
        <v>9</v>
      </c>
      <c r="BY99" s="93">
        <v>35</v>
      </c>
      <c r="BZ99" s="98">
        <v>8</v>
      </c>
      <c r="CA99" s="94">
        <v>5.17</v>
      </c>
      <c r="CB99" s="95">
        <v>132</v>
      </c>
      <c r="CC99" s="96">
        <v>2.2742935906271536E-2</v>
      </c>
      <c r="CD99" s="97">
        <v>5570</v>
      </c>
      <c r="CE99" s="96">
        <v>0.95968297725706408</v>
      </c>
      <c r="CF99"/>
      <c r="CG99" s="92">
        <v>9</v>
      </c>
      <c r="CH99" s="93">
        <v>45</v>
      </c>
      <c r="CI99" s="98">
        <v>6</v>
      </c>
      <c r="CJ99" s="94">
        <v>30.33</v>
      </c>
      <c r="CK99" s="95">
        <v>424</v>
      </c>
      <c r="CL99" s="96">
        <v>8.0715781458214356E-2</v>
      </c>
      <c r="CM99" s="97">
        <v>3872</v>
      </c>
      <c r="CN99" s="96">
        <v>0.73710260803350469</v>
      </c>
      <c r="CO99"/>
      <c r="CP99"/>
      <c r="CQ99"/>
      <c r="CR99"/>
      <c r="CS99"/>
      <c r="CT99"/>
      <c r="CU99"/>
      <c r="CV99"/>
      <c r="CW99"/>
      <c r="CX99"/>
      <c r="CY99"/>
    </row>
    <row r="100" spans="1:103" ht="16" customHeight="1" x14ac:dyDescent="0.2">
      <c r="A100"/>
      <c r="B100"/>
      <c r="C100"/>
      <c r="D100"/>
      <c r="E100"/>
      <c r="F100" s="30" t="s">
        <v>30</v>
      </c>
      <c r="G100" s="69" t="s">
        <v>14</v>
      </c>
      <c r="H100" s="36"/>
      <c r="I100" s="30" t="s">
        <v>30</v>
      </c>
      <c r="J100" s="30" t="s">
        <v>14</v>
      </c>
      <c r="K100" s="36"/>
      <c r="L100" s="36"/>
      <c r="M100" s="36"/>
      <c r="N100"/>
      <c r="O100"/>
      <c r="P100"/>
      <c r="Q100"/>
      <c r="R100"/>
      <c r="S100"/>
      <c r="T100"/>
      <c r="U100"/>
      <c r="V100" s="28"/>
      <c r="W100"/>
      <c r="X100"/>
      <c r="Y100"/>
      <c r="Z100"/>
      <c r="AA100"/>
      <c r="AB100"/>
      <c r="AC100"/>
      <c r="AD100"/>
      <c r="AE100" s="92">
        <v>8</v>
      </c>
      <c r="AF100" s="152">
        <v>37</v>
      </c>
      <c r="AG100" s="153">
        <v>8</v>
      </c>
      <c r="AH100" s="154">
        <v>6.33</v>
      </c>
      <c r="AI100" s="155">
        <v>1058</v>
      </c>
      <c r="AJ100" s="161">
        <v>5.5305802404600105E-2</v>
      </c>
      <c r="AK100" s="162">
        <v>18449</v>
      </c>
      <c r="AL100" s="161">
        <v>0.96440146366962887</v>
      </c>
      <c r="AM100"/>
      <c r="AN100" s="92">
        <v>8</v>
      </c>
      <c r="AO100" s="144">
        <v>38</v>
      </c>
      <c r="AP100" s="146">
        <v>8</v>
      </c>
      <c r="AQ100" s="148">
        <v>7.77</v>
      </c>
      <c r="AR100" s="150">
        <v>904</v>
      </c>
      <c r="AS100" s="157">
        <v>6.3278734425311498E-2</v>
      </c>
      <c r="AT100" s="159">
        <v>13628</v>
      </c>
      <c r="AU100" s="157">
        <v>0.95394092118157636</v>
      </c>
      <c r="AV100"/>
      <c r="AW100" s="99">
        <v>8</v>
      </c>
      <c r="AX100" s="145"/>
      <c r="AY100" s="147"/>
      <c r="AZ100" s="149"/>
      <c r="BA100" s="151"/>
      <c r="BB100" s="158"/>
      <c r="BC100" s="160"/>
      <c r="BD100" s="158"/>
      <c r="BE100"/>
      <c r="BF100" s="92">
        <v>8</v>
      </c>
      <c r="BG100" s="152">
        <v>41</v>
      </c>
      <c r="BH100" s="153">
        <v>7</v>
      </c>
      <c r="BI100" s="154">
        <v>12.46</v>
      </c>
      <c r="BJ100" s="155">
        <v>353</v>
      </c>
      <c r="BK100" s="161">
        <v>9.311527301503561E-2</v>
      </c>
      <c r="BL100" s="162">
        <v>3495</v>
      </c>
      <c r="BM100" s="161">
        <v>0.92192033764178316</v>
      </c>
      <c r="BN100"/>
      <c r="BO100" s="92">
        <v>8</v>
      </c>
      <c r="BP100" s="93">
        <v>42</v>
      </c>
      <c r="BQ100" s="98">
        <v>7</v>
      </c>
      <c r="BR100" s="94">
        <v>15.18</v>
      </c>
      <c r="BS100" s="95">
        <v>173</v>
      </c>
      <c r="BT100" s="96">
        <v>4.0744229863400851E-2</v>
      </c>
      <c r="BU100" s="97">
        <v>3688</v>
      </c>
      <c r="BV100" s="96">
        <v>0.86858219500706546</v>
      </c>
      <c r="BW100"/>
      <c r="BX100" s="99">
        <v>8</v>
      </c>
      <c r="BY100" s="100">
        <v>34</v>
      </c>
      <c r="BZ100" s="101">
        <v>8</v>
      </c>
      <c r="CA100" s="102">
        <v>3.46</v>
      </c>
      <c r="CB100" s="103">
        <v>66</v>
      </c>
      <c r="CC100" s="104">
        <v>1.1371467953135768E-2</v>
      </c>
      <c r="CD100" s="105">
        <v>5636</v>
      </c>
      <c r="CE100" s="104">
        <v>0.9710544452101999</v>
      </c>
      <c r="CF100"/>
      <c r="CG100" s="99">
        <v>8</v>
      </c>
      <c r="CH100" s="100">
        <v>44</v>
      </c>
      <c r="CI100" s="101">
        <v>6</v>
      </c>
      <c r="CJ100" s="102">
        <v>23.01</v>
      </c>
      <c r="CK100" s="103">
        <v>345</v>
      </c>
      <c r="CL100" s="104">
        <v>6.5676756139348938E-2</v>
      </c>
      <c r="CM100" s="105">
        <v>4217</v>
      </c>
      <c r="CN100" s="104">
        <v>0.80277936417285356</v>
      </c>
      <c r="CO100"/>
      <c r="CP100"/>
      <c r="CQ100"/>
      <c r="CR100"/>
      <c r="CS100"/>
      <c r="CT100"/>
      <c r="CU100"/>
      <c r="CV100"/>
      <c r="CW100"/>
      <c r="CX100"/>
      <c r="CY100"/>
    </row>
    <row r="101" spans="1:103" ht="16" customHeight="1" x14ac:dyDescent="0.2">
      <c r="A101"/>
      <c r="B101"/>
      <c r="C101"/>
      <c r="D101"/>
      <c r="E101"/>
      <c r="F101" s="87">
        <v>43</v>
      </c>
      <c r="G101" s="69">
        <v>1</v>
      </c>
      <c r="H101" s="36"/>
      <c r="I101" s="86">
        <v>43</v>
      </c>
      <c r="J101" s="85">
        <v>1</v>
      </c>
      <c r="K101" s="70"/>
      <c r="L101" s="70"/>
      <c r="M101" s="70"/>
      <c r="N101"/>
      <c r="O101"/>
      <c r="P101"/>
      <c r="Q101"/>
      <c r="R101"/>
      <c r="S101"/>
      <c r="T101"/>
      <c r="U101"/>
      <c r="V101" s="28"/>
      <c r="W101"/>
      <c r="X101"/>
      <c r="Y101"/>
      <c r="Z101"/>
      <c r="AA101"/>
      <c r="AB101"/>
      <c r="AC101"/>
      <c r="AD101"/>
      <c r="AE101" s="99">
        <v>7</v>
      </c>
      <c r="AF101" s="145"/>
      <c r="AG101" s="147"/>
      <c r="AH101" s="149"/>
      <c r="AI101" s="151"/>
      <c r="AJ101" s="158"/>
      <c r="AK101" s="160"/>
      <c r="AL101" s="158"/>
      <c r="AM101"/>
      <c r="AN101" s="92">
        <v>7</v>
      </c>
      <c r="AO101" s="145"/>
      <c r="AP101" s="147"/>
      <c r="AQ101" s="149"/>
      <c r="AR101" s="151"/>
      <c r="AS101" s="158"/>
      <c r="AT101" s="160"/>
      <c r="AU101" s="158"/>
      <c r="AV101"/>
      <c r="AW101" s="92">
        <v>7</v>
      </c>
      <c r="AX101" s="93">
        <v>39</v>
      </c>
      <c r="AY101" s="98">
        <v>8</v>
      </c>
      <c r="AZ101" s="94">
        <v>6.33</v>
      </c>
      <c r="BA101" s="95">
        <v>250</v>
      </c>
      <c r="BB101" s="96">
        <v>2.127116480898494E-2</v>
      </c>
      <c r="BC101" s="97">
        <v>11134</v>
      </c>
      <c r="BD101" s="96">
        <v>0.94733259593295327</v>
      </c>
      <c r="BE101"/>
      <c r="BF101" s="99">
        <v>7</v>
      </c>
      <c r="BG101" s="145"/>
      <c r="BH101" s="147"/>
      <c r="BI101" s="149"/>
      <c r="BJ101" s="151"/>
      <c r="BK101" s="158"/>
      <c r="BL101" s="160"/>
      <c r="BM101" s="158"/>
      <c r="BN101"/>
      <c r="BO101" s="99">
        <v>7</v>
      </c>
      <c r="BP101" s="100">
        <v>41</v>
      </c>
      <c r="BQ101" s="101">
        <v>7</v>
      </c>
      <c r="BR101" s="102">
        <v>11.02</v>
      </c>
      <c r="BS101" s="103">
        <v>180</v>
      </c>
      <c r="BT101" s="104">
        <v>4.239284032030146E-2</v>
      </c>
      <c r="BU101" s="105">
        <v>3868</v>
      </c>
      <c r="BV101" s="104">
        <v>0.9109750353273669</v>
      </c>
      <c r="BW101"/>
      <c r="BX101" s="92">
        <v>7</v>
      </c>
      <c r="BY101" s="93">
        <v>33</v>
      </c>
      <c r="BZ101" s="98">
        <v>9</v>
      </c>
      <c r="CA101" s="94">
        <v>2.33</v>
      </c>
      <c r="CB101" s="95">
        <v>66</v>
      </c>
      <c r="CC101" s="96">
        <v>1.1371467953135768E-2</v>
      </c>
      <c r="CD101" s="97">
        <v>5702</v>
      </c>
      <c r="CE101" s="96">
        <v>0.98242591316333561</v>
      </c>
      <c r="CF101"/>
      <c r="CG101" s="92">
        <v>7</v>
      </c>
      <c r="CH101" s="93">
        <v>43</v>
      </c>
      <c r="CI101" s="98">
        <v>7</v>
      </c>
      <c r="CJ101" s="94">
        <v>16.760000000000002</v>
      </c>
      <c r="CK101" s="95">
        <v>311</v>
      </c>
      <c r="CL101" s="96">
        <v>5.9204264229963832E-2</v>
      </c>
      <c r="CM101" s="97">
        <v>4528</v>
      </c>
      <c r="CN101" s="96">
        <v>0.86198362840281739</v>
      </c>
      <c r="CO101"/>
      <c r="CP101"/>
      <c r="CQ101"/>
      <c r="CR101"/>
      <c r="CS101"/>
      <c r="CT101"/>
      <c r="CU101"/>
      <c r="CV101"/>
      <c r="CW101"/>
      <c r="CX101"/>
      <c r="CY101"/>
    </row>
    <row r="102" spans="1:103" ht="16" customHeight="1" x14ac:dyDescent="0.2">
      <c r="A102"/>
      <c r="B102"/>
      <c r="C102"/>
      <c r="D102"/>
      <c r="E102"/>
      <c r="F102" s="87">
        <v>35</v>
      </c>
      <c r="G102" s="69">
        <v>2</v>
      </c>
      <c r="H102" s="36"/>
      <c r="I102" s="86">
        <v>24</v>
      </c>
      <c r="J102" s="85">
        <v>2</v>
      </c>
      <c r="K102" s="70"/>
      <c r="L102" s="70"/>
      <c r="M102" s="70"/>
      <c r="N102"/>
      <c r="O102"/>
      <c r="P102"/>
      <c r="Q102"/>
      <c r="R102"/>
      <c r="S102"/>
      <c r="T102"/>
      <c r="U102"/>
      <c r="V102" s="28"/>
      <c r="W102"/>
      <c r="X102"/>
      <c r="Y102"/>
      <c r="Z102"/>
      <c r="AA102"/>
      <c r="AB102"/>
      <c r="AC102"/>
      <c r="AD102"/>
      <c r="AE102" s="92">
        <v>6</v>
      </c>
      <c r="AF102" s="93">
        <v>36</v>
      </c>
      <c r="AG102" s="98">
        <v>9</v>
      </c>
      <c r="AH102" s="94">
        <v>3.13</v>
      </c>
      <c r="AI102" s="95">
        <v>166</v>
      </c>
      <c r="AJ102" s="96">
        <v>8.6774699424986938E-3</v>
      </c>
      <c r="AK102" s="97">
        <v>18615</v>
      </c>
      <c r="AL102" s="96">
        <v>0.97307893361212749</v>
      </c>
      <c r="AM102"/>
      <c r="AN102" s="99">
        <v>6</v>
      </c>
      <c r="AO102" s="100">
        <v>37</v>
      </c>
      <c r="AP102" s="101">
        <v>8</v>
      </c>
      <c r="AQ102" s="102">
        <v>3.99</v>
      </c>
      <c r="AR102" s="103">
        <v>176</v>
      </c>
      <c r="AS102" s="104">
        <v>1.2319753604927902E-2</v>
      </c>
      <c r="AT102" s="105">
        <v>13804</v>
      </c>
      <c r="AU102" s="104">
        <v>0.96626067478650424</v>
      </c>
      <c r="AV102"/>
      <c r="AW102" s="99">
        <v>6</v>
      </c>
      <c r="AX102" s="100">
        <v>38</v>
      </c>
      <c r="AY102" s="101">
        <v>8</v>
      </c>
      <c r="AZ102" s="102">
        <v>4.5</v>
      </c>
      <c r="BA102" s="103">
        <v>181</v>
      </c>
      <c r="BB102" s="104">
        <v>1.5400323321705097E-2</v>
      </c>
      <c r="BC102" s="105">
        <v>11315</v>
      </c>
      <c r="BD102" s="104">
        <v>0.96273291925465843</v>
      </c>
      <c r="BE102"/>
      <c r="BF102" s="92">
        <v>6</v>
      </c>
      <c r="BG102" s="93">
        <v>40</v>
      </c>
      <c r="BH102" s="98">
        <v>8</v>
      </c>
      <c r="BI102" s="94">
        <v>6.77</v>
      </c>
      <c r="BJ102" s="95">
        <v>79</v>
      </c>
      <c r="BK102" s="96">
        <v>2.0838828805064626E-2</v>
      </c>
      <c r="BL102" s="97">
        <v>3574</v>
      </c>
      <c r="BM102" s="96">
        <v>0.94275916644684776</v>
      </c>
      <c r="BN102"/>
      <c r="BO102" s="92">
        <v>6</v>
      </c>
      <c r="BP102" s="152">
        <v>40</v>
      </c>
      <c r="BQ102" s="153">
        <v>8</v>
      </c>
      <c r="BR102" s="154">
        <v>6.44</v>
      </c>
      <c r="BS102" s="155">
        <v>209</v>
      </c>
      <c r="BT102" s="161">
        <v>4.9222797927461141E-2</v>
      </c>
      <c r="BU102" s="162">
        <v>4077</v>
      </c>
      <c r="BV102" s="161">
        <v>0.9601978332548281</v>
      </c>
      <c r="BW102"/>
      <c r="BX102" s="92">
        <v>6</v>
      </c>
      <c r="BY102" s="144">
        <v>32</v>
      </c>
      <c r="BZ102" s="146">
        <v>9</v>
      </c>
      <c r="CA102" s="148">
        <v>1.21</v>
      </c>
      <c r="CB102" s="150">
        <v>63</v>
      </c>
      <c r="CC102" s="157">
        <v>1.0854583046175051E-2</v>
      </c>
      <c r="CD102" s="159">
        <v>5765</v>
      </c>
      <c r="CE102" s="157">
        <v>0.99328049620951064</v>
      </c>
      <c r="CF102"/>
      <c r="CG102" s="92">
        <v>6</v>
      </c>
      <c r="CH102" s="93">
        <v>42</v>
      </c>
      <c r="CI102" s="98">
        <v>7</v>
      </c>
      <c r="CJ102" s="94">
        <v>12.45</v>
      </c>
      <c r="CK102" s="95">
        <v>142</v>
      </c>
      <c r="CL102" s="96">
        <v>2.7032172092137825E-2</v>
      </c>
      <c r="CM102" s="97">
        <v>4670</v>
      </c>
      <c r="CN102" s="96">
        <v>0.88901580049495521</v>
      </c>
      <c r="CO102"/>
      <c r="CP102"/>
      <c r="CQ102"/>
      <c r="CR102"/>
      <c r="CS102"/>
      <c r="CT102"/>
      <c r="CU102"/>
      <c r="CV102"/>
      <c r="CW102"/>
      <c r="CX102"/>
      <c r="CY102"/>
    </row>
    <row r="103" spans="1:103" ht="16" customHeight="1" x14ac:dyDescent="0.2">
      <c r="A103"/>
      <c r="B103"/>
      <c r="C103"/>
      <c r="D103"/>
      <c r="E103"/>
      <c r="F103" s="87">
        <v>28</v>
      </c>
      <c r="G103" s="69">
        <v>3</v>
      </c>
      <c r="H103" s="36"/>
      <c r="I103" s="86">
        <v>16</v>
      </c>
      <c r="J103" s="85">
        <v>3</v>
      </c>
      <c r="K103" s="70"/>
      <c r="L103" s="70"/>
      <c r="M103" s="70"/>
      <c r="N103"/>
      <c r="O103"/>
      <c r="P103"/>
      <c r="Q103"/>
      <c r="R103"/>
      <c r="S103"/>
      <c r="T103"/>
      <c r="U103"/>
      <c r="V103" s="28"/>
      <c r="W103"/>
      <c r="X103"/>
      <c r="Y103"/>
      <c r="Z103"/>
      <c r="AA103"/>
      <c r="AB103"/>
      <c r="AC103"/>
      <c r="AD103"/>
      <c r="AE103" s="92">
        <v>5</v>
      </c>
      <c r="AF103" s="93">
        <v>35</v>
      </c>
      <c r="AG103" s="98">
        <v>9</v>
      </c>
      <c r="AH103" s="94">
        <v>2.14</v>
      </c>
      <c r="AI103" s="95">
        <v>212</v>
      </c>
      <c r="AJ103" s="96">
        <v>1.1082070047046524E-2</v>
      </c>
      <c r="AK103" s="97">
        <v>18827</v>
      </c>
      <c r="AL103" s="96">
        <v>0.98416100365917403</v>
      </c>
      <c r="AM103"/>
      <c r="AN103" s="92">
        <v>5</v>
      </c>
      <c r="AO103" s="93">
        <v>36</v>
      </c>
      <c r="AP103" s="98">
        <v>9</v>
      </c>
      <c r="AQ103" s="94">
        <v>2.74</v>
      </c>
      <c r="AR103" s="95">
        <v>182</v>
      </c>
      <c r="AS103" s="96">
        <v>1.2739745205095899E-2</v>
      </c>
      <c r="AT103" s="97">
        <v>13986</v>
      </c>
      <c r="AU103" s="96">
        <v>0.97900041999160015</v>
      </c>
      <c r="AV103"/>
      <c r="AW103" s="92">
        <v>5</v>
      </c>
      <c r="AX103" s="93">
        <v>37</v>
      </c>
      <c r="AY103" s="98">
        <v>9</v>
      </c>
      <c r="AZ103" s="94">
        <v>2.98</v>
      </c>
      <c r="BA103" s="95">
        <v>176</v>
      </c>
      <c r="BB103" s="96">
        <v>1.4974900025525397E-2</v>
      </c>
      <c r="BC103" s="97">
        <v>11491</v>
      </c>
      <c r="BD103" s="96">
        <v>0.9777078192801838</v>
      </c>
      <c r="BE103"/>
      <c r="BF103" s="99">
        <v>5</v>
      </c>
      <c r="BG103" s="100">
        <v>39</v>
      </c>
      <c r="BH103" s="101">
        <v>8</v>
      </c>
      <c r="BI103" s="102">
        <v>4.5199999999999996</v>
      </c>
      <c r="BJ103" s="103">
        <v>91</v>
      </c>
      <c r="BK103" s="104">
        <v>2.4004220522289635E-2</v>
      </c>
      <c r="BL103" s="105">
        <v>3665</v>
      </c>
      <c r="BM103" s="104">
        <v>0.96676338696913744</v>
      </c>
      <c r="BN103"/>
      <c r="BO103" s="99">
        <v>5</v>
      </c>
      <c r="BP103" s="145"/>
      <c r="BQ103" s="147"/>
      <c r="BR103" s="149"/>
      <c r="BS103" s="151"/>
      <c r="BT103" s="158"/>
      <c r="BU103" s="160"/>
      <c r="BV103" s="158"/>
      <c r="BW103"/>
      <c r="BX103" s="92">
        <v>5</v>
      </c>
      <c r="BY103" s="145"/>
      <c r="BZ103" s="147"/>
      <c r="CA103" s="149"/>
      <c r="CB103" s="151"/>
      <c r="CC103" s="158"/>
      <c r="CD103" s="160"/>
      <c r="CE103" s="158"/>
      <c r="CF103"/>
      <c r="CG103" s="99">
        <v>5</v>
      </c>
      <c r="CH103" s="100">
        <v>41</v>
      </c>
      <c r="CI103" s="101">
        <v>7</v>
      </c>
      <c r="CJ103" s="102">
        <v>8.32</v>
      </c>
      <c r="CK103" s="103">
        <v>292</v>
      </c>
      <c r="CL103" s="104">
        <v>5.5587283457072152E-2</v>
      </c>
      <c r="CM103" s="105">
        <v>4962</v>
      </c>
      <c r="CN103" s="104">
        <v>0.94460308395202741</v>
      </c>
      <c r="CO103"/>
      <c r="CP103"/>
      <c r="CQ103"/>
      <c r="CR103"/>
      <c r="CS103"/>
      <c r="CT103"/>
      <c r="CU103"/>
      <c r="CV103"/>
      <c r="CW103"/>
      <c r="CX103"/>
      <c r="CY103"/>
    </row>
    <row r="104" spans="1:103" ht="16" customHeight="1" x14ac:dyDescent="0.2">
      <c r="A104"/>
      <c r="B104"/>
      <c r="C104"/>
      <c r="D104"/>
      <c r="E104"/>
      <c r="F104" s="87">
        <v>21</v>
      </c>
      <c r="G104" s="69">
        <v>4</v>
      </c>
      <c r="H104" s="36"/>
      <c r="I104" s="86">
        <v>12</v>
      </c>
      <c r="J104" s="85">
        <v>4</v>
      </c>
      <c r="K104" s="70"/>
      <c r="L104" s="70"/>
      <c r="M104" s="70"/>
      <c r="N104"/>
      <c r="O104"/>
      <c r="P104"/>
      <c r="Q104"/>
      <c r="R104"/>
      <c r="S104"/>
      <c r="T104"/>
      <c r="U104"/>
      <c r="V104" s="28"/>
      <c r="W104"/>
      <c r="X104"/>
      <c r="Y104"/>
      <c r="Z104"/>
      <c r="AA104"/>
      <c r="AB104"/>
      <c r="AC104"/>
      <c r="AD104"/>
      <c r="AE104" s="92">
        <v>4</v>
      </c>
      <c r="AF104" s="93">
        <v>34</v>
      </c>
      <c r="AG104" s="98">
        <v>9</v>
      </c>
      <c r="AH104" s="94">
        <v>1.35</v>
      </c>
      <c r="AI104" s="95">
        <v>91</v>
      </c>
      <c r="AJ104" s="96">
        <v>4.7569262937794043E-3</v>
      </c>
      <c r="AK104" s="97">
        <v>18918</v>
      </c>
      <c r="AL104" s="96">
        <v>0.98891792995295347</v>
      </c>
      <c r="AM104"/>
      <c r="AN104" s="92">
        <v>4</v>
      </c>
      <c r="AO104" s="93">
        <v>35</v>
      </c>
      <c r="AP104" s="98">
        <v>9</v>
      </c>
      <c r="AQ104" s="94">
        <v>1.84</v>
      </c>
      <c r="AR104" s="95">
        <v>73</v>
      </c>
      <c r="AS104" s="96">
        <v>5.1098978020439594E-3</v>
      </c>
      <c r="AT104" s="97">
        <v>14059</v>
      </c>
      <c r="AU104" s="96">
        <v>0.98411031779364411</v>
      </c>
      <c r="AV104"/>
      <c r="AW104" s="92">
        <v>4</v>
      </c>
      <c r="AX104" s="144">
        <v>36</v>
      </c>
      <c r="AY104" s="146">
        <v>9</v>
      </c>
      <c r="AZ104" s="148">
        <v>1.62</v>
      </c>
      <c r="BA104" s="150">
        <v>143</v>
      </c>
      <c r="BB104" s="157">
        <v>1.2167106270739386E-2</v>
      </c>
      <c r="BC104" s="159">
        <v>11634</v>
      </c>
      <c r="BD104" s="157">
        <v>0.98987492555092316</v>
      </c>
      <c r="BE104"/>
      <c r="BF104" s="92">
        <v>4</v>
      </c>
      <c r="BG104" s="93">
        <v>38</v>
      </c>
      <c r="BH104" s="98">
        <v>9</v>
      </c>
      <c r="BI104" s="94">
        <v>2.8</v>
      </c>
      <c r="BJ104" s="95">
        <v>40</v>
      </c>
      <c r="BK104" s="96">
        <v>1.0551305724083356E-2</v>
      </c>
      <c r="BL104" s="97">
        <v>3705</v>
      </c>
      <c r="BM104" s="96">
        <v>0.9773146926932208</v>
      </c>
      <c r="BN104"/>
      <c r="BO104" s="92">
        <v>4</v>
      </c>
      <c r="BP104" s="93">
        <v>39</v>
      </c>
      <c r="BQ104" s="98">
        <v>9</v>
      </c>
      <c r="BR104" s="94">
        <v>3.38</v>
      </c>
      <c r="BS104" s="95">
        <v>51</v>
      </c>
      <c r="BT104" s="96">
        <v>1.2011304757418746E-2</v>
      </c>
      <c r="BU104" s="97">
        <v>4128</v>
      </c>
      <c r="BV104" s="96">
        <v>0.97220913801224684</v>
      </c>
      <c r="BW104"/>
      <c r="BX104" s="92">
        <v>4</v>
      </c>
      <c r="BY104" s="93">
        <v>31</v>
      </c>
      <c r="BZ104" s="98">
        <v>9</v>
      </c>
      <c r="CA104" s="94">
        <v>0.42</v>
      </c>
      <c r="CB104" s="95">
        <v>29</v>
      </c>
      <c r="CC104" s="96">
        <v>4.9965541006202615E-3</v>
      </c>
      <c r="CD104" s="97">
        <v>5794</v>
      </c>
      <c r="CE104" s="96">
        <v>0.99827705031013092</v>
      </c>
      <c r="CF104"/>
      <c r="CG104" s="99">
        <v>4</v>
      </c>
      <c r="CH104" s="100">
        <v>40</v>
      </c>
      <c r="CI104" s="101">
        <v>8</v>
      </c>
      <c r="CJ104" s="102">
        <v>4.71</v>
      </c>
      <c r="CK104" s="103">
        <v>87</v>
      </c>
      <c r="CL104" s="104">
        <v>1.6561964591661909E-2</v>
      </c>
      <c r="CM104" s="105">
        <v>5049</v>
      </c>
      <c r="CN104" s="104">
        <v>0.96116504854368934</v>
      </c>
      <c r="CO104"/>
      <c r="CP104"/>
      <c r="CQ104"/>
      <c r="CR104"/>
      <c r="CS104"/>
      <c r="CT104"/>
      <c r="CU104"/>
      <c r="CV104"/>
      <c r="CW104"/>
      <c r="CX104"/>
      <c r="CY104"/>
    </row>
    <row r="105" spans="1:103" ht="16" customHeight="1" x14ac:dyDescent="0.2">
      <c r="A105"/>
      <c r="B105"/>
      <c r="C105"/>
      <c r="D105"/>
      <c r="E105"/>
      <c r="F105" s="87">
        <v>16</v>
      </c>
      <c r="G105" s="69">
        <v>5</v>
      </c>
      <c r="H105" s="36"/>
      <c r="I105" s="86">
        <v>10</v>
      </c>
      <c r="J105" s="85">
        <v>5</v>
      </c>
      <c r="K105" s="70"/>
      <c r="L105" s="70"/>
      <c r="M105" s="70"/>
      <c r="N105"/>
      <c r="O105"/>
      <c r="P105"/>
      <c r="Q105"/>
      <c r="R105"/>
      <c r="S105"/>
      <c r="T105"/>
      <c r="U105"/>
      <c r="V105" s="28"/>
      <c r="W105"/>
      <c r="X105"/>
      <c r="Y105"/>
      <c r="Z105"/>
      <c r="AA105"/>
      <c r="AB105"/>
      <c r="AC105"/>
      <c r="AD105"/>
      <c r="AE105" s="92">
        <v>3</v>
      </c>
      <c r="AF105" s="144">
        <v>33</v>
      </c>
      <c r="AG105" s="146">
        <v>9</v>
      </c>
      <c r="AH105" s="148">
        <v>0.76</v>
      </c>
      <c r="AI105" s="150">
        <v>134</v>
      </c>
      <c r="AJ105" s="157">
        <v>7.0047046523784634E-3</v>
      </c>
      <c r="AK105" s="159">
        <v>19052</v>
      </c>
      <c r="AL105" s="157">
        <v>0.99592263460533192</v>
      </c>
      <c r="AM105"/>
      <c r="AN105" s="92">
        <v>3</v>
      </c>
      <c r="AO105" s="144">
        <v>34</v>
      </c>
      <c r="AP105" s="146">
        <v>9</v>
      </c>
      <c r="AQ105" s="148">
        <v>1.02</v>
      </c>
      <c r="AR105" s="150">
        <v>162</v>
      </c>
      <c r="AS105" s="157">
        <v>1.133977320453591E-2</v>
      </c>
      <c r="AT105" s="159">
        <v>14221</v>
      </c>
      <c r="AU105" s="157">
        <v>0.99545009099818005</v>
      </c>
      <c r="AV105"/>
      <c r="AW105" s="92">
        <v>3</v>
      </c>
      <c r="AX105" s="145"/>
      <c r="AY105" s="147"/>
      <c r="AZ105" s="149"/>
      <c r="BA105" s="151"/>
      <c r="BB105" s="158"/>
      <c r="BC105" s="160"/>
      <c r="BD105" s="158"/>
      <c r="BE105"/>
      <c r="BF105" s="92">
        <v>3</v>
      </c>
      <c r="BG105" s="93">
        <v>37</v>
      </c>
      <c r="BH105" s="98">
        <v>9</v>
      </c>
      <c r="BI105" s="94">
        <v>1.91</v>
      </c>
      <c r="BJ105" s="95">
        <v>27</v>
      </c>
      <c r="BK105" s="96">
        <v>7.122131363756265E-3</v>
      </c>
      <c r="BL105" s="97">
        <v>3732</v>
      </c>
      <c r="BM105" s="96">
        <v>0.98443682405697708</v>
      </c>
      <c r="BN105"/>
      <c r="BO105" s="92">
        <v>3</v>
      </c>
      <c r="BP105" s="93">
        <v>38</v>
      </c>
      <c r="BQ105" s="98">
        <v>9</v>
      </c>
      <c r="BR105" s="94">
        <v>2.25</v>
      </c>
      <c r="BS105" s="95">
        <v>45</v>
      </c>
      <c r="BT105" s="96">
        <v>1.0598210080075365E-2</v>
      </c>
      <c r="BU105" s="97">
        <v>4173</v>
      </c>
      <c r="BV105" s="96">
        <v>0.98280734809232217</v>
      </c>
      <c r="BW105"/>
      <c r="BX105" s="92">
        <v>3</v>
      </c>
      <c r="BY105" s="108">
        <v>30</v>
      </c>
      <c r="BZ105" s="114">
        <v>9</v>
      </c>
      <c r="CA105" s="110">
        <v>0.17</v>
      </c>
      <c r="CB105" s="111">
        <v>0</v>
      </c>
      <c r="CC105" s="112">
        <v>0</v>
      </c>
      <c r="CD105" s="113">
        <v>5794</v>
      </c>
      <c r="CE105" s="112">
        <v>0.99827705031013092</v>
      </c>
      <c r="CF105"/>
      <c r="CG105" s="92">
        <v>3</v>
      </c>
      <c r="CH105" s="93">
        <v>39</v>
      </c>
      <c r="CI105" s="98">
        <v>9</v>
      </c>
      <c r="CJ105" s="94">
        <v>3.07</v>
      </c>
      <c r="CK105" s="95">
        <v>85</v>
      </c>
      <c r="CL105" s="96">
        <v>1.6181229773462782E-2</v>
      </c>
      <c r="CM105" s="97">
        <v>5134</v>
      </c>
      <c r="CN105" s="96">
        <v>0.97734627831715215</v>
      </c>
      <c r="CO105"/>
      <c r="CP105"/>
      <c r="CQ105"/>
      <c r="CR105"/>
      <c r="CS105"/>
      <c r="CT105"/>
      <c r="CU105"/>
      <c r="CV105"/>
      <c r="CW105"/>
      <c r="CX105"/>
      <c r="CY105"/>
    </row>
    <row r="106" spans="1:103" ht="16" customHeight="1" x14ac:dyDescent="0.2">
      <c r="A106"/>
      <c r="B106"/>
      <c r="C106"/>
      <c r="D106"/>
      <c r="E106"/>
      <c r="F106" s="87">
        <v>12</v>
      </c>
      <c r="G106" s="69">
        <v>6</v>
      </c>
      <c r="H106" s="36"/>
      <c r="I106" s="86">
        <v>8</v>
      </c>
      <c r="J106" s="85">
        <v>6</v>
      </c>
      <c r="K106" s="70"/>
      <c r="L106" s="70"/>
      <c r="M106" s="70"/>
      <c r="N106"/>
      <c r="O106"/>
      <c r="P106"/>
      <c r="Q106"/>
      <c r="R106"/>
      <c r="S106"/>
      <c r="T106"/>
      <c r="U106"/>
      <c r="V106" s="28"/>
      <c r="W106"/>
      <c r="X106"/>
      <c r="Y106"/>
      <c r="Z106"/>
      <c r="AA106"/>
      <c r="AB106"/>
      <c r="AC106"/>
      <c r="AD106"/>
      <c r="AE106" s="92">
        <v>2</v>
      </c>
      <c r="AF106" s="145"/>
      <c r="AG106" s="147"/>
      <c r="AH106" s="149"/>
      <c r="AI106" s="151"/>
      <c r="AJ106" s="158"/>
      <c r="AK106" s="160"/>
      <c r="AL106" s="158"/>
      <c r="AM106"/>
      <c r="AN106" s="92">
        <v>2</v>
      </c>
      <c r="AO106" s="145"/>
      <c r="AP106" s="147"/>
      <c r="AQ106" s="149"/>
      <c r="AR106" s="151"/>
      <c r="AS106" s="158"/>
      <c r="AT106" s="160"/>
      <c r="AU106" s="158"/>
      <c r="AV106"/>
      <c r="AW106" s="92">
        <v>2</v>
      </c>
      <c r="AX106" s="93">
        <v>35</v>
      </c>
      <c r="AY106" s="98">
        <v>9</v>
      </c>
      <c r="AZ106" s="94">
        <v>0.75</v>
      </c>
      <c r="BA106" s="95">
        <v>62</v>
      </c>
      <c r="BB106" s="96">
        <v>5.2752488726282654E-3</v>
      </c>
      <c r="BC106" s="97">
        <v>11696</v>
      </c>
      <c r="BD106" s="96">
        <v>0.99515017442355147</v>
      </c>
      <c r="BE106"/>
      <c r="BF106" s="92">
        <v>2</v>
      </c>
      <c r="BG106" s="93">
        <v>36</v>
      </c>
      <c r="BH106" s="98">
        <v>9</v>
      </c>
      <c r="BI106" s="94">
        <v>1.24</v>
      </c>
      <c r="BJ106" s="95">
        <v>24</v>
      </c>
      <c r="BK106" s="96">
        <v>6.3307834344500128E-3</v>
      </c>
      <c r="BL106" s="97">
        <v>3756</v>
      </c>
      <c r="BM106" s="96">
        <v>0.99076760749142712</v>
      </c>
      <c r="BN106"/>
      <c r="BO106" s="92">
        <v>2</v>
      </c>
      <c r="BP106" s="93">
        <v>37</v>
      </c>
      <c r="BQ106" s="98">
        <v>9</v>
      </c>
      <c r="BR106" s="94">
        <v>1.22</v>
      </c>
      <c r="BS106" s="95">
        <v>42</v>
      </c>
      <c r="BT106" s="96">
        <v>9.8916627414036735E-3</v>
      </c>
      <c r="BU106" s="97">
        <v>4215</v>
      </c>
      <c r="BV106" s="96">
        <v>0.99269901083372591</v>
      </c>
      <c r="BW106"/>
      <c r="BX106" s="99">
        <v>2</v>
      </c>
      <c r="BY106" s="100">
        <v>29</v>
      </c>
      <c r="BZ106" s="101">
        <v>9</v>
      </c>
      <c r="CA106" s="102">
        <v>0.09</v>
      </c>
      <c r="CB106" s="103">
        <v>10</v>
      </c>
      <c r="CC106" s="104">
        <v>1.7229496898690559E-3</v>
      </c>
      <c r="CD106" s="105">
        <v>5804</v>
      </c>
      <c r="CE106" s="106">
        <v>1</v>
      </c>
      <c r="CF106"/>
      <c r="CG106" s="92">
        <v>2</v>
      </c>
      <c r="CH106" s="93">
        <v>38</v>
      </c>
      <c r="CI106" s="98">
        <v>9</v>
      </c>
      <c r="CJ106" s="94">
        <v>1.61</v>
      </c>
      <c r="CK106" s="95">
        <v>69</v>
      </c>
      <c r="CL106" s="96">
        <v>1.3135351227869789E-2</v>
      </c>
      <c r="CM106" s="97">
        <v>5203</v>
      </c>
      <c r="CN106" s="96">
        <v>0.99048162954502195</v>
      </c>
      <c r="CO106"/>
      <c r="CP106"/>
      <c r="CQ106"/>
      <c r="CR106"/>
      <c r="CS106"/>
      <c r="CT106"/>
      <c r="CU106"/>
      <c r="CV106"/>
      <c r="CW106"/>
      <c r="CX106"/>
      <c r="CY106"/>
    </row>
    <row r="107" spans="1:103" ht="16" customHeight="1" x14ac:dyDescent="0.2">
      <c r="A107"/>
      <c r="B107"/>
      <c r="C107"/>
      <c r="D107"/>
      <c r="E107"/>
      <c r="F107" s="87">
        <v>9</v>
      </c>
      <c r="G107" s="69">
        <v>7</v>
      </c>
      <c r="H107" s="36"/>
      <c r="I107" s="86">
        <v>5</v>
      </c>
      <c r="J107" s="85">
        <v>7</v>
      </c>
      <c r="K107" s="70"/>
      <c r="L107" s="70"/>
      <c r="M107" s="70"/>
      <c r="N107"/>
      <c r="O107"/>
      <c r="P107"/>
      <c r="Q107"/>
      <c r="R107"/>
      <c r="S107"/>
      <c r="T107"/>
      <c r="U107"/>
      <c r="V107" s="28"/>
      <c r="W107"/>
      <c r="X107"/>
      <c r="Y107"/>
      <c r="Z107"/>
      <c r="AA107"/>
      <c r="AB107"/>
      <c r="AC107"/>
      <c r="AD107"/>
      <c r="AE107" s="99">
        <v>0</v>
      </c>
      <c r="AF107" s="100">
        <v>31</v>
      </c>
      <c r="AG107" s="101">
        <v>9</v>
      </c>
      <c r="AH107" s="102">
        <v>0.2</v>
      </c>
      <c r="AI107" s="103">
        <v>78</v>
      </c>
      <c r="AJ107" s="104">
        <v>4.0773653946680607E-3</v>
      </c>
      <c r="AK107" s="105">
        <v>19130</v>
      </c>
      <c r="AL107" s="106">
        <v>1</v>
      </c>
      <c r="AM107"/>
      <c r="AN107" s="99">
        <v>0</v>
      </c>
      <c r="AO107" s="100">
        <v>32</v>
      </c>
      <c r="AP107" s="101">
        <v>9</v>
      </c>
      <c r="AQ107" s="102">
        <v>0.23</v>
      </c>
      <c r="AR107" s="103">
        <v>65</v>
      </c>
      <c r="AS107" s="104">
        <v>4.5499090018199639E-3</v>
      </c>
      <c r="AT107" s="105">
        <v>14286</v>
      </c>
      <c r="AU107" s="106">
        <v>1</v>
      </c>
      <c r="AV107"/>
      <c r="AW107" s="99">
        <v>0</v>
      </c>
      <c r="AX107" s="100">
        <v>33</v>
      </c>
      <c r="AY107" s="101">
        <v>9</v>
      </c>
      <c r="AZ107" s="102">
        <v>0.24</v>
      </c>
      <c r="BA107" s="103">
        <v>57</v>
      </c>
      <c r="BB107" s="104">
        <v>4.8498255764485663E-3</v>
      </c>
      <c r="BC107" s="105">
        <v>11753</v>
      </c>
      <c r="BD107" s="106">
        <v>1</v>
      </c>
      <c r="BE107"/>
      <c r="BF107" s="99">
        <v>0</v>
      </c>
      <c r="BG107" s="100">
        <v>34</v>
      </c>
      <c r="BH107" s="101">
        <v>9</v>
      </c>
      <c r="BI107" s="102">
        <v>0.46</v>
      </c>
      <c r="BJ107" s="107">
        <v>35</v>
      </c>
      <c r="BK107" s="104">
        <v>9.2323925085729362E-3</v>
      </c>
      <c r="BL107" s="105">
        <v>3791</v>
      </c>
      <c r="BM107" s="106">
        <v>1</v>
      </c>
      <c r="BN107"/>
      <c r="BO107" s="99">
        <v>0</v>
      </c>
      <c r="BP107" s="100">
        <v>35</v>
      </c>
      <c r="BQ107" s="101">
        <v>9</v>
      </c>
      <c r="BR107" s="102">
        <v>0.37</v>
      </c>
      <c r="BS107" s="103">
        <v>31</v>
      </c>
      <c r="BT107" s="104">
        <v>7.3009891662741402E-3</v>
      </c>
      <c r="BU107" s="105">
        <v>4246</v>
      </c>
      <c r="BV107" s="106">
        <v>1</v>
      </c>
      <c r="BW107"/>
      <c r="BX107" s="92">
        <v>0</v>
      </c>
      <c r="BY107" s="108">
        <v>27</v>
      </c>
      <c r="BZ107" s="114">
        <v>9</v>
      </c>
      <c r="CA107" s="110">
        <v>0</v>
      </c>
      <c r="CB107" s="111">
        <v>0</v>
      </c>
      <c r="CC107" s="112">
        <v>0</v>
      </c>
      <c r="CD107" s="113">
        <v>5804</v>
      </c>
      <c r="CE107" s="115">
        <v>1</v>
      </c>
      <c r="CF107"/>
      <c r="CG107" s="99">
        <v>0</v>
      </c>
      <c r="CH107" s="100">
        <v>36</v>
      </c>
      <c r="CI107" s="101">
        <v>9</v>
      </c>
      <c r="CJ107" s="102">
        <v>0.48</v>
      </c>
      <c r="CK107" s="103">
        <v>50</v>
      </c>
      <c r="CL107" s="104">
        <v>9.5183704549781072E-3</v>
      </c>
      <c r="CM107" s="105">
        <v>5253</v>
      </c>
      <c r="CN107" s="106">
        <v>1</v>
      </c>
      <c r="CO107"/>
      <c r="CP107"/>
      <c r="CQ107"/>
      <c r="CR107"/>
      <c r="CS107"/>
      <c r="CT107"/>
      <c r="CU107"/>
      <c r="CV107"/>
      <c r="CW107"/>
      <c r="CX107"/>
      <c r="CY107"/>
    </row>
    <row r="108" spans="1:103" ht="16" customHeight="1" x14ac:dyDescent="0.2">
      <c r="A108"/>
      <c r="B108"/>
      <c r="C108"/>
      <c r="D108"/>
      <c r="E108"/>
      <c r="F108" s="87">
        <v>7</v>
      </c>
      <c r="G108" s="69">
        <v>8</v>
      </c>
      <c r="H108" s="36"/>
      <c r="I108" s="86">
        <v>4</v>
      </c>
      <c r="J108" s="85">
        <v>8</v>
      </c>
      <c r="K108" s="70"/>
      <c r="L108" s="70"/>
      <c r="M108" s="70"/>
      <c r="N108"/>
      <c r="O108"/>
      <c r="P108"/>
      <c r="Q108"/>
      <c r="R108"/>
      <c r="S108"/>
      <c r="T108"/>
      <c r="U108"/>
      <c r="V108" s="2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</row>
    <row r="109" spans="1:103" ht="16" customHeight="1" x14ac:dyDescent="0.2">
      <c r="A109"/>
      <c r="B109"/>
      <c r="C109"/>
      <c r="D109"/>
      <c r="E109"/>
      <c r="F109" s="87">
        <v>0</v>
      </c>
      <c r="G109" s="69">
        <v>9</v>
      </c>
      <c r="H109" s="36"/>
      <c r="I109" s="86">
        <v>0</v>
      </c>
      <c r="J109" s="85">
        <v>9</v>
      </c>
      <c r="K109" s="70"/>
      <c r="L109" s="70"/>
      <c r="M109" s="70"/>
      <c r="N109"/>
      <c r="O109"/>
      <c r="P109"/>
      <c r="Q109"/>
      <c r="R109"/>
      <c r="S109"/>
      <c r="T109"/>
      <c r="U109"/>
      <c r="V109" s="28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</row>
    <row r="110" spans="1:103" ht="16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 s="28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</row>
    <row r="111" spans="1:103" ht="16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 s="28"/>
      <c r="W111"/>
      <c r="X111"/>
      <c r="Y111"/>
      <c r="Z111"/>
      <c r="AA111"/>
      <c r="AB111"/>
      <c r="AC111"/>
      <c r="AD111"/>
      <c r="AE111" s="156" t="s">
        <v>24</v>
      </c>
      <c r="AF111" s="156"/>
      <c r="AG111" s="88" t="s">
        <v>2</v>
      </c>
      <c r="AH111" s="89">
        <v>20.503864360931299</v>
      </c>
      <c r="AI111" s="88" t="s">
        <v>3</v>
      </c>
      <c r="AJ111" s="89">
        <v>11.159303500900499</v>
      </c>
      <c r="AK111" s="88" t="s">
        <v>34</v>
      </c>
      <c r="AL111" s="90">
        <v>20702</v>
      </c>
      <c r="AM111"/>
      <c r="AN111" s="156" t="s">
        <v>25</v>
      </c>
      <c r="AO111" s="156"/>
      <c r="AP111" s="88" t="s">
        <v>2</v>
      </c>
      <c r="AQ111" s="89">
        <v>18.473209141540199</v>
      </c>
      <c r="AR111" s="88" t="s">
        <v>3</v>
      </c>
      <c r="AS111" s="89">
        <v>10.373160591814599</v>
      </c>
      <c r="AT111" s="88" t="s">
        <v>34</v>
      </c>
      <c r="AU111" s="90">
        <v>5207</v>
      </c>
      <c r="AV111"/>
      <c r="AW111" s="156" t="s">
        <v>26</v>
      </c>
      <c r="AX111" s="156"/>
      <c r="AY111" s="88" t="s">
        <v>2</v>
      </c>
      <c r="AZ111" s="89">
        <v>23.502556990552101</v>
      </c>
      <c r="BA111" s="88" t="s">
        <v>3</v>
      </c>
      <c r="BB111" s="89">
        <v>11.945434886536299</v>
      </c>
      <c r="BC111" s="88" t="s">
        <v>34</v>
      </c>
      <c r="BD111" s="90">
        <v>92296</v>
      </c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</row>
    <row r="112" spans="1:103" ht="16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 s="28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</row>
    <row r="113" spans="1:103" ht="16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 s="28"/>
      <c r="W113"/>
      <c r="X113"/>
      <c r="Y113"/>
      <c r="Z113"/>
      <c r="AA113"/>
      <c r="AB113"/>
      <c r="AC113"/>
      <c r="AD113"/>
      <c r="AE113" s="91" t="s">
        <v>30</v>
      </c>
      <c r="AF113" s="81" t="s">
        <v>13</v>
      </c>
      <c r="AG113" s="81" t="s">
        <v>14</v>
      </c>
      <c r="AH113" s="81" t="s">
        <v>15</v>
      </c>
      <c r="AI113" s="81" t="s">
        <v>16</v>
      </c>
      <c r="AJ113" s="81" t="s">
        <v>17</v>
      </c>
      <c r="AK113" s="81" t="s">
        <v>18</v>
      </c>
      <c r="AL113" s="81" t="s">
        <v>19</v>
      </c>
      <c r="AM113"/>
      <c r="AN113" s="91" t="s">
        <v>30</v>
      </c>
      <c r="AO113" s="81" t="s">
        <v>13</v>
      </c>
      <c r="AP113" s="81" t="s">
        <v>14</v>
      </c>
      <c r="AQ113" s="81" t="s">
        <v>15</v>
      </c>
      <c r="AR113" s="81" t="s">
        <v>16</v>
      </c>
      <c r="AS113" s="81" t="s">
        <v>17</v>
      </c>
      <c r="AT113" s="81" t="s">
        <v>18</v>
      </c>
      <c r="AU113" s="81" t="s">
        <v>19</v>
      </c>
      <c r="AV113"/>
      <c r="AW113" s="91" t="s">
        <v>30</v>
      </c>
      <c r="AX113" s="81" t="s">
        <v>13</v>
      </c>
      <c r="AY113" s="81" t="s">
        <v>14</v>
      </c>
      <c r="AZ113" s="81" t="s">
        <v>15</v>
      </c>
      <c r="BA113" s="81" t="s">
        <v>16</v>
      </c>
      <c r="BB113" s="81" t="s">
        <v>17</v>
      </c>
      <c r="BC113" s="81" t="s">
        <v>18</v>
      </c>
      <c r="BD113" s="81" t="s">
        <v>19</v>
      </c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</row>
    <row r="114" spans="1:103" ht="16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 s="28"/>
      <c r="W114"/>
      <c r="X114"/>
      <c r="Y114"/>
      <c r="Z114"/>
      <c r="AA114"/>
      <c r="AB114"/>
      <c r="AC114"/>
      <c r="AD114"/>
      <c r="AE114" s="92">
        <v>50</v>
      </c>
      <c r="AF114" s="93">
        <v>76</v>
      </c>
      <c r="AG114" s="92">
        <v>1</v>
      </c>
      <c r="AH114" s="94">
        <v>99.73</v>
      </c>
      <c r="AI114" s="95">
        <v>113</v>
      </c>
      <c r="AJ114" s="96">
        <v>5.4584098154767651E-3</v>
      </c>
      <c r="AK114" s="97">
        <v>113</v>
      </c>
      <c r="AL114" s="96">
        <v>5.4584098154767651E-3</v>
      </c>
      <c r="AM114"/>
      <c r="AN114" s="92">
        <v>50</v>
      </c>
      <c r="AO114" s="93">
        <v>80</v>
      </c>
      <c r="AP114" s="92">
        <v>1</v>
      </c>
      <c r="AQ114" s="94">
        <v>99.5</v>
      </c>
      <c r="AR114" s="95">
        <v>52</v>
      </c>
      <c r="AS114" s="96">
        <v>9.9865565584789703E-3</v>
      </c>
      <c r="AT114" s="97">
        <v>52</v>
      </c>
      <c r="AU114" s="96">
        <v>9.9865565584789703E-3</v>
      </c>
      <c r="AV114"/>
      <c r="AW114" s="92">
        <v>50</v>
      </c>
      <c r="AX114" s="93">
        <v>72</v>
      </c>
      <c r="AY114" s="92">
        <v>1</v>
      </c>
      <c r="AZ114" s="94">
        <v>99.47</v>
      </c>
      <c r="BA114" s="95">
        <v>987</v>
      </c>
      <c r="BB114" s="96">
        <v>1.0693854554910289E-2</v>
      </c>
      <c r="BC114" s="97">
        <v>987</v>
      </c>
      <c r="BD114" s="96">
        <v>1.0693854554910289E-2</v>
      </c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</row>
    <row r="115" spans="1:103" ht="16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 s="28"/>
      <c r="W115"/>
      <c r="X115"/>
      <c r="Y115"/>
      <c r="Z115"/>
      <c r="AA115"/>
      <c r="AB115"/>
      <c r="AC115"/>
      <c r="AD115"/>
      <c r="AE115" s="92">
        <v>48</v>
      </c>
      <c r="AF115" s="93">
        <v>75</v>
      </c>
      <c r="AG115" s="98">
        <v>1</v>
      </c>
      <c r="AH115" s="94">
        <v>99.25</v>
      </c>
      <c r="AI115" s="95">
        <v>86</v>
      </c>
      <c r="AJ115" s="96">
        <v>4.1541880011593084E-3</v>
      </c>
      <c r="AK115" s="97">
        <v>199</v>
      </c>
      <c r="AL115" s="96">
        <v>9.6125978166360735E-3</v>
      </c>
      <c r="AM115"/>
      <c r="AN115" s="92">
        <v>48</v>
      </c>
      <c r="AO115" s="144">
        <v>78</v>
      </c>
      <c r="AP115" s="146">
        <v>1</v>
      </c>
      <c r="AQ115" s="148">
        <v>98.55</v>
      </c>
      <c r="AR115" s="150">
        <v>47</v>
      </c>
      <c r="AS115" s="157">
        <v>9.0263107355483003E-3</v>
      </c>
      <c r="AT115" s="159">
        <v>99</v>
      </c>
      <c r="AU115" s="157">
        <v>1.9012867294027271E-2</v>
      </c>
      <c r="AV115"/>
      <c r="AW115" s="92">
        <v>48</v>
      </c>
      <c r="AX115" s="93">
        <v>71</v>
      </c>
      <c r="AY115" s="98">
        <v>1</v>
      </c>
      <c r="AZ115" s="94">
        <v>98.51</v>
      </c>
      <c r="BA115" s="95">
        <v>773</v>
      </c>
      <c r="BB115" s="96">
        <v>8.3752275288203164E-3</v>
      </c>
      <c r="BC115" s="97">
        <v>1760</v>
      </c>
      <c r="BD115" s="96">
        <v>1.9069082083730607E-2</v>
      </c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</row>
    <row r="116" spans="1:103" ht="16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 s="28"/>
      <c r="W116"/>
      <c r="X116"/>
      <c r="Y116"/>
      <c r="Z116"/>
      <c r="AA116"/>
      <c r="AB116"/>
      <c r="AC116"/>
      <c r="AD116"/>
      <c r="AE116" s="92">
        <v>47</v>
      </c>
      <c r="AF116" s="93">
        <v>74</v>
      </c>
      <c r="AG116" s="98">
        <v>1</v>
      </c>
      <c r="AH116" s="94">
        <v>98.52</v>
      </c>
      <c r="AI116" s="95">
        <v>215</v>
      </c>
      <c r="AJ116" s="96">
        <v>1.0385470002898271E-2</v>
      </c>
      <c r="AK116" s="97">
        <v>414</v>
      </c>
      <c r="AL116" s="96">
        <v>1.9998067819534344E-2</v>
      </c>
      <c r="AM116"/>
      <c r="AN116" s="92">
        <v>47</v>
      </c>
      <c r="AO116" s="145"/>
      <c r="AP116" s="147"/>
      <c r="AQ116" s="149"/>
      <c r="AR116" s="151"/>
      <c r="AS116" s="158"/>
      <c r="AT116" s="160"/>
      <c r="AU116" s="158"/>
      <c r="AV116"/>
      <c r="AW116" s="92">
        <v>47</v>
      </c>
      <c r="AX116" s="93">
        <v>70</v>
      </c>
      <c r="AY116" s="98">
        <v>1</v>
      </c>
      <c r="AZ116" s="94">
        <v>97.29</v>
      </c>
      <c r="BA116" s="95">
        <v>1483</v>
      </c>
      <c r="BB116" s="96">
        <v>1.6067868596688913E-2</v>
      </c>
      <c r="BC116" s="97">
        <v>3243</v>
      </c>
      <c r="BD116" s="96">
        <v>3.5136950680419519E-2</v>
      </c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</row>
    <row r="117" spans="1:103" ht="16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 s="28"/>
      <c r="W117"/>
      <c r="X117"/>
      <c r="Y117"/>
      <c r="Z117"/>
      <c r="AA117"/>
      <c r="AB117"/>
      <c r="AC117"/>
      <c r="AD117"/>
      <c r="AE117" s="92">
        <v>46</v>
      </c>
      <c r="AF117" s="93">
        <v>73</v>
      </c>
      <c r="AG117" s="98">
        <v>1</v>
      </c>
      <c r="AH117" s="94">
        <v>97.88</v>
      </c>
      <c r="AI117" s="95">
        <v>50</v>
      </c>
      <c r="AJ117" s="96">
        <v>2.4152255820693654E-3</v>
      </c>
      <c r="AK117" s="97">
        <v>464</v>
      </c>
      <c r="AL117" s="96">
        <v>2.2413293401603709E-2</v>
      </c>
      <c r="AM117"/>
      <c r="AN117" s="92">
        <v>46</v>
      </c>
      <c r="AO117" s="93">
        <v>77</v>
      </c>
      <c r="AP117" s="98">
        <v>1</v>
      </c>
      <c r="AQ117" s="94">
        <v>98.02</v>
      </c>
      <c r="AR117" s="95">
        <v>8</v>
      </c>
      <c r="AS117" s="96">
        <v>1.5363933166890724E-3</v>
      </c>
      <c r="AT117" s="97">
        <v>107</v>
      </c>
      <c r="AU117" s="96">
        <v>2.0549260610716342E-2</v>
      </c>
      <c r="AV117"/>
      <c r="AW117" s="92">
        <v>46</v>
      </c>
      <c r="AX117" s="93">
        <v>69</v>
      </c>
      <c r="AY117" s="98">
        <v>1</v>
      </c>
      <c r="AZ117" s="94">
        <v>96.28</v>
      </c>
      <c r="BA117" s="95">
        <v>377</v>
      </c>
      <c r="BB117" s="96">
        <v>4.0846840599809307E-3</v>
      </c>
      <c r="BC117" s="97">
        <v>3620</v>
      </c>
      <c r="BD117" s="96">
        <v>3.9221634740400448E-2</v>
      </c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</row>
    <row r="118" spans="1:103" ht="16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 s="28"/>
      <c r="W118"/>
      <c r="X118"/>
      <c r="Y118"/>
      <c r="Z118"/>
      <c r="AA118"/>
      <c r="AB118"/>
      <c r="AC118"/>
      <c r="AD118"/>
      <c r="AE118" s="92">
        <v>45</v>
      </c>
      <c r="AF118" s="93">
        <v>72</v>
      </c>
      <c r="AG118" s="98">
        <v>1</v>
      </c>
      <c r="AH118" s="94">
        <v>97.2</v>
      </c>
      <c r="AI118" s="95">
        <v>230</v>
      </c>
      <c r="AJ118" s="96">
        <v>1.111003767751908E-2</v>
      </c>
      <c r="AK118" s="97">
        <v>694</v>
      </c>
      <c r="AL118" s="96">
        <v>3.3523331079122788E-2</v>
      </c>
      <c r="AM118"/>
      <c r="AN118" s="92">
        <v>45</v>
      </c>
      <c r="AO118" s="93">
        <v>76</v>
      </c>
      <c r="AP118" s="98">
        <v>1</v>
      </c>
      <c r="AQ118" s="94">
        <v>97.64</v>
      </c>
      <c r="AR118" s="95">
        <v>32</v>
      </c>
      <c r="AS118" s="96">
        <v>6.1455732667562895E-3</v>
      </c>
      <c r="AT118" s="97">
        <v>139</v>
      </c>
      <c r="AU118" s="96">
        <v>2.6694833877472634E-2</v>
      </c>
      <c r="AV118"/>
      <c r="AW118" s="99">
        <v>45</v>
      </c>
      <c r="AX118" s="100">
        <v>68</v>
      </c>
      <c r="AY118" s="101">
        <v>1</v>
      </c>
      <c r="AZ118" s="102">
        <v>95.16</v>
      </c>
      <c r="BA118" s="103">
        <v>1699</v>
      </c>
      <c r="BB118" s="104">
        <v>1.8408165034237669E-2</v>
      </c>
      <c r="BC118" s="105">
        <v>5319</v>
      </c>
      <c r="BD118" s="104">
        <v>5.762979977463812E-2</v>
      </c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</row>
    <row r="119" spans="1:103" ht="16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 s="28"/>
      <c r="W119"/>
      <c r="X119"/>
      <c r="Y119"/>
      <c r="Z119"/>
      <c r="AA119"/>
      <c r="AB119"/>
      <c r="AC119"/>
      <c r="AD119"/>
      <c r="AE119" s="99">
        <v>44</v>
      </c>
      <c r="AF119" s="100">
        <v>71</v>
      </c>
      <c r="AG119" s="101">
        <v>1</v>
      </c>
      <c r="AH119" s="102">
        <v>96.28</v>
      </c>
      <c r="AI119" s="103">
        <v>152</v>
      </c>
      <c r="AJ119" s="104">
        <v>7.3422857694908708E-3</v>
      </c>
      <c r="AK119" s="105">
        <v>846</v>
      </c>
      <c r="AL119" s="104">
        <v>4.0865616848613659E-2</v>
      </c>
      <c r="AM119"/>
      <c r="AN119" s="92">
        <v>44</v>
      </c>
      <c r="AO119" s="93">
        <v>75</v>
      </c>
      <c r="AP119" s="98">
        <v>1</v>
      </c>
      <c r="AQ119" s="94">
        <v>97.19</v>
      </c>
      <c r="AR119" s="95">
        <v>15</v>
      </c>
      <c r="AS119" s="96">
        <v>2.8807374687920108E-3</v>
      </c>
      <c r="AT119" s="97">
        <v>154</v>
      </c>
      <c r="AU119" s="96">
        <v>2.9575571346264644E-2</v>
      </c>
      <c r="AV119"/>
      <c r="AW119" s="92">
        <v>44</v>
      </c>
      <c r="AX119" s="93">
        <v>67</v>
      </c>
      <c r="AY119" s="98">
        <v>2</v>
      </c>
      <c r="AZ119" s="94">
        <v>93.58</v>
      </c>
      <c r="BA119" s="95">
        <v>1218</v>
      </c>
      <c r="BB119" s="96">
        <v>1.319667157839993E-2</v>
      </c>
      <c r="BC119" s="97">
        <v>6537</v>
      </c>
      <c r="BD119" s="96">
        <v>7.0826471353038045E-2</v>
      </c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</row>
    <row r="120" spans="1:103" ht="16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 s="28"/>
      <c r="W120"/>
      <c r="X120"/>
      <c r="Y120"/>
      <c r="Z120"/>
      <c r="AA120"/>
      <c r="AB120"/>
      <c r="AC120"/>
      <c r="AD120"/>
      <c r="AE120" s="92">
        <v>43</v>
      </c>
      <c r="AF120" s="93">
        <v>70</v>
      </c>
      <c r="AG120" s="98">
        <v>2</v>
      </c>
      <c r="AH120" s="94">
        <v>95.47</v>
      </c>
      <c r="AI120" s="95">
        <v>185</v>
      </c>
      <c r="AJ120" s="96">
        <v>8.936334653656652E-3</v>
      </c>
      <c r="AK120" s="97">
        <v>1031</v>
      </c>
      <c r="AL120" s="96">
        <v>4.9801951502270313E-2</v>
      </c>
      <c r="AM120"/>
      <c r="AN120" s="92">
        <v>43</v>
      </c>
      <c r="AO120" s="93">
        <v>74</v>
      </c>
      <c r="AP120" s="98">
        <v>1</v>
      </c>
      <c r="AQ120" s="94">
        <v>96.68</v>
      </c>
      <c r="AR120" s="95">
        <v>38</v>
      </c>
      <c r="AS120" s="96">
        <v>7.2978682542730938E-3</v>
      </c>
      <c r="AT120" s="97">
        <v>192</v>
      </c>
      <c r="AU120" s="96">
        <v>3.6873439600537739E-2</v>
      </c>
      <c r="AV120"/>
      <c r="AW120" s="92">
        <v>43</v>
      </c>
      <c r="AX120" s="93">
        <v>66</v>
      </c>
      <c r="AY120" s="98">
        <v>2</v>
      </c>
      <c r="AZ120" s="94">
        <v>92.3</v>
      </c>
      <c r="BA120" s="95">
        <v>1133</v>
      </c>
      <c r="BB120" s="96">
        <v>1.2275721591401577E-2</v>
      </c>
      <c r="BC120" s="97">
        <v>7670</v>
      </c>
      <c r="BD120" s="96">
        <v>8.3102192944439629E-2</v>
      </c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</row>
    <row r="121" spans="1:103" ht="16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 s="28"/>
      <c r="W121"/>
      <c r="X121"/>
      <c r="Y121"/>
      <c r="Z121"/>
      <c r="AA121"/>
      <c r="AB121"/>
      <c r="AC121"/>
      <c r="AD121"/>
      <c r="AE121" s="92">
        <v>42</v>
      </c>
      <c r="AF121" s="93">
        <v>69</v>
      </c>
      <c r="AG121" s="98">
        <v>2</v>
      </c>
      <c r="AH121" s="94">
        <v>94.4</v>
      </c>
      <c r="AI121" s="95">
        <v>257</v>
      </c>
      <c r="AJ121" s="96">
        <v>1.2414259491836537E-2</v>
      </c>
      <c r="AK121" s="97">
        <v>1288</v>
      </c>
      <c r="AL121" s="96">
        <v>6.2216210994106846E-2</v>
      </c>
      <c r="AM121"/>
      <c r="AN121" s="99">
        <v>42</v>
      </c>
      <c r="AO121" s="100">
        <v>73</v>
      </c>
      <c r="AP121" s="101">
        <v>1</v>
      </c>
      <c r="AQ121" s="102">
        <v>95.99</v>
      </c>
      <c r="AR121" s="103">
        <v>34</v>
      </c>
      <c r="AS121" s="104">
        <v>6.5296715959285573E-3</v>
      </c>
      <c r="AT121" s="105">
        <v>226</v>
      </c>
      <c r="AU121" s="104">
        <v>4.3403111196466296E-2</v>
      </c>
      <c r="AV121"/>
      <c r="AW121" s="92">
        <v>42</v>
      </c>
      <c r="AX121" s="152">
        <v>65</v>
      </c>
      <c r="AY121" s="153">
        <v>2</v>
      </c>
      <c r="AZ121" s="154">
        <v>90.07</v>
      </c>
      <c r="BA121" s="155">
        <v>2993</v>
      </c>
      <c r="BB121" s="161">
        <v>3.2428274248071425E-2</v>
      </c>
      <c r="BC121" s="162">
        <v>10663</v>
      </c>
      <c r="BD121" s="161">
        <v>0.11553046719251105</v>
      </c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</row>
    <row r="122" spans="1:103" ht="16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 s="28"/>
      <c r="W122"/>
      <c r="X122"/>
      <c r="Y122"/>
      <c r="Z122"/>
      <c r="AA122"/>
      <c r="AB122"/>
      <c r="AC122"/>
      <c r="AD122"/>
      <c r="AE122" s="92">
        <v>41</v>
      </c>
      <c r="AF122" s="93">
        <v>68</v>
      </c>
      <c r="AG122" s="98">
        <v>2</v>
      </c>
      <c r="AH122" s="94">
        <v>93.4</v>
      </c>
      <c r="AI122" s="95">
        <v>155</v>
      </c>
      <c r="AJ122" s="96">
        <v>7.4871993044150322E-3</v>
      </c>
      <c r="AK122" s="97">
        <v>1443</v>
      </c>
      <c r="AL122" s="96">
        <v>6.9703410298521881E-2</v>
      </c>
      <c r="AM122"/>
      <c r="AN122" s="92">
        <v>41</v>
      </c>
      <c r="AO122" s="93">
        <v>72</v>
      </c>
      <c r="AP122" s="98">
        <v>2</v>
      </c>
      <c r="AQ122" s="94">
        <v>95.52</v>
      </c>
      <c r="AR122" s="95">
        <v>15</v>
      </c>
      <c r="AS122" s="96">
        <v>2.8807374687920108E-3</v>
      </c>
      <c r="AT122" s="97">
        <v>241</v>
      </c>
      <c r="AU122" s="96">
        <v>4.6283848665258309E-2</v>
      </c>
      <c r="AV122"/>
      <c r="AW122" s="99">
        <v>41</v>
      </c>
      <c r="AX122" s="145"/>
      <c r="AY122" s="147"/>
      <c r="AZ122" s="149"/>
      <c r="BA122" s="151"/>
      <c r="BB122" s="158"/>
      <c r="BC122" s="160"/>
      <c r="BD122" s="158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</row>
    <row r="123" spans="1:103" ht="16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 s="28"/>
      <c r="W123"/>
      <c r="X123"/>
      <c r="Y123"/>
      <c r="Z123"/>
      <c r="AA123"/>
      <c r="AB123"/>
      <c r="AC123"/>
      <c r="AD123"/>
      <c r="AE123" s="92">
        <v>40</v>
      </c>
      <c r="AF123" s="144">
        <v>67</v>
      </c>
      <c r="AG123" s="146">
        <v>2</v>
      </c>
      <c r="AH123" s="148">
        <v>91.84</v>
      </c>
      <c r="AI123" s="150">
        <v>492</v>
      </c>
      <c r="AJ123" s="157">
        <v>2.3765819727562556E-2</v>
      </c>
      <c r="AK123" s="159">
        <v>1935</v>
      </c>
      <c r="AL123" s="157">
        <v>9.3469230026084441E-2</v>
      </c>
      <c r="AM123"/>
      <c r="AN123" s="92">
        <v>40</v>
      </c>
      <c r="AO123" s="93">
        <v>71</v>
      </c>
      <c r="AP123" s="98">
        <v>2</v>
      </c>
      <c r="AQ123" s="94">
        <v>94.9</v>
      </c>
      <c r="AR123" s="95">
        <v>49</v>
      </c>
      <c r="AS123" s="96">
        <v>9.410409064720569E-3</v>
      </c>
      <c r="AT123" s="97">
        <v>290</v>
      </c>
      <c r="AU123" s="96">
        <v>5.5694257729978873E-2</v>
      </c>
      <c r="AV123"/>
      <c r="AW123" s="92">
        <v>40</v>
      </c>
      <c r="AX123" s="93">
        <v>64</v>
      </c>
      <c r="AY123" s="98">
        <v>3</v>
      </c>
      <c r="AZ123" s="94">
        <v>87.54</v>
      </c>
      <c r="BA123" s="95">
        <v>1681</v>
      </c>
      <c r="BB123" s="96">
        <v>1.8213140331108608E-2</v>
      </c>
      <c r="BC123" s="97">
        <v>12344</v>
      </c>
      <c r="BD123" s="96">
        <v>0.13374360752361966</v>
      </c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</row>
    <row r="124" spans="1:103" ht="16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 s="28"/>
      <c r="W124"/>
      <c r="X124"/>
      <c r="Y124"/>
      <c r="Z124"/>
      <c r="AA124"/>
      <c r="AB124"/>
      <c r="AC124"/>
      <c r="AD124"/>
      <c r="AE124" s="92">
        <v>39</v>
      </c>
      <c r="AF124" s="145"/>
      <c r="AG124" s="147"/>
      <c r="AH124" s="149"/>
      <c r="AI124" s="151"/>
      <c r="AJ124" s="158"/>
      <c r="AK124" s="160"/>
      <c r="AL124" s="158"/>
      <c r="AM124"/>
      <c r="AN124" s="92">
        <v>39</v>
      </c>
      <c r="AO124" s="93">
        <v>70</v>
      </c>
      <c r="AP124" s="98">
        <v>2</v>
      </c>
      <c r="AQ124" s="94">
        <v>94.12</v>
      </c>
      <c r="AR124" s="95">
        <v>32</v>
      </c>
      <c r="AS124" s="96">
        <v>6.1455732667562895E-3</v>
      </c>
      <c r="AT124" s="97">
        <v>322</v>
      </c>
      <c r="AU124" s="96">
        <v>6.1839830996735165E-2</v>
      </c>
      <c r="AV124"/>
      <c r="AW124" s="92">
        <v>39</v>
      </c>
      <c r="AX124" s="93">
        <v>63</v>
      </c>
      <c r="AY124" s="98">
        <v>3</v>
      </c>
      <c r="AZ124" s="94">
        <v>85.83</v>
      </c>
      <c r="BA124" s="95">
        <v>1461</v>
      </c>
      <c r="BB124" s="96">
        <v>1.5829505070642281E-2</v>
      </c>
      <c r="BC124" s="97">
        <v>13805</v>
      </c>
      <c r="BD124" s="96">
        <v>0.14957311259426195</v>
      </c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</row>
    <row r="125" spans="1:103" ht="16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 s="28"/>
      <c r="W125"/>
      <c r="X125"/>
      <c r="Y125"/>
      <c r="Z125"/>
      <c r="AA125"/>
      <c r="AB125"/>
      <c r="AC125"/>
      <c r="AD125"/>
      <c r="AE125" s="92">
        <v>38</v>
      </c>
      <c r="AF125" s="93">
        <v>66</v>
      </c>
      <c r="AG125" s="98">
        <v>2</v>
      </c>
      <c r="AH125" s="94">
        <v>90.13</v>
      </c>
      <c r="AI125" s="95">
        <v>218</v>
      </c>
      <c r="AJ125" s="96">
        <v>1.0530383537822433E-2</v>
      </c>
      <c r="AK125" s="97">
        <v>2153</v>
      </c>
      <c r="AL125" s="96">
        <v>0.10399961356390687</v>
      </c>
      <c r="AM125"/>
      <c r="AN125" s="92">
        <v>38</v>
      </c>
      <c r="AO125" s="93">
        <v>69</v>
      </c>
      <c r="AP125" s="98">
        <v>2</v>
      </c>
      <c r="AQ125" s="94">
        <v>93.38</v>
      </c>
      <c r="AR125" s="95">
        <v>45</v>
      </c>
      <c r="AS125" s="96">
        <v>8.6422124063760316E-3</v>
      </c>
      <c r="AT125" s="97">
        <v>367</v>
      </c>
      <c r="AU125" s="96">
        <v>7.0482043403111191E-2</v>
      </c>
      <c r="AV125"/>
      <c r="AW125" s="92">
        <v>38</v>
      </c>
      <c r="AX125" s="93">
        <v>62</v>
      </c>
      <c r="AY125" s="98">
        <v>3</v>
      </c>
      <c r="AZ125" s="94">
        <v>84.22</v>
      </c>
      <c r="BA125" s="95">
        <v>1527</v>
      </c>
      <c r="BB125" s="96">
        <v>1.654459564878218E-2</v>
      </c>
      <c r="BC125" s="97">
        <v>15332</v>
      </c>
      <c r="BD125" s="96">
        <v>0.16611770824304412</v>
      </c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</row>
    <row r="126" spans="1:103" ht="16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 s="28"/>
      <c r="W126"/>
      <c r="X126"/>
      <c r="Y126"/>
      <c r="Z126"/>
      <c r="AA126"/>
      <c r="AB126"/>
      <c r="AC126"/>
      <c r="AD126"/>
      <c r="AE126" s="99">
        <v>37</v>
      </c>
      <c r="AF126" s="100">
        <v>65</v>
      </c>
      <c r="AG126" s="101">
        <v>2</v>
      </c>
      <c r="AH126" s="102">
        <v>88.87</v>
      </c>
      <c r="AI126" s="103">
        <v>301</v>
      </c>
      <c r="AJ126" s="104">
        <v>1.4539658004057579E-2</v>
      </c>
      <c r="AK126" s="105">
        <v>2454</v>
      </c>
      <c r="AL126" s="104">
        <v>0.11853927156796444</v>
      </c>
      <c r="AM126"/>
      <c r="AN126" s="92">
        <v>37</v>
      </c>
      <c r="AO126" s="93">
        <v>68</v>
      </c>
      <c r="AP126" s="98">
        <v>2</v>
      </c>
      <c r="AQ126" s="94">
        <v>92.52</v>
      </c>
      <c r="AR126" s="95">
        <v>45</v>
      </c>
      <c r="AS126" s="96">
        <v>8.6422124063760316E-3</v>
      </c>
      <c r="AT126" s="97">
        <v>412</v>
      </c>
      <c r="AU126" s="96">
        <v>7.9124255809487232E-2</v>
      </c>
      <c r="AV126"/>
      <c r="AW126" s="92">
        <v>37</v>
      </c>
      <c r="AX126" s="93">
        <v>61</v>
      </c>
      <c r="AY126" s="98">
        <v>3</v>
      </c>
      <c r="AZ126" s="94">
        <v>82.47</v>
      </c>
      <c r="BA126" s="95">
        <v>1689</v>
      </c>
      <c r="BB126" s="96">
        <v>1.8299817976943748E-2</v>
      </c>
      <c r="BC126" s="97">
        <v>17021</v>
      </c>
      <c r="BD126" s="96">
        <v>0.18441752621998786</v>
      </c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</row>
    <row r="127" spans="1:103" ht="16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 s="28"/>
      <c r="W127"/>
      <c r="X127"/>
      <c r="Y127"/>
      <c r="Z127"/>
      <c r="AA127"/>
      <c r="AB127"/>
      <c r="AC127"/>
      <c r="AD127"/>
      <c r="AE127" s="92">
        <v>36</v>
      </c>
      <c r="AF127" s="93">
        <v>64</v>
      </c>
      <c r="AG127" s="98">
        <v>3</v>
      </c>
      <c r="AH127" s="94">
        <v>87.63</v>
      </c>
      <c r="AI127" s="95">
        <v>215</v>
      </c>
      <c r="AJ127" s="96">
        <v>1.0385470002898271E-2</v>
      </c>
      <c r="AK127" s="97">
        <v>2669</v>
      </c>
      <c r="AL127" s="96">
        <v>0.12892474157086273</v>
      </c>
      <c r="AM127"/>
      <c r="AN127" s="92">
        <v>36</v>
      </c>
      <c r="AO127" s="93">
        <v>67</v>
      </c>
      <c r="AP127" s="98">
        <v>2</v>
      </c>
      <c r="AQ127" s="94">
        <v>91.69</v>
      </c>
      <c r="AR127" s="95">
        <v>41</v>
      </c>
      <c r="AS127" s="96">
        <v>7.874015748031496E-3</v>
      </c>
      <c r="AT127" s="97">
        <v>453</v>
      </c>
      <c r="AU127" s="96">
        <v>8.6998271557518728E-2</v>
      </c>
      <c r="AV127"/>
      <c r="AW127" s="92">
        <v>36</v>
      </c>
      <c r="AX127" s="144">
        <v>60</v>
      </c>
      <c r="AY127" s="146">
        <v>3</v>
      </c>
      <c r="AZ127" s="148">
        <v>79.86</v>
      </c>
      <c r="BA127" s="150">
        <v>3135</v>
      </c>
      <c r="BB127" s="157">
        <v>3.3966802461645143E-2</v>
      </c>
      <c r="BC127" s="159">
        <v>20156</v>
      </c>
      <c r="BD127" s="157">
        <v>0.21838432868163302</v>
      </c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</row>
    <row r="128" spans="1:103" ht="16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 s="28"/>
      <c r="W128"/>
      <c r="X128"/>
      <c r="Y128"/>
      <c r="Z128"/>
      <c r="AA128"/>
      <c r="AB128"/>
      <c r="AC128"/>
      <c r="AD128"/>
      <c r="AE128" s="92">
        <v>35</v>
      </c>
      <c r="AF128" s="93">
        <v>63</v>
      </c>
      <c r="AG128" s="98">
        <v>3</v>
      </c>
      <c r="AH128" s="94">
        <v>86.4</v>
      </c>
      <c r="AI128" s="95">
        <v>291</v>
      </c>
      <c r="AJ128" s="96">
        <v>1.4056612887643706E-2</v>
      </c>
      <c r="AK128" s="97">
        <v>2960</v>
      </c>
      <c r="AL128" s="96">
        <v>0.14298135445850643</v>
      </c>
      <c r="AM128"/>
      <c r="AN128" s="92">
        <v>35</v>
      </c>
      <c r="AO128" s="93">
        <v>66</v>
      </c>
      <c r="AP128" s="98">
        <v>2</v>
      </c>
      <c r="AQ128" s="94">
        <v>90.89</v>
      </c>
      <c r="AR128" s="95">
        <v>43</v>
      </c>
      <c r="AS128" s="96">
        <v>8.2581140772037646E-3</v>
      </c>
      <c r="AT128" s="97">
        <v>496</v>
      </c>
      <c r="AU128" s="96">
        <v>9.5256385634722496E-2</v>
      </c>
      <c r="AV128"/>
      <c r="AW128" s="92">
        <v>35</v>
      </c>
      <c r="AX128" s="145"/>
      <c r="AY128" s="147"/>
      <c r="AZ128" s="149"/>
      <c r="BA128" s="151"/>
      <c r="BB128" s="158"/>
      <c r="BC128" s="160"/>
      <c r="BD128" s="15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</row>
    <row r="129" spans="1:103" ht="16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 s="28"/>
      <c r="W129"/>
      <c r="X129"/>
      <c r="Y129"/>
      <c r="Z129"/>
      <c r="AA129"/>
      <c r="AB129"/>
      <c r="AC129"/>
      <c r="AD129"/>
      <c r="AE129" s="92">
        <v>34</v>
      </c>
      <c r="AF129" s="93">
        <v>62</v>
      </c>
      <c r="AG129" s="98">
        <v>3</v>
      </c>
      <c r="AH129" s="94">
        <v>85.06</v>
      </c>
      <c r="AI129" s="95">
        <v>266</v>
      </c>
      <c r="AJ129" s="96">
        <v>1.2849000096609024E-2</v>
      </c>
      <c r="AK129" s="97">
        <v>3226</v>
      </c>
      <c r="AL129" s="96">
        <v>0.15583035455511546</v>
      </c>
      <c r="AM129"/>
      <c r="AN129" s="92">
        <v>34</v>
      </c>
      <c r="AO129" s="93">
        <v>65</v>
      </c>
      <c r="AP129" s="98">
        <v>2</v>
      </c>
      <c r="AQ129" s="94">
        <v>90.07</v>
      </c>
      <c r="AR129" s="95">
        <v>42</v>
      </c>
      <c r="AS129" s="96">
        <v>8.0660649126176303E-3</v>
      </c>
      <c r="AT129" s="97">
        <v>538</v>
      </c>
      <c r="AU129" s="96">
        <v>0.10332245054734011</v>
      </c>
      <c r="AV129"/>
      <c r="AW129" s="99">
        <v>34</v>
      </c>
      <c r="AX129" s="100">
        <v>59</v>
      </c>
      <c r="AY129" s="101">
        <v>3</v>
      </c>
      <c r="AZ129" s="102">
        <v>77.290000000000006</v>
      </c>
      <c r="BA129" s="103">
        <v>1602</v>
      </c>
      <c r="BB129" s="104">
        <v>1.7357198578486607E-2</v>
      </c>
      <c r="BC129" s="105">
        <v>21758</v>
      </c>
      <c r="BD129" s="104">
        <v>0.23574152726011963</v>
      </c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</row>
    <row r="130" spans="1:103" ht="16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 s="28"/>
      <c r="W130"/>
      <c r="X130"/>
      <c r="Y130"/>
      <c r="Z130"/>
      <c r="AA130"/>
      <c r="AB130"/>
      <c r="AC130"/>
      <c r="AD130"/>
      <c r="AE130" s="92">
        <v>33</v>
      </c>
      <c r="AF130" s="93">
        <v>61</v>
      </c>
      <c r="AG130" s="98">
        <v>3</v>
      </c>
      <c r="AH130" s="94">
        <v>83.71</v>
      </c>
      <c r="AI130" s="95">
        <v>291</v>
      </c>
      <c r="AJ130" s="96">
        <v>1.4056612887643706E-2</v>
      </c>
      <c r="AK130" s="97">
        <v>3517</v>
      </c>
      <c r="AL130" s="96">
        <v>0.16988696744275916</v>
      </c>
      <c r="AM130"/>
      <c r="AN130" s="99">
        <v>33</v>
      </c>
      <c r="AO130" s="100">
        <v>64</v>
      </c>
      <c r="AP130" s="101">
        <v>2</v>
      </c>
      <c r="AQ130" s="102">
        <v>89.18</v>
      </c>
      <c r="AR130" s="103">
        <v>51</v>
      </c>
      <c r="AS130" s="104">
        <v>9.7945073938928359E-3</v>
      </c>
      <c r="AT130" s="105">
        <v>589</v>
      </c>
      <c r="AU130" s="104">
        <v>0.11311695794123296</v>
      </c>
      <c r="AV130"/>
      <c r="AW130" s="92">
        <v>33</v>
      </c>
      <c r="AX130" s="93">
        <v>58</v>
      </c>
      <c r="AY130" s="98">
        <v>4</v>
      </c>
      <c r="AZ130" s="94">
        <v>75.510000000000005</v>
      </c>
      <c r="BA130" s="95">
        <v>1695</v>
      </c>
      <c r="BB130" s="96">
        <v>1.8364826211320101E-2</v>
      </c>
      <c r="BC130" s="97">
        <v>23453</v>
      </c>
      <c r="BD130" s="96">
        <v>0.25410635347143973</v>
      </c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</row>
    <row r="131" spans="1:103" ht="16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 s="28"/>
      <c r="W131"/>
      <c r="X131"/>
      <c r="Y131"/>
      <c r="Z131"/>
      <c r="AA131"/>
      <c r="AB131"/>
      <c r="AC131"/>
      <c r="AD131"/>
      <c r="AE131" s="92">
        <v>32</v>
      </c>
      <c r="AF131" s="93">
        <v>60</v>
      </c>
      <c r="AG131" s="98">
        <v>3</v>
      </c>
      <c r="AH131" s="94">
        <v>82.3</v>
      </c>
      <c r="AI131" s="95">
        <v>293</v>
      </c>
      <c r="AJ131" s="96">
        <v>1.4153221910926481E-2</v>
      </c>
      <c r="AK131" s="97">
        <v>3810</v>
      </c>
      <c r="AL131" s="96">
        <v>0.18404018935368563</v>
      </c>
      <c r="AM131"/>
      <c r="AN131" s="92">
        <v>32</v>
      </c>
      <c r="AO131" s="93">
        <v>63</v>
      </c>
      <c r="AP131" s="98">
        <v>3</v>
      </c>
      <c r="AQ131" s="94">
        <v>88.1</v>
      </c>
      <c r="AR131" s="95">
        <v>61</v>
      </c>
      <c r="AS131" s="96">
        <v>1.1714999039754178E-2</v>
      </c>
      <c r="AT131" s="97">
        <v>650</v>
      </c>
      <c r="AU131" s="96">
        <v>0.12483195698098713</v>
      </c>
      <c r="AV131"/>
      <c r="AW131" s="92">
        <v>32</v>
      </c>
      <c r="AX131" s="93">
        <v>57</v>
      </c>
      <c r="AY131" s="98">
        <v>4</v>
      </c>
      <c r="AZ131" s="94">
        <v>73.599999999999994</v>
      </c>
      <c r="BA131" s="95">
        <v>1833</v>
      </c>
      <c r="BB131" s="96">
        <v>1.9860015601976252E-2</v>
      </c>
      <c r="BC131" s="97">
        <v>25286</v>
      </c>
      <c r="BD131" s="96">
        <v>0.27396636907341598</v>
      </c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</row>
    <row r="132" spans="1:103" ht="16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 s="28"/>
      <c r="W132"/>
      <c r="X132"/>
      <c r="Y132"/>
      <c r="Z132"/>
      <c r="AA132"/>
      <c r="AB132"/>
      <c r="AC132"/>
      <c r="AD132"/>
      <c r="AE132" s="92">
        <v>31</v>
      </c>
      <c r="AF132" s="144">
        <v>59</v>
      </c>
      <c r="AG132" s="146">
        <v>3</v>
      </c>
      <c r="AH132" s="148">
        <v>79.91</v>
      </c>
      <c r="AI132" s="150">
        <v>697</v>
      </c>
      <c r="AJ132" s="157">
        <v>3.3668244614046952E-2</v>
      </c>
      <c r="AK132" s="159">
        <v>4507</v>
      </c>
      <c r="AL132" s="157">
        <v>0.2177084339677326</v>
      </c>
      <c r="AM132"/>
      <c r="AN132" s="92">
        <v>31</v>
      </c>
      <c r="AO132" s="93">
        <v>62</v>
      </c>
      <c r="AP132" s="98">
        <v>3</v>
      </c>
      <c r="AQ132" s="94">
        <v>86.99</v>
      </c>
      <c r="AR132" s="95">
        <v>55</v>
      </c>
      <c r="AS132" s="96">
        <v>1.0562704052237373E-2</v>
      </c>
      <c r="AT132" s="97">
        <v>705</v>
      </c>
      <c r="AU132" s="96">
        <v>0.13539466103322451</v>
      </c>
      <c r="AV132"/>
      <c r="AW132" s="92">
        <v>31</v>
      </c>
      <c r="AX132" s="93">
        <v>56</v>
      </c>
      <c r="AY132" s="98">
        <v>4</v>
      </c>
      <c r="AZ132" s="94">
        <v>71.709999999999994</v>
      </c>
      <c r="BA132" s="95">
        <v>1646</v>
      </c>
      <c r="BB132" s="96">
        <v>1.7833925630579874E-2</v>
      </c>
      <c r="BC132" s="97">
        <v>26932</v>
      </c>
      <c r="BD132" s="96">
        <v>0.29180029470399582</v>
      </c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</row>
    <row r="133" spans="1:103" ht="16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 s="28"/>
      <c r="W133"/>
      <c r="X133"/>
      <c r="Y133"/>
      <c r="Z133"/>
      <c r="AA133"/>
      <c r="AB133"/>
      <c r="AC133"/>
      <c r="AD133"/>
      <c r="AE133" s="92">
        <v>30</v>
      </c>
      <c r="AF133" s="145"/>
      <c r="AG133" s="147"/>
      <c r="AH133" s="149"/>
      <c r="AI133" s="151"/>
      <c r="AJ133" s="158"/>
      <c r="AK133" s="160"/>
      <c r="AL133" s="158"/>
      <c r="AM133"/>
      <c r="AN133" s="92">
        <v>30</v>
      </c>
      <c r="AO133" s="93">
        <v>61</v>
      </c>
      <c r="AP133" s="98">
        <v>3</v>
      </c>
      <c r="AQ133" s="94">
        <v>85.74</v>
      </c>
      <c r="AR133" s="95">
        <v>75</v>
      </c>
      <c r="AS133" s="96">
        <v>1.4403687343960053E-2</v>
      </c>
      <c r="AT133" s="97">
        <v>780</v>
      </c>
      <c r="AU133" s="96">
        <v>0.14979834837718456</v>
      </c>
      <c r="AV133"/>
      <c r="AW133" s="92">
        <v>30</v>
      </c>
      <c r="AX133" s="144">
        <v>55</v>
      </c>
      <c r="AY133" s="146">
        <v>4</v>
      </c>
      <c r="AZ133" s="148">
        <v>68.73</v>
      </c>
      <c r="BA133" s="150">
        <v>3860</v>
      </c>
      <c r="BB133" s="157">
        <v>4.1821964115454621E-2</v>
      </c>
      <c r="BC133" s="159">
        <v>30792</v>
      </c>
      <c r="BD133" s="157">
        <v>0.33362225881945046</v>
      </c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</row>
    <row r="134" spans="1:103" ht="16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 s="28"/>
      <c r="W134"/>
      <c r="X134"/>
      <c r="Y134"/>
      <c r="Z134"/>
      <c r="AA134"/>
      <c r="AB134"/>
      <c r="AC134"/>
      <c r="AD134"/>
      <c r="AE134" s="99">
        <v>29</v>
      </c>
      <c r="AF134" s="100">
        <v>58</v>
      </c>
      <c r="AG134" s="101">
        <v>3</v>
      </c>
      <c r="AH134" s="102">
        <v>77.44</v>
      </c>
      <c r="AI134" s="103">
        <v>328</v>
      </c>
      <c r="AJ134" s="104">
        <v>1.5843879818375036E-2</v>
      </c>
      <c r="AK134" s="105">
        <v>4835</v>
      </c>
      <c r="AL134" s="104">
        <v>0.23355231378610763</v>
      </c>
      <c r="AM134"/>
      <c r="AN134" s="92">
        <v>29</v>
      </c>
      <c r="AO134" s="93">
        <v>60</v>
      </c>
      <c r="AP134" s="98">
        <v>3</v>
      </c>
      <c r="AQ134" s="94">
        <v>84.46</v>
      </c>
      <c r="AR134" s="95">
        <v>58</v>
      </c>
      <c r="AS134" s="96">
        <v>1.1138851545995775E-2</v>
      </c>
      <c r="AT134" s="97">
        <v>838</v>
      </c>
      <c r="AU134" s="96">
        <v>0.16093719992318034</v>
      </c>
      <c r="AV134"/>
      <c r="AW134" s="92">
        <v>29</v>
      </c>
      <c r="AX134" s="145"/>
      <c r="AY134" s="147"/>
      <c r="AZ134" s="149"/>
      <c r="BA134" s="151"/>
      <c r="BB134" s="158"/>
      <c r="BC134" s="160"/>
      <c r="BD134" s="158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</row>
    <row r="135" spans="1:103" ht="16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 s="28"/>
      <c r="W135"/>
      <c r="X135"/>
      <c r="Y135"/>
      <c r="Z135"/>
      <c r="AA135"/>
      <c r="AB135"/>
      <c r="AC135"/>
      <c r="AD135"/>
      <c r="AE135" s="92">
        <v>28</v>
      </c>
      <c r="AF135" s="93">
        <v>57</v>
      </c>
      <c r="AG135" s="98">
        <v>4</v>
      </c>
      <c r="AH135" s="94">
        <v>75.69</v>
      </c>
      <c r="AI135" s="95">
        <v>397</v>
      </c>
      <c r="AJ135" s="96">
        <v>1.9176891121630759E-2</v>
      </c>
      <c r="AK135" s="97">
        <v>5232</v>
      </c>
      <c r="AL135" s="96">
        <v>0.25272920490773837</v>
      </c>
      <c r="AM135"/>
      <c r="AN135" s="92">
        <v>28</v>
      </c>
      <c r="AO135" s="93">
        <v>59</v>
      </c>
      <c r="AP135" s="98">
        <v>3</v>
      </c>
      <c r="AQ135" s="94">
        <v>83.02</v>
      </c>
      <c r="AR135" s="95">
        <v>92</v>
      </c>
      <c r="AS135" s="96">
        <v>1.7668523141924332E-2</v>
      </c>
      <c r="AT135" s="97">
        <v>930</v>
      </c>
      <c r="AU135" s="96">
        <v>0.17860572306510467</v>
      </c>
      <c r="AV135"/>
      <c r="AW135" s="92">
        <v>28</v>
      </c>
      <c r="AX135" s="93">
        <v>54</v>
      </c>
      <c r="AY135" s="98">
        <v>4</v>
      </c>
      <c r="AZ135" s="94">
        <v>65.56</v>
      </c>
      <c r="BA135" s="95">
        <v>1982</v>
      </c>
      <c r="BB135" s="96">
        <v>2.1474386755655717E-2</v>
      </c>
      <c r="BC135" s="97">
        <v>32774</v>
      </c>
      <c r="BD135" s="96">
        <v>0.35509664557510617</v>
      </c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</row>
    <row r="136" spans="1:103" ht="16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 s="28"/>
      <c r="W136"/>
      <c r="X136"/>
      <c r="Y136"/>
      <c r="Z136"/>
      <c r="AA136"/>
      <c r="AB136"/>
      <c r="AC136"/>
      <c r="AD136"/>
      <c r="AE136" s="92">
        <v>27</v>
      </c>
      <c r="AF136" s="93">
        <v>56</v>
      </c>
      <c r="AG136" s="98">
        <v>4</v>
      </c>
      <c r="AH136" s="94">
        <v>73.84</v>
      </c>
      <c r="AI136" s="95">
        <v>368</v>
      </c>
      <c r="AJ136" s="96">
        <v>1.7776060284030528E-2</v>
      </c>
      <c r="AK136" s="97">
        <v>5600</v>
      </c>
      <c r="AL136" s="96">
        <v>0.27050526519176893</v>
      </c>
      <c r="AM136"/>
      <c r="AN136" s="92">
        <v>27</v>
      </c>
      <c r="AO136" s="93">
        <v>58</v>
      </c>
      <c r="AP136" s="98">
        <v>3</v>
      </c>
      <c r="AQ136" s="94">
        <v>81.11</v>
      </c>
      <c r="AR136" s="95">
        <v>107</v>
      </c>
      <c r="AS136" s="96">
        <v>2.0549260610716342E-2</v>
      </c>
      <c r="AT136" s="97">
        <v>1037</v>
      </c>
      <c r="AU136" s="96">
        <v>0.19915498367582102</v>
      </c>
      <c r="AV136"/>
      <c r="AW136" s="92">
        <v>27</v>
      </c>
      <c r="AX136" s="93">
        <v>53</v>
      </c>
      <c r="AY136" s="98">
        <v>4</v>
      </c>
      <c r="AZ136" s="94">
        <v>63.28</v>
      </c>
      <c r="BA136" s="95">
        <v>2227</v>
      </c>
      <c r="BB136" s="96">
        <v>2.4128889659356851E-2</v>
      </c>
      <c r="BC136" s="97">
        <v>35001</v>
      </c>
      <c r="BD136" s="96">
        <v>0.37922553523446301</v>
      </c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</row>
    <row r="137" spans="1:103" ht="16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 s="28"/>
      <c r="W137"/>
      <c r="X137"/>
      <c r="Y137"/>
      <c r="Z137"/>
      <c r="AA137"/>
      <c r="AB137"/>
      <c r="AC137"/>
      <c r="AD137"/>
      <c r="AE137" s="92">
        <v>26</v>
      </c>
      <c r="AF137" s="93">
        <v>55</v>
      </c>
      <c r="AG137" s="98">
        <v>4</v>
      </c>
      <c r="AH137" s="94">
        <v>71.849999999999994</v>
      </c>
      <c r="AI137" s="95">
        <v>456</v>
      </c>
      <c r="AJ137" s="96">
        <v>2.2026857308472612E-2</v>
      </c>
      <c r="AK137" s="97">
        <v>6056</v>
      </c>
      <c r="AL137" s="96">
        <v>0.29253212250024152</v>
      </c>
      <c r="AM137"/>
      <c r="AN137" s="92">
        <v>26</v>
      </c>
      <c r="AO137" s="93">
        <v>57</v>
      </c>
      <c r="AP137" s="98">
        <v>3</v>
      </c>
      <c r="AQ137" s="94">
        <v>79.09</v>
      </c>
      <c r="AR137" s="95">
        <v>104</v>
      </c>
      <c r="AS137" s="96">
        <v>1.9973113116957941E-2</v>
      </c>
      <c r="AT137" s="97">
        <v>1141</v>
      </c>
      <c r="AU137" s="96">
        <v>0.21912809679277895</v>
      </c>
      <c r="AV137"/>
      <c r="AW137" s="92">
        <v>26</v>
      </c>
      <c r="AX137" s="93">
        <v>52</v>
      </c>
      <c r="AY137" s="98">
        <v>4</v>
      </c>
      <c r="AZ137" s="94">
        <v>61.06</v>
      </c>
      <c r="BA137" s="95">
        <v>1878</v>
      </c>
      <c r="BB137" s="96">
        <v>2.0347577359798908E-2</v>
      </c>
      <c r="BC137" s="97">
        <v>36879</v>
      </c>
      <c r="BD137" s="96">
        <v>0.39957311259426193</v>
      </c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</row>
    <row r="138" spans="1:103" ht="16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 s="28"/>
      <c r="W138"/>
      <c r="X138"/>
      <c r="Y138"/>
      <c r="Z138"/>
      <c r="AA138"/>
      <c r="AB138"/>
      <c r="AC138"/>
      <c r="AD138"/>
      <c r="AE138" s="92">
        <v>25</v>
      </c>
      <c r="AF138" s="93">
        <v>54</v>
      </c>
      <c r="AG138" s="98">
        <v>4</v>
      </c>
      <c r="AH138" s="94">
        <v>69.510000000000005</v>
      </c>
      <c r="AI138" s="95">
        <v>511</v>
      </c>
      <c r="AJ138" s="96">
        <v>2.4683605448748914E-2</v>
      </c>
      <c r="AK138" s="97">
        <v>6567</v>
      </c>
      <c r="AL138" s="96">
        <v>0.31721572794899044</v>
      </c>
      <c r="AM138"/>
      <c r="AN138" s="99">
        <v>25</v>
      </c>
      <c r="AO138" s="100">
        <v>56</v>
      </c>
      <c r="AP138" s="101">
        <v>3</v>
      </c>
      <c r="AQ138" s="102">
        <v>76.75</v>
      </c>
      <c r="AR138" s="103">
        <v>139</v>
      </c>
      <c r="AS138" s="104">
        <v>2.6694833877472634E-2</v>
      </c>
      <c r="AT138" s="105">
        <v>1280</v>
      </c>
      <c r="AU138" s="104">
        <v>0.24582293067025157</v>
      </c>
      <c r="AV138"/>
      <c r="AW138" s="99">
        <v>25</v>
      </c>
      <c r="AX138" s="100">
        <v>51</v>
      </c>
      <c r="AY138" s="101">
        <v>4</v>
      </c>
      <c r="AZ138" s="102">
        <v>58.75</v>
      </c>
      <c r="BA138" s="103">
        <v>2384</v>
      </c>
      <c r="BB138" s="104">
        <v>2.5829938458871458E-2</v>
      </c>
      <c r="BC138" s="105">
        <v>39263</v>
      </c>
      <c r="BD138" s="104">
        <v>0.42540305105313342</v>
      </c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</row>
    <row r="139" spans="1:103" ht="16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 s="28"/>
      <c r="W139"/>
      <c r="X139"/>
      <c r="Y139"/>
      <c r="Z139"/>
      <c r="AA139"/>
      <c r="AB139"/>
      <c r="AC139"/>
      <c r="AD139"/>
      <c r="AE139" s="92">
        <v>24</v>
      </c>
      <c r="AF139" s="93">
        <v>53</v>
      </c>
      <c r="AG139" s="98">
        <v>4</v>
      </c>
      <c r="AH139" s="94">
        <v>67.12</v>
      </c>
      <c r="AI139" s="95">
        <v>480</v>
      </c>
      <c r="AJ139" s="96">
        <v>2.3186165587865907E-2</v>
      </c>
      <c r="AK139" s="97">
        <v>7047</v>
      </c>
      <c r="AL139" s="96">
        <v>0.34040189353685635</v>
      </c>
      <c r="AM139"/>
      <c r="AN139" s="92">
        <v>24</v>
      </c>
      <c r="AO139" s="93">
        <v>55</v>
      </c>
      <c r="AP139" s="98">
        <v>4</v>
      </c>
      <c r="AQ139" s="94">
        <v>74.3</v>
      </c>
      <c r="AR139" s="95">
        <v>116</v>
      </c>
      <c r="AS139" s="96">
        <v>2.2277703091991549E-2</v>
      </c>
      <c r="AT139" s="97">
        <v>1396</v>
      </c>
      <c r="AU139" s="96">
        <v>0.26810063376224313</v>
      </c>
      <c r="AV139"/>
      <c r="AW139" s="92">
        <v>24</v>
      </c>
      <c r="AX139" s="144">
        <v>50</v>
      </c>
      <c r="AY139" s="146">
        <v>5</v>
      </c>
      <c r="AZ139" s="148">
        <v>55.04</v>
      </c>
      <c r="BA139" s="150">
        <v>4458</v>
      </c>
      <c r="BB139" s="157">
        <v>4.8301118141631273E-2</v>
      </c>
      <c r="BC139" s="159">
        <v>43721</v>
      </c>
      <c r="BD139" s="157">
        <v>0.47370416919476466</v>
      </c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</row>
    <row r="140" spans="1:103" ht="16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 s="28"/>
      <c r="W140"/>
      <c r="X140"/>
      <c r="Y140"/>
      <c r="Z140"/>
      <c r="AA140"/>
      <c r="AB140"/>
      <c r="AC140"/>
      <c r="AD140"/>
      <c r="AE140" s="92">
        <v>23</v>
      </c>
      <c r="AF140" s="93">
        <v>52</v>
      </c>
      <c r="AG140" s="98">
        <v>4</v>
      </c>
      <c r="AH140" s="94">
        <v>64.67</v>
      </c>
      <c r="AI140" s="95">
        <v>535</v>
      </c>
      <c r="AJ140" s="96">
        <v>2.5842913728142208E-2</v>
      </c>
      <c r="AK140" s="97">
        <v>7582</v>
      </c>
      <c r="AL140" s="96">
        <v>0.36624480726499853</v>
      </c>
      <c r="AM140"/>
      <c r="AN140" s="92">
        <v>23</v>
      </c>
      <c r="AO140" s="93">
        <v>54</v>
      </c>
      <c r="AP140" s="98">
        <v>4</v>
      </c>
      <c r="AQ140" s="94">
        <v>71.959999999999994</v>
      </c>
      <c r="AR140" s="95">
        <v>128</v>
      </c>
      <c r="AS140" s="96">
        <v>2.4582293067025158E-2</v>
      </c>
      <c r="AT140" s="97">
        <v>1524</v>
      </c>
      <c r="AU140" s="96">
        <v>0.29268292682926828</v>
      </c>
      <c r="AV140"/>
      <c r="AW140" s="92">
        <v>23</v>
      </c>
      <c r="AX140" s="145"/>
      <c r="AY140" s="147"/>
      <c r="AZ140" s="149"/>
      <c r="BA140" s="151"/>
      <c r="BB140" s="158"/>
      <c r="BC140" s="160"/>
      <c r="BD140" s="158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</row>
    <row r="141" spans="1:103" ht="16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 s="28"/>
      <c r="W141"/>
      <c r="X141"/>
      <c r="Y141"/>
      <c r="Z141"/>
      <c r="AA141"/>
      <c r="AB141"/>
      <c r="AC141"/>
      <c r="AD141"/>
      <c r="AE141" s="92">
        <v>22</v>
      </c>
      <c r="AF141" s="93">
        <v>51</v>
      </c>
      <c r="AG141" s="98">
        <v>4</v>
      </c>
      <c r="AH141" s="94">
        <v>62.18</v>
      </c>
      <c r="AI141" s="95">
        <v>493</v>
      </c>
      <c r="AJ141" s="96">
        <v>2.381412423920394E-2</v>
      </c>
      <c r="AK141" s="97">
        <v>8075</v>
      </c>
      <c r="AL141" s="96">
        <v>0.39005893150420251</v>
      </c>
      <c r="AM141"/>
      <c r="AN141" s="92">
        <v>22</v>
      </c>
      <c r="AO141" s="93">
        <v>53</v>
      </c>
      <c r="AP141" s="98">
        <v>4</v>
      </c>
      <c r="AQ141" s="94">
        <v>69.52</v>
      </c>
      <c r="AR141" s="95">
        <v>126</v>
      </c>
      <c r="AS141" s="96">
        <v>2.4198194737852889E-2</v>
      </c>
      <c r="AT141" s="97">
        <v>1650</v>
      </c>
      <c r="AU141" s="96">
        <v>0.31688112156712117</v>
      </c>
      <c r="AV141"/>
      <c r="AW141" s="92">
        <v>22</v>
      </c>
      <c r="AX141" s="93">
        <v>49</v>
      </c>
      <c r="AY141" s="98">
        <v>5</v>
      </c>
      <c r="AZ141" s="94">
        <v>51.29</v>
      </c>
      <c r="BA141" s="95">
        <v>2465</v>
      </c>
      <c r="BB141" s="96">
        <v>2.6707549622952239E-2</v>
      </c>
      <c r="BC141" s="97">
        <v>46186</v>
      </c>
      <c r="BD141" s="96">
        <v>0.50041171881771696</v>
      </c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</row>
    <row r="142" spans="1:103" ht="16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 s="28"/>
      <c r="W142"/>
      <c r="X142"/>
      <c r="Y142"/>
      <c r="Z142"/>
      <c r="AA142"/>
      <c r="AB142"/>
      <c r="AC142"/>
      <c r="AD142"/>
      <c r="AE142" s="92">
        <v>21</v>
      </c>
      <c r="AF142" s="152">
        <v>50</v>
      </c>
      <c r="AG142" s="153">
        <v>4</v>
      </c>
      <c r="AH142" s="154">
        <v>58.12</v>
      </c>
      <c r="AI142" s="155">
        <v>1192</v>
      </c>
      <c r="AJ142" s="161">
        <v>5.7578977876533669E-2</v>
      </c>
      <c r="AK142" s="162">
        <v>9267</v>
      </c>
      <c r="AL142" s="161">
        <v>0.44763790938073617</v>
      </c>
      <c r="AM142"/>
      <c r="AN142" s="92">
        <v>21</v>
      </c>
      <c r="AO142" s="93">
        <v>52</v>
      </c>
      <c r="AP142" s="98">
        <v>4</v>
      </c>
      <c r="AQ142" s="94">
        <v>67.010000000000005</v>
      </c>
      <c r="AR142" s="95">
        <v>136</v>
      </c>
      <c r="AS142" s="96">
        <v>2.6118686383714229E-2</v>
      </c>
      <c r="AT142" s="97">
        <v>1786</v>
      </c>
      <c r="AU142" s="96">
        <v>0.3429998079508354</v>
      </c>
      <c r="AV142"/>
      <c r="AW142" s="92">
        <v>21</v>
      </c>
      <c r="AX142" s="93">
        <v>48</v>
      </c>
      <c r="AY142" s="98">
        <v>5</v>
      </c>
      <c r="AZ142" s="94">
        <v>48.69</v>
      </c>
      <c r="BA142" s="95">
        <v>2340</v>
      </c>
      <c r="BB142" s="96">
        <v>2.5353211406778191E-2</v>
      </c>
      <c r="BC142" s="97">
        <v>48526</v>
      </c>
      <c r="BD142" s="96">
        <v>0.52576493022449511</v>
      </c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</row>
    <row r="143" spans="1:103" ht="16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 s="28"/>
      <c r="W143"/>
      <c r="X143"/>
      <c r="Y143"/>
      <c r="Z143"/>
      <c r="AA143"/>
      <c r="AB143"/>
      <c r="AC143"/>
      <c r="AD143"/>
      <c r="AE143" s="99">
        <v>20</v>
      </c>
      <c r="AF143" s="145"/>
      <c r="AG143" s="147"/>
      <c r="AH143" s="149"/>
      <c r="AI143" s="151"/>
      <c r="AJ143" s="158"/>
      <c r="AK143" s="160"/>
      <c r="AL143" s="158"/>
      <c r="AM143"/>
      <c r="AN143" s="92">
        <v>20</v>
      </c>
      <c r="AO143" s="152">
        <v>51</v>
      </c>
      <c r="AP143" s="153">
        <v>4</v>
      </c>
      <c r="AQ143" s="154">
        <v>62.79</v>
      </c>
      <c r="AR143" s="155">
        <v>303</v>
      </c>
      <c r="AS143" s="161">
        <v>5.8190896869598614E-2</v>
      </c>
      <c r="AT143" s="162">
        <v>2089</v>
      </c>
      <c r="AU143" s="161">
        <v>0.40119070482043401</v>
      </c>
      <c r="AV143"/>
      <c r="AW143" s="92">
        <v>20</v>
      </c>
      <c r="AX143" s="93">
        <v>47</v>
      </c>
      <c r="AY143" s="98">
        <v>5</v>
      </c>
      <c r="AZ143" s="94">
        <v>45.97</v>
      </c>
      <c r="BA143" s="95">
        <v>2690</v>
      </c>
      <c r="BB143" s="96">
        <v>2.9145358412065527E-2</v>
      </c>
      <c r="BC143" s="97">
        <v>51216</v>
      </c>
      <c r="BD143" s="96">
        <v>0.55491028863656067</v>
      </c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</row>
    <row r="144" spans="1:103" ht="16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 s="28"/>
      <c r="W144"/>
      <c r="X144"/>
      <c r="Y144"/>
      <c r="Z144"/>
      <c r="AA144"/>
      <c r="AB144"/>
      <c r="AC144"/>
      <c r="AD144"/>
      <c r="AE144" s="92">
        <v>19</v>
      </c>
      <c r="AF144" s="93">
        <v>49</v>
      </c>
      <c r="AG144" s="98">
        <v>5</v>
      </c>
      <c r="AH144" s="94">
        <v>53.74</v>
      </c>
      <c r="AI144" s="95">
        <v>618</v>
      </c>
      <c r="AJ144" s="96">
        <v>2.9852188194377356E-2</v>
      </c>
      <c r="AK144" s="97">
        <v>9885</v>
      </c>
      <c r="AL144" s="96">
        <v>0.47749009757511351</v>
      </c>
      <c r="AM144"/>
      <c r="AN144" s="99">
        <v>19</v>
      </c>
      <c r="AO144" s="145"/>
      <c r="AP144" s="147"/>
      <c r="AQ144" s="149"/>
      <c r="AR144" s="151"/>
      <c r="AS144" s="158"/>
      <c r="AT144" s="160"/>
      <c r="AU144" s="158"/>
      <c r="AV144"/>
      <c r="AW144" s="92">
        <v>19</v>
      </c>
      <c r="AX144" s="93">
        <v>46</v>
      </c>
      <c r="AY144" s="98">
        <v>5</v>
      </c>
      <c r="AZ144" s="94">
        <v>43.11</v>
      </c>
      <c r="BA144" s="95">
        <v>2581</v>
      </c>
      <c r="BB144" s="96">
        <v>2.7964375487561758E-2</v>
      </c>
      <c r="BC144" s="97">
        <v>53797</v>
      </c>
      <c r="BD144" s="96">
        <v>0.58287466412412237</v>
      </c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</row>
    <row r="145" spans="1:103" ht="16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 s="28"/>
      <c r="W145"/>
      <c r="X145"/>
      <c r="Y145"/>
      <c r="Z145"/>
      <c r="AA145"/>
      <c r="AB145"/>
      <c r="AC145"/>
      <c r="AD145"/>
      <c r="AE145" s="92">
        <v>18</v>
      </c>
      <c r="AF145" s="93">
        <v>48</v>
      </c>
      <c r="AG145" s="98">
        <v>5</v>
      </c>
      <c r="AH145" s="94">
        <v>50.43</v>
      </c>
      <c r="AI145" s="95">
        <v>755</v>
      </c>
      <c r="AJ145" s="96">
        <v>3.6469906289247414E-2</v>
      </c>
      <c r="AK145" s="97">
        <v>10640</v>
      </c>
      <c r="AL145" s="96">
        <v>0.51396000386436091</v>
      </c>
      <c r="AM145"/>
      <c r="AN145" s="92">
        <v>18</v>
      </c>
      <c r="AO145" s="93">
        <v>50</v>
      </c>
      <c r="AP145" s="98">
        <v>5</v>
      </c>
      <c r="AQ145" s="94">
        <v>58.18</v>
      </c>
      <c r="AR145" s="95">
        <v>177</v>
      </c>
      <c r="AS145" s="96">
        <v>3.3992702131745725E-2</v>
      </c>
      <c r="AT145" s="97">
        <v>2266</v>
      </c>
      <c r="AU145" s="96">
        <v>0.43518340695217977</v>
      </c>
      <c r="AV145"/>
      <c r="AW145" s="92">
        <v>18</v>
      </c>
      <c r="AX145" s="152">
        <v>45</v>
      </c>
      <c r="AY145" s="153">
        <v>5</v>
      </c>
      <c r="AZ145" s="154">
        <v>38.74</v>
      </c>
      <c r="BA145" s="155">
        <v>5480</v>
      </c>
      <c r="BB145" s="161">
        <v>5.9374187397070295E-2</v>
      </c>
      <c r="BC145" s="162">
        <v>59277</v>
      </c>
      <c r="BD145" s="161">
        <v>0.64224885152119271</v>
      </c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</row>
    <row r="146" spans="1:103" ht="16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 s="28"/>
      <c r="W146"/>
      <c r="X146"/>
      <c r="Y146"/>
      <c r="Z146"/>
      <c r="AA146"/>
      <c r="AB146"/>
      <c r="AC146"/>
      <c r="AD146"/>
      <c r="AE146" s="92">
        <v>17</v>
      </c>
      <c r="AF146" s="93">
        <v>47</v>
      </c>
      <c r="AG146" s="98">
        <v>5</v>
      </c>
      <c r="AH146" s="94">
        <v>47.1</v>
      </c>
      <c r="AI146" s="95">
        <v>623</v>
      </c>
      <c r="AJ146" s="96">
        <v>3.0093710752584293E-2</v>
      </c>
      <c r="AK146" s="97">
        <v>11263</v>
      </c>
      <c r="AL146" s="96">
        <v>0.54405371461694518</v>
      </c>
      <c r="AM146"/>
      <c r="AN146" s="92">
        <v>17</v>
      </c>
      <c r="AO146" s="93">
        <v>49</v>
      </c>
      <c r="AP146" s="98">
        <v>5</v>
      </c>
      <c r="AQ146" s="94">
        <v>54.52</v>
      </c>
      <c r="AR146" s="95">
        <v>204</v>
      </c>
      <c r="AS146" s="96">
        <v>3.9178029575571344E-2</v>
      </c>
      <c r="AT146" s="97">
        <v>2470</v>
      </c>
      <c r="AU146" s="96">
        <v>0.47436143652775109</v>
      </c>
      <c r="AV146"/>
      <c r="AW146" s="99">
        <v>17</v>
      </c>
      <c r="AX146" s="145"/>
      <c r="AY146" s="147"/>
      <c r="AZ146" s="149"/>
      <c r="BA146" s="151"/>
      <c r="BB146" s="158"/>
      <c r="BC146" s="160"/>
      <c r="BD146" s="158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</row>
    <row r="147" spans="1:103" ht="16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 s="28"/>
      <c r="W147"/>
      <c r="X147"/>
      <c r="Y147"/>
      <c r="Z147"/>
      <c r="AA147"/>
      <c r="AB147"/>
      <c r="AC147"/>
      <c r="AD147"/>
      <c r="AE147" s="99">
        <v>16</v>
      </c>
      <c r="AF147" s="100">
        <v>46</v>
      </c>
      <c r="AG147" s="101">
        <v>5</v>
      </c>
      <c r="AH147" s="102">
        <v>42.37</v>
      </c>
      <c r="AI147" s="103">
        <v>1336</v>
      </c>
      <c r="AJ147" s="104">
        <v>6.4534827552893442E-2</v>
      </c>
      <c r="AK147" s="105">
        <v>12599</v>
      </c>
      <c r="AL147" s="104">
        <v>0.60858854216983871</v>
      </c>
      <c r="AM147"/>
      <c r="AN147" s="92">
        <v>16</v>
      </c>
      <c r="AO147" s="93">
        <v>48</v>
      </c>
      <c r="AP147" s="98">
        <v>5</v>
      </c>
      <c r="AQ147" s="94">
        <v>50.83</v>
      </c>
      <c r="AR147" s="95">
        <v>181</v>
      </c>
      <c r="AS147" s="96">
        <v>3.4760898790090262E-2</v>
      </c>
      <c r="AT147" s="97">
        <v>2651</v>
      </c>
      <c r="AU147" s="96">
        <v>0.50912233531784135</v>
      </c>
      <c r="AV147"/>
      <c r="AW147" s="92">
        <v>16</v>
      </c>
      <c r="AX147" s="93">
        <v>44</v>
      </c>
      <c r="AY147" s="98">
        <v>6</v>
      </c>
      <c r="AZ147" s="94">
        <v>34.380000000000003</v>
      </c>
      <c r="BA147" s="95">
        <v>2573</v>
      </c>
      <c r="BB147" s="96">
        <v>2.7877697841726619E-2</v>
      </c>
      <c r="BC147" s="97">
        <v>61850</v>
      </c>
      <c r="BD147" s="96">
        <v>0.67012654936291927</v>
      </c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</row>
    <row r="148" spans="1:103" ht="16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 s="28"/>
      <c r="W148"/>
      <c r="X148"/>
      <c r="Y148"/>
      <c r="Z148"/>
      <c r="AA148"/>
      <c r="AB148"/>
      <c r="AC148"/>
      <c r="AD148"/>
      <c r="AE148" s="92">
        <v>15</v>
      </c>
      <c r="AF148" s="93">
        <v>45</v>
      </c>
      <c r="AG148" s="98">
        <v>6</v>
      </c>
      <c r="AH148" s="94">
        <v>37.270000000000003</v>
      </c>
      <c r="AI148" s="95">
        <v>776</v>
      </c>
      <c r="AJ148" s="96">
        <v>3.7484301033716548E-2</v>
      </c>
      <c r="AK148" s="97">
        <v>13375</v>
      </c>
      <c r="AL148" s="96">
        <v>0.64607284320355518</v>
      </c>
      <c r="AM148"/>
      <c r="AN148" s="92">
        <v>15</v>
      </c>
      <c r="AO148" s="93">
        <v>47</v>
      </c>
      <c r="AP148" s="98">
        <v>5</v>
      </c>
      <c r="AQ148" s="94">
        <v>47.17</v>
      </c>
      <c r="AR148" s="95">
        <v>200</v>
      </c>
      <c r="AS148" s="96">
        <v>3.8409832917226813E-2</v>
      </c>
      <c r="AT148" s="97">
        <v>2851</v>
      </c>
      <c r="AU148" s="96">
        <v>0.54753216823506823</v>
      </c>
      <c r="AV148"/>
      <c r="AW148" s="92">
        <v>15</v>
      </c>
      <c r="AX148" s="93">
        <v>43</v>
      </c>
      <c r="AY148" s="98">
        <v>6</v>
      </c>
      <c r="AZ148" s="94">
        <v>31.4</v>
      </c>
      <c r="BA148" s="95">
        <v>2924</v>
      </c>
      <c r="BB148" s="96">
        <v>3.1680679552743347E-2</v>
      </c>
      <c r="BC148" s="97">
        <v>64774</v>
      </c>
      <c r="BD148" s="96">
        <v>0.70180722891566261</v>
      </c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</row>
    <row r="149" spans="1:103" ht="16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 s="28"/>
      <c r="W149"/>
      <c r="X149"/>
      <c r="Y149"/>
      <c r="Z149"/>
      <c r="AA149"/>
      <c r="AB149"/>
      <c r="AC149"/>
      <c r="AD149"/>
      <c r="AE149" s="92">
        <v>14</v>
      </c>
      <c r="AF149" s="93">
        <v>44</v>
      </c>
      <c r="AG149" s="98">
        <v>6</v>
      </c>
      <c r="AH149" s="94">
        <v>33.869999999999997</v>
      </c>
      <c r="AI149" s="95">
        <v>630</v>
      </c>
      <c r="AJ149" s="96">
        <v>3.0431842334074002E-2</v>
      </c>
      <c r="AK149" s="97">
        <v>14005</v>
      </c>
      <c r="AL149" s="96">
        <v>0.67650468553762921</v>
      </c>
      <c r="AM149"/>
      <c r="AN149" s="92">
        <v>14</v>
      </c>
      <c r="AO149" s="93">
        <v>46</v>
      </c>
      <c r="AP149" s="98">
        <v>5</v>
      </c>
      <c r="AQ149" s="94">
        <v>43.41</v>
      </c>
      <c r="AR149" s="95">
        <v>191</v>
      </c>
      <c r="AS149" s="96">
        <v>3.6681390435951602E-2</v>
      </c>
      <c r="AT149" s="97">
        <v>3042</v>
      </c>
      <c r="AU149" s="96">
        <v>0.58421355867101976</v>
      </c>
      <c r="AV149"/>
      <c r="AW149" s="92">
        <v>14</v>
      </c>
      <c r="AX149" s="93">
        <v>42</v>
      </c>
      <c r="AY149" s="98">
        <v>6</v>
      </c>
      <c r="AZ149" s="94">
        <v>28.18</v>
      </c>
      <c r="BA149" s="95">
        <v>3028</v>
      </c>
      <c r="BB149" s="96">
        <v>3.2807488948600159E-2</v>
      </c>
      <c r="BC149" s="97">
        <v>67802</v>
      </c>
      <c r="BD149" s="96">
        <v>0.7346147178642628</v>
      </c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</row>
    <row r="150" spans="1:103" ht="16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 s="28"/>
      <c r="W150"/>
      <c r="X150"/>
      <c r="Y150"/>
      <c r="Z150"/>
      <c r="AA150"/>
      <c r="AB150"/>
      <c r="AC150"/>
      <c r="AD150"/>
      <c r="AE150" s="92">
        <v>13</v>
      </c>
      <c r="AF150" s="93">
        <v>43</v>
      </c>
      <c r="AG150" s="98">
        <v>6</v>
      </c>
      <c r="AH150" s="94">
        <v>30.34</v>
      </c>
      <c r="AI150" s="95">
        <v>833</v>
      </c>
      <c r="AJ150" s="96">
        <v>4.0237658197275629E-2</v>
      </c>
      <c r="AK150" s="97">
        <v>14838</v>
      </c>
      <c r="AL150" s="96">
        <v>0.71674234373490486</v>
      </c>
      <c r="AM150"/>
      <c r="AN150" s="99">
        <v>13</v>
      </c>
      <c r="AO150" s="100">
        <v>45</v>
      </c>
      <c r="AP150" s="101">
        <v>5</v>
      </c>
      <c r="AQ150" s="102">
        <v>40.020000000000003</v>
      </c>
      <c r="AR150" s="103">
        <v>162</v>
      </c>
      <c r="AS150" s="104">
        <v>3.1111964662953715E-2</v>
      </c>
      <c r="AT150" s="105">
        <v>3204</v>
      </c>
      <c r="AU150" s="104">
        <v>0.6153255233339735</v>
      </c>
      <c r="AV150"/>
      <c r="AW150" s="92">
        <v>13</v>
      </c>
      <c r="AX150" s="93">
        <v>41</v>
      </c>
      <c r="AY150" s="98">
        <v>6</v>
      </c>
      <c r="AZ150" s="94">
        <v>25.21</v>
      </c>
      <c r="BA150" s="95">
        <v>2459</v>
      </c>
      <c r="BB150" s="96">
        <v>2.6642541388575885E-2</v>
      </c>
      <c r="BC150" s="97">
        <v>70261</v>
      </c>
      <c r="BD150" s="96">
        <v>0.76125725925283871</v>
      </c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</row>
    <row r="151" spans="1:103" ht="16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 s="92">
        <v>12</v>
      </c>
      <c r="AF151" s="93">
        <v>42</v>
      </c>
      <c r="AG151" s="98">
        <v>6</v>
      </c>
      <c r="AH151" s="94">
        <v>26.58</v>
      </c>
      <c r="AI151" s="95">
        <v>724</v>
      </c>
      <c r="AJ151" s="96">
        <v>3.4972466428364407E-2</v>
      </c>
      <c r="AK151" s="97">
        <v>15562</v>
      </c>
      <c r="AL151" s="96">
        <v>0.75171481016326924</v>
      </c>
      <c r="AM151"/>
      <c r="AN151" s="92">
        <v>12</v>
      </c>
      <c r="AO151" s="93">
        <v>44</v>
      </c>
      <c r="AP151" s="98">
        <v>6</v>
      </c>
      <c r="AQ151" s="94">
        <v>34.57</v>
      </c>
      <c r="AR151" s="95">
        <v>406</v>
      </c>
      <c r="AS151" s="96">
        <v>7.7971960821970429E-2</v>
      </c>
      <c r="AT151" s="97">
        <v>3610</v>
      </c>
      <c r="AU151" s="96">
        <v>0.69329748415594394</v>
      </c>
      <c r="AV151"/>
      <c r="AW151" s="92">
        <v>12</v>
      </c>
      <c r="AX151" s="152">
        <v>40</v>
      </c>
      <c r="AY151" s="153">
        <v>6</v>
      </c>
      <c r="AZ151" s="154">
        <v>17.72</v>
      </c>
      <c r="BA151" s="155">
        <v>11363</v>
      </c>
      <c r="BB151" s="161">
        <v>0.12311476120308572</v>
      </c>
      <c r="BC151" s="162">
        <v>81624</v>
      </c>
      <c r="BD151" s="161">
        <v>0.88437202045592445</v>
      </c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</row>
    <row r="152" spans="1:103" ht="16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 s="92">
        <v>11</v>
      </c>
      <c r="AF152" s="152">
        <v>41</v>
      </c>
      <c r="AG152" s="153">
        <v>6</v>
      </c>
      <c r="AH152" s="154">
        <v>18.8</v>
      </c>
      <c r="AI152" s="155">
        <v>2497</v>
      </c>
      <c r="AJ152" s="161">
        <v>0.1206163655685441</v>
      </c>
      <c r="AK152" s="162">
        <v>18059</v>
      </c>
      <c r="AL152" s="161">
        <v>0.8723311757318134</v>
      </c>
      <c r="AM152"/>
      <c r="AN152" s="99">
        <v>11</v>
      </c>
      <c r="AO152" s="100">
        <v>43</v>
      </c>
      <c r="AP152" s="101">
        <v>6</v>
      </c>
      <c r="AQ152" s="102">
        <v>24.69</v>
      </c>
      <c r="AR152" s="103">
        <v>623</v>
      </c>
      <c r="AS152" s="104">
        <v>0.11964662953716151</v>
      </c>
      <c r="AT152" s="105">
        <v>4233</v>
      </c>
      <c r="AU152" s="104">
        <v>0.81294411369310549</v>
      </c>
      <c r="AV152"/>
      <c r="AW152" s="99">
        <v>11</v>
      </c>
      <c r="AX152" s="145"/>
      <c r="AY152" s="147"/>
      <c r="AZ152" s="149"/>
      <c r="BA152" s="151"/>
      <c r="BB152" s="158"/>
      <c r="BC152" s="160"/>
      <c r="BD152" s="158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</row>
    <row r="153" spans="1:103" ht="16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 s="99">
        <v>10</v>
      </c>
      <c r="AF153" s="145"/>
      <c r="AG153" s="147"/>
      <c r="AH153" s="149"/>
      <c r="AI153" s="151"/>
      <c r="AJ153" s="158"/>
      <c r="AK153" s="160"/>
      <c r="AL153" s="158"/>
      <c r="AM153"/>
      <c r="AN153" s="92">
        <v>10</v>
      </c>
      <c r="AO153" s="93">
        <v>42</v>
      </c>
      <c r="AP153" s="98">
        <v>7</v>
      </c>
      <c r="AQ153" s="94">
        <v>16.95</v>
      </c>
      <c r="AR153" s="95">
        <v>183</v>
      </c>
      <c r="AS153" s="96">
        <v>3.5144997119262535E-2</v>
      </c>
      <c r="AT153" s="97">
        <v>4416</v>
      </c>
      <c r="AU153" s="96">
        <v>0.84808911081236793</v>
      </c>
      <c r="AV153"/>
      <c r="AW153" s="99">
        <v>10</v>
      </c>
      <c r="AX153" s="100">
        <v>39</v>
      </c>
      <c r="AY153" s="101">
        <v>7</v>
      </c>
      <c r="AZ153" s="102">
        <v>10.029999999999999</v>
      </c>
      <c r="BA153" s="103">
        <v>2836</v>
      </c>
      <c r="BB153" s="104">
        <v>3.0727225448556817E-2</v>
      </c>
      <c r="BC153" s="105">
        <v>84460</v>
      </c>
      <c r="BD153" s="104">
        <v>0.91509924590448122</v>
      </c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</row>
    <row r="154" spans="1:103" ht="16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 s="99">
        <v>9</v>
      </c>
      <c r="AF154" s="100">
        <v>40</v>
      </c>
      <c r="AG154" s="101">
        <v>7</v>
      </c>
      <c r="AH154" s="102">
        <v>11.69</v>
      </c>
      <c r="AI154" s="103">
        <v>447</v>
      </c>
      <c r="AJ154" s="104">
        <v>2.1592116703700124E-2</v>
      </c>
      <c r="AK154" s="105">
        <v>18506</v>
      </c>
      <c r="AL154" s="104">
        <v>0.89392329243551349</v>
      </c>
      <c r="AM154"/>
      <c r="AN154" s="92">
        <v>9</v>
      </c>
      <c r="AO154" s="93">
        <v>41</v>
      </c>
      <c r="AP154" s="98">
        <v>7</v>
      </c>
      <c r="AQ154" s="94">
        <v>13.47</v>
      </c>
      <c r="AR154" s="95">
        <v>179</v>
      </c>
      <c r="AS154" s="96">
        <v>3.4376800460917997E-2</v>
      </c>
      <c r="AT154" s="97">
        <v>4595</v>
      </c>
      <c r="AU154" s="96">
        <v>0.882465911273286</v>
      </c>
      <c r="AV154"/>
      <c r="AW154" s="92">
        <v>9</v>
      </c>
      <c r="AX154" s="93">
        <v>38</v>
      </c>
      <c r="AY154" s="98">
        <v>8</v>
      </c>
      <c r="AZ154" s="94">
        <v>7.47</v>
      </c>
      <c r="BA154" s="95">
        <v>1876</v>
      </c>
      <c r="BB154" s="96">
        <v>2.0325907948340122E-2</v>
      </c>
      <c r="BC154" s="97">
        <v>86336</v>
      </c>
      <c r="BD154" s="96">
        <v>0.93542515385282132</v>
      </c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</row>
    <row r="155" spans="1:103" ht="16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 s="92">
        <v>8</v>
      </c>
      <c r="AF155" s="93">
        <v>39</v>
      </c>
      <c r="AG155" s="98">
        <v>8</v>
      </c>
      <c r="AH155" s="94">
        <v>9.1300000000000008</v>
      </c>
      <c r="AI155" s="95">
        <v>611</v>
      </c>
      <c r="AJ155" s="96">
        <v>2.9514056612887644E-2</v>
      </c>
      <c r="AK155" s="97">
        <v>19117</v>
      </c>
      <c r="AL155" s="96">
        <v>0.92343734904840113</v>
      </c>
      <c r="AM155"/>
      <c r="AN155" s="99">
        <v>8</v>
      </c>
      <c r="AO155" s="100">
        <v>40</v>
      </c>
      <c r="AP155" s="101">
        <v>7</v>
      </c>
      <c r="AQ155" s="102">
        <v>10.42</v>
      </c>
      <c r="AR155" s="103">
        <v>139</v>
      </c>
      <c r="AS155" s="104">
        <v>2.6694833877472634E-2</v>
      </c>
      <c r="AT155" s="105">
        <v>4734</v>
      </c>
      <c r="AU155" s="104">
        <v>0.90916074515075862</v>
      </c>
      <c r="AV155"/>
      <c r="AW155" s="92">
        <v>8</v>
      </c>
      <c r="AX155" s="93">
        <v>37</v>
      </c>
      <c r="AY155" s="98">
        <v>8</v>
      </c>
      <c r="AZ155" s="94">
        <v>5.72</v>
      </c>
      <c r="BA155" s="95">
        <v>1363</v>
      </c>
      <c r="BB155" s="96">
        <v>1.4767703909161827E-2</v>
      </c>
      <c r="BC155" s="97">
        <v>87699</v>
      </c>
      <c r="BD155" s="96">
        <v>0.95019285776198315</v>
      </c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</row>
    <row r="156" spans="1:103" ht="16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 s="92">
        <v>7</v>
      </c>
      <c r="AF156" s="93">
        <v>38</v>
      </c>
      <c r="AG156" s="98">
        <v>8</v>
      </c>
      <c r="AH156" s="94">
        <v>6.54</v>
      </c>
      <c r="AI156" s="95">
        <v>463</v>
      </c>
      <c r="AJ156" s="96">
        <v>2.2364988889962321E-2</v>
      </c>
      <c r="AK156" s="97">
        <v>19580</v>
      </c>
      <c r="AL156" s="96">
        <v>0.94580233793836344</v>
      </c>
      <c r="AM156"/>
      <c r="AN156" s="92">
        <v>7</v>
      </c>
      <c r="AO156" s="93">
        <v>39</v>
      </c>
      <c r="AP156" s="98">
        <v>8</v>
      </c>
      <c r="AQ156" s="94">
        <v>7.27</v>
      </c>
      <c r="AR156" s="95">
        <v>189</v>
      </c>
      <c r="AS156" s="96">
        <v>3.6297292106779337E-2</v>
      </c>
      <c r="AT156" s="97">
        <v>4923</v>
      </c>
      <c r="AU156" s="96">
        <v>0.94545803725753796</v>
      </c>
      <c r="AV156"/>
      <c r="AW156" s="99">
        <v>7</v>
      </c>
      <c r="AX156" s="100">
        <v>36</v>
      </c>
      <c r="AY156" s="101">
        <v>8</v>
      </c>
      <c r="AZ156" s="102">
        <v>4.26</v>
      </c>
      <c r="BA156" s="103">
        <v>1333</v>
      </c>
      <c r="BB156" s="104">
        <v>1.4442662737280055E-2</v>
      </c>
      <c r="BC156" s="105">
        <v>89032</v>
      </c>
      <c r="BD156" s="104">
        <v>0.96463552049926327</v>
      </c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</row>
    <row r="157" spans="1:103" ht="16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 s="92">
        <v>6</v>
      </c>
      <c r="AF157" s="93">
        <v>37</v>
      </c>
      <c r="AG157" s="98">
        <v>8</v>
      </c>
      <c r="AH157" s="94">
        <v>4.87</v>
      </c>
      <c r="AI157" s="95">
        <v>227</v>
      </c>
      <c r="AJ157" s="96">
        <v>1.0965124142594918E-2</v>
      </c>
      <c r="AK157" s="97">
        <v>19807</v>
      </c>
      <c r="AL157" s="96">
        <v>0.95676746208095831</v>
      </c>
      <c r="AM157"/>
      <c r="AN157" s="92">
        <v>6</v>
      </c>
      <c r="AO157" s="93">
        <v>38</v>
      </c>
      <c r="AP157" s="98">
        <v>8</v>
      </c>
      <c r="AQ157" s="94">
        <v>4.7699999999999996</v>
      </c>
      <c r="AR157" s="95">
        <v>71</v>
      </c>
      <c r="AS157" s="96">
        <v>1.3635490685615518E-2</v>
      </c>
      <c r="AT157" s="97">
        <v>4994</v>
      </c>
      <c r="AU157" s="96">
        <v>0.9590935279431535</v>
      </c>
      <c r="AV157"/>
      <c r="AW157" s="92">
        <v>6</v>
      </c>
      <c r="AX157" s="144">
        <v>35</v>
      </c>
      <c r="AY157" s="146">
        <v>9</v>
      </c>
      <c r="AZ157" s="148">
        <v>2.57</v>
      </c>
      <c r="BA157" s="150">
        <v>1789</v>
      </c>
      <c r="BB157" s="157">
        <v>1.9383288549882985E-2</v>
      </c>
      <c r="BC157" s="159">
        <v>90821</v>
      </c>
      <c r="BD157" s="157">
        <v>0.98401880904914618</v>
      </c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</row>
    <row r="158" spans="1:103" ht="16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 s="99">
        <v>5</v>
      </c>
      <c r="AF158" s="100">
        <v>36</v>
      </c>
      <c r="AG158" s="101">
        <v>8</v>
      </c>
      <c r="AH158" s="102">
        <v>3.21</v>
      </c>
      <c r="AI158" s="103">
        <v>459</v>
      </c>
      <c r="AJ158" s="104">
        <v>2.2171770843396773E-2</v>
      </c>
      <c r="AK158" s="105">
        <v>20266</v>
      </c>
      <c r="AL158" s="104">
        <v>0.97893923292435514</v>
      </c>
      <c r="AM158"/>
      <c r="AN158" s="99">
        <v>5</v>
      </c>
      <c r="AO158" s="100">
        <v>37</v>
      </c>
      <c r="AP158" s="101">
        <v>8</v>
      </c>
      <c r="AQ158" s="102">
        <v>3.26</v>
      </c>
      <c r="AR158" s="103">
        <v>86</v>
      </c>
      <c r="AS158" s="104">
        <v>1.6516228154407529E-2</v>
      </c>
      <c r="AT158" s="105">
        <v>5080</v>
      </c>
      <c r="AU158" s="104">
        <v>0.97560975609756095</v>
      </c>
      <c r="AV158"/>
      <c r="AW158" s="92">
        <v>5</v>
      </c>
      <c r="AX158" s="145"/>
      <c r="AY158" s="147"/>
      <c r="AZ158" s="149"/>
      <c r="BA158" s="151"/>
      <c r="BB158" s="158"/>
      <c r="BC158" s="160"/>
      <c r="BD158" s="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</row>
    <row r="159" spans="1:103" ht="16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 s="92">
        <v>4</v>
      </c>
      <c r="AF159" s="93">
        <v>35</v>
      </c>
      <c r="AG159" s="98">
        <v>9</v>
      </c>
      <c r="AH159" s="94">
        <v>1.81</v>
      </c>
      <c r="AI159" s="95">
        <v>124</v>
      </c>
      <c r="AJ159" s="96">
        <v>5.9897594435320261E-3</v>
      </c>
      <c r="AK159" s="97">
        <v>20390</v>
      </c>
      <c r="AL159" s="96">
        <v>0.98492899236788711</v>
      </c>
      <c r="AM159"/>
      <c r="AN159" s="92">
        <v>4</v>
      </c>
      <c r="AO159" s="93">
        <v>36</v>
      </c>
      <c r="AP159" s="98">
        <v>9</v>
      </c>
      <c r="AQ159" s="94">
        <v>2.04</v>
      </c>
      <c r="AR159" s="116">
        <v>42</v>
      </c>
      <c r="AS159" s="96">
        <v>8.0660649126176303E-3</v>
      </c>
      <c r="AT159" s="97">
        <v>5122</v>
      </c>
      <c r="AU159" s="96">
        <v>0.98367582101017859</v>
      </c>
      <c r="AV159"/>
      <c r="AW159" s="92">
        <v>4</v>
      </c>
      <c r="AX159" s="93">
        <v>34</v>
      </c>
      <c r="AY159" s="98">
        <v>9</v>
      </c>
      <c r="AZ159" s="94">
        <v>1.33</v>
      </c>
      <c r="BA159" s="95">
        <v>486</v>
      </c>
      <c r="BB159" s="96">
        <v>5.2656669844847017E-3</v>
      </c>
      <c r="BC159" s="97">
        <v>91307</v>
      </c>
      <c r="BD159" s="96">
        <v>0.9892844760336309</v>
      </c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</row>
    <row r="160" spans="1:103" ht="16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 s="92">
        <v>3</v>
      </c>
      <c r="AF160" s="93">
        <v>34</v>
      </c>
      <c r="AG160" s="98">
        <v>9</v>
      </c>
      <c r="AH160" s="94">
        <v>1.28</v>
      </c>
      <c r="AI160" s="95">
        <v>94</v>
      </c>
      <c r="AJ160" s="96">
        <v>4.5406240942904071E-3</v>
      </c>
      <c r="AK160" s="97">
        <v>20484</v>
      </c>
      <c r="AL160" s="96">
        <v>0.98946961646217757</v>
      </c>
      <c r="AM160"/>
      <c r="AN160" s="92">
        <v>3</v>
      </c>
      <c r="AO160" s="93">
        <v>35</v>
      </c>
      <c r="AP160" s="98">
        <v>9</v>
      </c>
      <c r="AQ160" s="94">
        <v>1.45</v>
      </c>
      <c r="AR160" s="116">
        <v>19</v>
      </c>
      <c r="AS160" s="96">
        <v>3.6489341271365469E-3</v>
      </c>
      <c r="AT160" s="97">
        <v>5141</v>
      </c>
      <c r="AU160" s="96">
        <v>0.9873247551373151</v>
      </c>
      <c r="AV160"/>
      <c r="AW160" s="92">
        <v>3</v>
      </c>
      <c r="AX160" s="93">
        <v>33</v>
      </c>
      <c r="AY160" s="98">
        <v>9</v>
      </c>
      <c r="AZ160" s="94">
        <v>0.93</v>
      </c>
      <c r="BA160" s="95">
        <v>256</v>
      </c>
      <c r="BB160" s="96">
        <v>2.7736846667244519E-3</v>
      </c>
      <c r="BC160" s="97">
        <v>91563</v>
      </c>
      <c r="BD160" s="96">
        <v>0.99205816070035535</v>
      </c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</row>
    <row r="161" spans="1:103" ht="16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 s="92">
        <v>2</v>
      </c>
      <c r="AF161" s="93">
        <v>33</v>
      </c>
      <c r="AG161" s="98">
        <v>9</v>
      </c>
      <c r="AH161" s="94">
        <v>0.78</v>
      </c>
      <c r="AI161" s="95">
        <v>114</v>
      </c>
      <c r="AJ161" s="96">
        <v>5.5067143271181531E-3</v>
      </c>
      <c r="AK161" s="97">
        <v>20598</v>
      </c>
      <c r="AL161" s="96">
        <v>0.9949763307892957</v>
      </c>
      <c r="AM161"/>
      <c r="AN161" s="92">
        <v>2</v>
      </c>
      <c r="AO161" s="93">
        <v>34</v>
      </c>
      <c r="AP161" s="98">
        <v>9</v>
      </c>
      <c r="AQ161" s="94">
        <v>1.04</v>
      </c>
      <c r="AR161" s="116">
        <v>24</v>
      </c>
      <c r="AS161" s="96">
        <v>4.6091799500672173E-3</v>
      </c>
      <c r="AT161" s="97">
        <v>5165</v>
      </c>
      <c r="AU161" s="96">
        <v>0.99193393508738237</v>
      </c>
      <c r="AV161"/>
      <c r="AW161" s="92">
        <v>2</v>
      </c>
      <c r="AX161" s="93">
        <v>32</v>
      </c>
      <c r="AY161" s="98">
        <v>9</v>
      </c>
      <c r="AZ161" s="94">
        <v>0.61</v>
      </c>
      <c r="BA161" s="95">
        <v>347</v>
      </c>
      <c r="BB161" s="96">
        <v>3.7596428880991594E-3</v>
      </c>
      <c r="BC161" s="97">
        <v>91910</v>
      </c>
      <c r="BD161" s="96">
        <v>0.99581780358845451</v>
      </c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</row>
    <row r="162" spans="1:103" ht="16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 s="99">
        <v>0</v>
      </c>
      <c r="AF162" s="100">
        <v>32</v>
      </c>
      <c r="AG162" s="101">
        <v>9</v>
      </c>
      <c r="AH162" s="102">
        <v>0.25</v>
      </c>
      <c r="AI162" s="103">
        <v>104</v>
      </c>
      <c r="AJ162" s="104">
        <v>5.0236692107042801E-3</v>
      </c>
      <c r="AK162" s="105">
        <v>20702</v>
      </c>
      <c r="AL162" s="106">
        <v>1</v>
      </c>
      <c r="AM162"/>
      <c r="AN162" s="99">
        <v>0</v>
      </c>
      <c r="AO162" s="100">
        <v>32</v>
      </c>
      <c r="AP162" s="101">
        <v>9</v>
      </c>
      <c r="AQ162" s="102">
        <v>0.4</v>
      </c>
      <c r="AR162" s="107">
        <v>42</v>
      </c>
      <c r="AS162" s="104">
        <v>8.0660649126176303E-3</v>
      </c>
      <c r="AT162" s="105">
        <v>5207</v>
      </c>
      <c r="AU162" s="106">
        <v>1</v>
      </c>
      <c r="AV162"/>
      <c r="AW162" s="99">
        <v>0</v>
      </c>
      <c r="AX162" s="100">
        <v>30</v>
      </c>
      <c r="AY162" s="101">
        <v>9</v>
      </c>
      <c r="AZ162" s="102">
        <v>0.21</v>
      </c>
      <c r="BA162" s="103">
        <v>386</v>
      </c>
      <c r="BB162" s="104">
        <v>4.1821964115454626E-3</v>
      </c>
      <c r="BC162" s="105">
        <v>92296</v>
      </c>
      <c r="BD162" s="106">
        <v>1</v>
      </c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</row>
  </sheetData>
  <mergeCells count="639">
    <mergeCell ref="I99:J99"/>
    <mergeCell ref="BB157:BB158"/>
    <mergeCell ref="BC157:BC158"/>
    <mergeCell ref="BD157:BD158"/>
    <mergeCell ref="F1:M1"/>
    <mergeCell ref="F3:G3"/>
    <mergeCell ref="I3:J3"/>
    <mergeCell ref="F15:G15"/>
    <mergeCell ref="I15:J15"/>
    <mergeCell ref="F27:G27"/>
    <mergeCell ref="I27:J27"/>
    <mergeCell ref="L27:M27"/>
    <mergeCell ref="F39:G39"/>
    <mergeCell ref="I39:J39"/>
    <mergeCell ref="L39:M39"/>
    <mergeCell ref="F51:G51"/>
    <mergeCell ref="I51:J51"/>
    <mergeCell ref="L51:M51"/>
    <mergeCell ref="F63:G63"/>
    <mergeCell ref="I63:J63"/>
    <mergeCell ref="F75:G75"/>
    <mergeCell ref="I75:J75"/>
    <mergeCell ref="F87:G87"/>
    <mergeCell ref="I87:J87"/>
    <mergeCell ref="F99:G99"/>
    <mergeCell ref="BB139:BB140"/>
    <mergeCell ref="BC139:BC140"/>
    <mergeCell ref="BD139:BD140"/>
    <mergeCell ref="BB145:BB146"/>
    <mergeCell ref="BC145:BC146"/>
    <mergeCell ref="BD145:BD146"/>
    <mergeCell ref="AN111:AO111"/>
    <mergeCell ref="AS115:AS116"/>
    <mergeCell ref="AT115:AT116"/>
    <mergeCell ref="AS100:AS101"/>
    <mergeCell ref="AT100:AT101"/>
    <mergeCell ref="AU100:AU101"/>
    <mergeCell ref="AS105:AS106"/>
    <mergeCell ref="AT105:AT106"/>
    <mergeCell ref="AU105:AU106"/>
    <mergeCell ref="AO105:AO106"/>
    <mergeCell ref="AL100:AL101"/>
    <mergeCell ref="AL105:AL106"/>
    <mergeCell ref="AF105:AF106"/>
    <mergeCell ref="AG105:AG106"/>
    <mergeCell ref="AH105:AH106"/>
    <mergeCell ref="AI105:AI106"/>
    <mergeCell ref="AK100:AK101"/>
    <mergeCell ref="BD88:BD89"/>
    <mergeCell ref="BB93:BB94"/>
    <mergeCell ref="BC93:BC94"/>
    <mergeCell ref="BD93:BD94"/>
    <mergeCell ref="BB99:BB100"/>
    <mergeCell ref="BC99:BC100"/>
    <mergeCell ref="BD99:BD100"/>
    <mergeCell ref="BB104:BB105"/>
    <mergeCell ref="BC104:BC105"/>
    <mergeCell ref="BD104:BD105"/>
    <mergeCell ref="BB88:BB89"/>
    <mergeCell ref="BC88:BC89"/>
    <mergeCell ref="BB151:BB152"/>
    <mergeCell ref="BC151:BC152"/>
    <mergeCell ref="BD151:BD152"/>
    <mergeCell ref="AJ142:AJ143"/>
    <mergeCell ref="AK142:AK143"/>
    <mergeCell ref="AL142:AL143"/>
    <mergeCell ref="AJ152:AJ153"/>
    <mergeCell ref="AK152:AK153"/>
    <mergeCell ref="AL152:AL153"/>
    <mergeCell ref="AS143:AS144"/>
    <mergeCell ref="AT143:AT144"/>
    <mergeCell ref="AU143:AU144"/>
    <mergeCell ref="CC102:CC103"/>
    <mergeCell ref="CD102:CD103"/>
    <mergeCell ref="CE102:CE103"/>
    <mergeCell ref="CG56:CH56"/>
    <mergeCell ref="AE111:AF111"/>
    <mergeCell ref="AJ123:AJ124"/>
    <mergeCell ref="AK123:AK124"/>
    <mergeCell ref="AL123:AL124"/>
    <mergeCell ref="AJ132:AJ133"/>
    <mergeCell ref="AK132:AK133"/>
    <mergeCell ref="AL132:AL133"/>
    <mergeCell ref="AU115:AU116"/>
    <mergeCell ref="AW111:AX111"/>
    <mergeCell ref="BB121:BB122"/>
    <mergeCell ref="BC121:BC122"/>
    <mergeCell ref="BD121:BD122"/>
    <mergeCell ref="BB127:BB128"/>
    <mergeCell ref="BC127:BC128"/>
    <mergeCell ref="BD127:BD128"/>
    <mergeCell ref="BB133:BB134"/>
    <mergeCell ref="BC133:BC134"/>
    <mergeCell ref="BD133:BD134"/>
    <mergeCell ref="BT102:BT103"/>
    <mergeCell ref="BU102:BU103"/>
    <mergeCell ref="CD92:CD93"/>
    <mergeCell ref="CE92:CE93"/>
    <mergeCell ref="BX56:BY56"/>
    <mergeCell ref="CC65:CC66"/>
    <mergeCell ref="CD65:CD66"/>
    <mergeCell ref="CE65:CE66"/>
    <mergeCell ref="CC70:CC71"/>
    <mergeCell ref="CD70:CD71"/>
    <mergeCell ref="CE70:CE71"/>
    <mergeCell ref="CC76:CC77"/>
    <mergeCell ref="CD76:CD77"/>
    <mergeCell ref="CE76:CE77"/>
    <mergeCell ref="BY70:BY71"/>
    <mergeCell ref="BZ70:BZ71"/>
    <mergeCell ref="CA70:CA71"/>
    <mergeCell ref="CB70:CB71"/>
    <mergeCell ref="CA65:CA66"/>
    <mergeCell ref="CB65:CB66"/>
    <mergeCell ref="BK100:BK101"/>
    <mergeCell ref="BL100:BL101"/>
    <mergeCell ref="BM100:BM101"/>
    <mergeCell ref="BO56:BP56"/>
    <mergeCell ref="BT64:BT65"/>
    <mergeCell ref="BU64:BU65"/>
    <mergeCell ref="BV64:BV65"/>
    <mergeCell ref="BT77:BT78"/>
    <mergeCell ref="BU77:BU78"/>
    <mergeCell ref="BV77:BV78"/>
    <mergeCell ref="BT89:BT90"/>
    <mergeCell ref="BU89:BU90"/>
    <mergeCell ref="BV89:BV90"/>
    <mergeCell ref="BP64:BP65"/>
    <mergeCell ref="BQ64:BQ65"/>
    <mergeCell ref="BR64:BR65"/>
    <mergeCell ref="BD76:BD77"/>
    <mergeCell ref="BB82:BB83"/>
    <mergeCell ref="BC82:BC83"/>
    <mergeCell ref="BD82:BD83"/>
    <mergeCell ref="CC97:CC98"/>
    <mergeCell ref="CD97:CD98"/>
    <mergeCell ref="CE97:CE98"/>
    <mergeCell ref="CA92:CA93"/>
    <mergeCell ref="CB92:CB93"/>
    <mergeCell ref="BY86:BY87"/>
    <mergeCell ref="BZ86:BZ87"/>
    <mergeCell ref="CA86:CA87"/>
    <mergeCell ref="CB86:CB87"/>
    <mergeCell ref="BR77:BR78"/>
    <mergeCell ref="BS77:BS78"/>
    <mergeCell ref="BP89:BP90"/>
    <mergeCell ref="BQ89:BQ90"/>
    <mergeCell ref="CC81:CC82"/>
    <mergeCell ref="CD81:CD82"/>
    <mergeCell ref="CE81:CE82"/>
    <mergeCell ref="CC86:CC87"/>
    <mergeCell ref="CD86:CD87"/>
    <mergeCell ref="CE86:CE87"/>
    <mergeCell ref="CC92:CC93"/>
    <mergeCell ref="AS83:AS84"/>
    <mergeCell ref="AT83:AT84"/>
    <mergeCell ref="AU83:AU84"/>
    <mergeCell ref="AS89:AS90"/>
    <mergeCell ref="AT89:AT90"/>
    <mergeCell ref="AU89:AU90"/>
    <mergeCell ref="AY82:AY83"/>
    <mergeCell ref="AZ82:AZ83"/>
    <mergeCell ref="BA82:BA83"/>
    <mergeCell ref="AW56:AX56"/>
    <mergeCell ref="BB60:BB61"/>
    <mergeCell ref="BC60:BC61"/>
    <mergeCell ref="BB65:BB66"/>
    <mergeCell ref="BC65:BC66"/>
    <mergeCell ref="AX76:AX77"/>
    <mergeCell ref="AY76:AY77"/>
    <mergeCell ref="AZ76:AZ77"/>
    <mergeCell ref="BA76:BA77"/>
    <mergeCell ref="BA60:BA61"/>
    <mergeCell ref="AX65:AX66"/>
    <mergeCell ref="AY65:AY66"/>
    <mergeCell ref="AZ65:AZ66"/>
    <mergeCell ref="BB76:BB77"/>
    <mergeCell ref="BC76:BC77"/>
    <mergeCell ref="AP89:AP90"/>
    <mergeCell ref="AQ89:AQ90"/>
    <mergeCell ref="AR89:AR90"/>
    <mergeCell ref="AP78:AP79"/>
    <mergeCell ref="AQ78:AQ79"/>
    <mergeCell ref="AR78:AR79"/>
    <mergeCell ref="AN56:AO56"/>
    <mergeCell ref="AJ68:AJ69"/>
    <mergeCell ref="AK68:AK69"/>
    <mergeCell ref="AL68:AL69"/>
    <mergeCell ref="AJ73:AJ74"/>
    <mergeCell ref="AK73:AK74"/>
    <mergeCell ref="AL73:AL74"/>
    <mergeCell ref="AJ78:AJ79"/>
    <mergeCell ref="AK78:AK79"/>
    <mergeCell ref="AL78:AL79"/>
    <mergeCell ref="AJ84:AJ85"/>
    <mergeCell ref="AK84:AK85"/>
    <mergeCell ref="AL84:AL85"/>
    <mergeCell ref="AO83:AO84"/>
    <mergeCell ref="AP83:AP84"/>
    <mergeCell ref="AQ83:AQ84"/>
    <mergeCell ref="AR83:AR84"/>
    <mergeCell ref="CG1:CH1"/>
    <mergeCell ref="CL17:CL18"/>
    <mergeCell ref="CM17:CM18"/>
    <mergeCell ref="CN17:CN18"/>
    <mergeCell ref="CL35:CL36"/>
    <mergeCell ref="CM35:CM36"/>
    <mergeCell ref="CN35:CN36"/>
    <mergeCell ref="AE56:AF56"/>
    <mergeCell ref="AJ62:AJ63"/>
    <mergeCell ref="AK62:AK63"/>
    <mergeCell ref="AL62:AL63"/>
    <mergeCell ref="AS61:AS62"/>
    <mergeCell ref="AT61:AT62"/>
    <mergeCell ref="AU61:AU62"/>
    <mergeCell ref="BD60:BD61"/>
    <mergeCell ref="BF56:BG56"/>
    <mergeCell ref="BK62:BK63"/>
    <mergeCell ref="BL62:BL63"/>
    <mergeCell ref="BM62:BM63"/>
    <mergeCell ref="BT50:BT51"/>
    <mergeCell ref="BU50:BU51"/>
    <mergeCell ref="BV50:BV51"/>
    <mergeCell ref="BX1:BY1"/>
    <mergeCell ref="CC5:CC6"/>
    <mergeCell ref="CD5:CD6"/>
    <mergeCell ref="CE5:CE6"/>
    <mergeCell ref="CC24:CC25"/>
    <mergeCell ref="CD24:CD25"/>
    <mergeCell ref="CE24:CE25"/>
    <mergeCell ref="CC43:CC44"/>
    <mergeCell ref="CD43:CD44"/>
    <mergeCell ref="CE43:CE44"/>
    <mergeCell ref="BO1:BP1"/>
    <mergeCell ref="BT14:BT15"/>
    <mergeCell ref="BU14:BU15"/>
    <mergeCell ref="BV14:BV15"/>
    <mergeCell ref="BT26:BT27"/>
    <mergeCell ref="BU26:BU27"/>
    <mergeCell ref="BV26:BV27"/>
    <mergeCell ref="BT38:BT39"/>
    <mergeCell ref="BU38:BU39"/>
    <mergeCell ref="BV38:BV39"/>
    <mergeCell ref="BP14:BP15"/>
    <mergeCell ref="BQ14:BQ15"/>
    <mergeCell ref="BR14:BR15"/>
    <mergeCell ref="BS14:BS15"/>
    <mergeCell ref="CA5:CA6"/>
    <mergeCell ref="CB5:CB6"/>
    <mergeCell ref="BD9:BD10"/>
    <mergeCell ref="BB19:BB20"/>
    <mergeCell ref="BC19:BC20"/>
    <mergeCell ref="BD19:BD20"/>
    <mergeCell ref="BB29:BB30"/>
    <mergeCell ref="BC29:BC30"/>
    <mergeCell ref="BD29:BD30"/>
    <mergeCell ref="BB39:BB40"/>
    <mergeCell ref="BC39:BC40"/>
    <mergeCell ref="BD39:BD40"/>
    <mergeCell ref="AS25:AS26"/>
    <mergeCell ref="AT25:AT26"/>
    <mergeCell ref="AU25:AU26"/>
    <mergeCell ref="AS47:AS48"/>
    <mergeCell ref="AT47:AT48"/>
    <mergeCell ref="AU47:AU48"/>
    <mergeCell ref="AW1:AX1"/>
    <mergeCell ref="BB9:BB10"/>
    <mergeCell ref="BC9:BC10"/>
    <mergeCell ref="AS30:AS31"/>
    <mergeCell ref="AT30:AT31"/>
    <mergeCell ref="AU30:AU31"/>
    <mergeCell ref="AS36:AS37"/>
    <mergeCell ref="AT36:AT37"/>
    <mergeCell ref="AU36:AU37"/>
    <mergeCell ref="AS41:AS42"/>
    <mergeCell ref="AT41:AT42"/>
    <mergeCell ref="AZ19:AZ20"/>
    <mergeCell ref="BA19:BA20"/>
    <mergeCell ref="BA39:BA40"/>
    <mergeCell ref="BA29:BA30"/>
    <mergeCell ref="AJ10:AJ11"/>
    <mergeCell ref="AK10:AK11"/>
    <mergeCell ref="AL10:AL11"/>
    <mergeCell ref="AJ17:AJ18"/>
    <mergeCell ref="AK17:AK18"/>
    <mergeCell ref="AL17:AL18"/>
    <mergeCell ref="AJ24:AJ25"/>
    <mergeCell ref="AK24:AK25"/>
    <mergeCell ref="AL24:AL25"/>
    <mergeCell ref="AJ31:AJ32"/>
    <mergeCell ref="AK31:AK32"/>
    <mergeCell ref="AL31:AL32"/>
    <mergeCell ref="AJ38:AJ39"/>
    <mergeCell ref="AK38:AK39"/>
    <mergeCell ref="AL38:AL39"/>
    <mergeCell ref="AJ45:AJ46"/>
    <mergeCell ref="AK45:AK46"/>
    <mergeCell ref="AL45:AL46"/>
    <mergeCell ref="BY102:BY103"/>
    <mergeCell ref="BZ102:BZ103"/>
    <mergeCell ref="CA102:CA103"/>
    <mergeCell ref="CB102:CB103"/>
    <mergeCell ref="BY97:BY98"/>
    <mergeCell ref="BZ97:BZ98"/>
    <mergeCell ref="CA97:CA98"/>
    <mergeCell ref="CB97:CB98"/>
    <mergeCell ref="CA76:CA77"/>
    <mergeCell ref="CB76:CB77"/>
    <mergeCell ref="BY81:BY82"/>
    <mergeCell ref="BZ81:BZ82"/>
    <mergeCell ref="CA81:CA82"/>
    <mergeCell ref="CB81:CB82"/>
    <mergeCell ref="BV102:BV103"/>
    <mergeCell ref="BY65:BY66"/>
    <mergeCell ref="BZ65:BZ66"/>
    <mergeCell ref="BY76:BY77"/>
    <mergeCell ref="BZ76:BZ77"/>
    <mergeCell ref="BY92:BY93"/>
    <mergeCell ref="BZ92:BZ93"/>
    <mergeCell ref="AR115:AR116"/>
    <mergeCell ref="AO143:AO144"/>
    <mergeCell ref="AP143:AP144"/>
    <mergeCell ref="AQ143:AQ144"/>
    <mergeCell ref="AR143:AR144"/>
    <mergeCell ref="AO115:AO116"/>
    <mergeCell ref="AP115:AP116"/>
    <mergeCell ref="AQ115:AQ116"/>
    <mergeCell ref="BR89:BR90"/>
    <mergeCell ref="BS89:BS90"/>
    <mergeCell ref="BP102:BP103"/>
    <mergeCell ref="BQ102:BQ103"/>
    <mergeCell ref="BR102:BR103"/>
    <mergeCell ref="BS102:BS103"/>
    <mergeCell ref="BS64:BS65"/>
    <mergeCell ref="BP77:BP78"/>
    <mergeCell ref="BQ77:BQ78"/>
    <mergeCell ref="AF152:AF153"/>
    <mergeCell ref="AG152:AG153"/>
    <mergeCell ref="AH152:AH153"/>
    <mergeCell ref="AI152:AI153"/>
    <mergeCell ref="AF142:AF143"/>
    <mergeCell ref="AG142:AG143"/>
    <mergeCell ref="AH142:AH143"/>
    <mergeCell ref="AI142:AI143"/>
    <mergeCell ref="AG123:AG124"/>
    <mergeCell ref="AH123:AH124"/>
    <mergeCell ref="AI123:AI124"/>
    <mergeCell ref="AF132:AF133"/>
    <mergeCell ref="AG132:AG133"/>
    <mergeCell ref="AH132:AH133"/>
    <mergeCell ref="AI132:AI133"/>
    <mergeCell ref="AF123:AF124"/>
    <mergeCell ref="BH62:BH63"/>
    <mergeCell ref="BI62:BI63"/>
    <mergeCell ref="BJ62:BJ63"/>
    <mergeCell ref="BG100:BG101"/>
    <mergeCell ref="BH100:BH101"/>
    <mergeCell ref="BI100:BI101"/>
    <mergeCell ref="BJ100:BJ101"/>
    <mergeCell ref="AX104:AX105"/>
    <mergeCell ref="AY104:AY105"/>
    <mergeCell ref="AZ104:AZ105"/>
    <mergeCell ref="BA104:BA105"/>
    <mergeCell ref="AX99:AX100"/>
    <mergeCell ref="AY99:AY100"/>
    <mergeCell ref="AZ99:AZ100"/>
    <mergeCell ref="BA99:BA100"/>
    <mergeCell ref="AX93:AX94"/>
    <mergeCell ref="AY93:AY94"/>
    <mergeCell ref="AZ93:AZ94"/>
    <mergeCell ref="BA93:BA94"/>
    <mergeCell ref="AX88:AX89"/>
    <mergeCell ref="AY88:AY89"/>
    <mergeCell ref="AZ88:AZ89"/>
    <mergeCell ref="BA88:BA89"/>
    <mergeCell ref="AX82:AX83"/>
    <mergeCell ref="AP105:AP106"/>
    <mergeCell ref="AQ105:AQ106"/>
    <mergeCell ref="AR105:AR106"/>
    <mergeCell ref="AO100:AO101"/>
    <mergeCell ref="AP100:AP101"/>
    <mergeCell ref="AQ100:AQ101"/>
    <mergeCell ref="AR100:AR101"/>
    <mergeCell ref="AO94:AO95"/>
    <mergeCell ref="AP94:AP95"/>
    <mergeCell ref="AQ94:AQ95"/>
    <mergeCell ref="AR94:AR95"/>
    <mergeCell ref="AH100:AH101"/>
    <mergeCell ref="AI100:AI101"/>
    <mergeCell ref="AJ94:AJ95"/>
    <mergeCell ref="AJ100:AJ101"/>
    <mergeCell ref="BA65:BA66"/>
    <mergeCell ref="AX60:AX61"/>
    <mergeCell ref="AY60:AY61"/>
    <mergeCell ref="AX71:AX72"/>
    <mergeCell ref="AY71:AY72"/>
    <mergeCell ref="AO89:AO90"/>
    <mergeCell ref="AO78:AO79"/>
    <mergeCell ref="AL89:AL90"/>
    <mergeCell ref="AL94:AL95"/>
    <mergeCell ref="AK94:AK95"/>
    <mergeCell ref="AS94:AS95"/>
    <mergeCell ref="AT94:AT95"/>
    <mergeCell ref="AU94:AU95"/>
    <mergeCell ref="AS67:AS68"/>
    <mergeCell ref="AT67:AT68"/>
    <mergeCell ref="AS78:AS79"/>
    <mergeCell ref="AT78:AT79"/>
    <mergeCell ref="AU78:AU79"/>
    <mergeCell ref="AJ89:AJ90"/>
    <mergeCell ref="AK89:AK90"/>
    <mergeCell ref="AJ105:AJ106"/>
    <mergeCell ref="AK105:AK106"/>
    <mergeCell ref="AH84:AH85"/>
    <mergeCell ref="AI84:AI85"/>
    <mergeCell ref="AI68:AI69"/>
    <mergeCell ref="AF89:AF90"/>
    <mergeCell ref="AG89:AG90"/>
    <mergeCell ref="AH89:AH90"/>
    <mergeCell ref="AI89:AI90"/>
    <mergeCell ref="AG73:AG74"/>
    <mergeCell ref="AH73:AH74"/>
    <mergeCell ref="AI73:AI74"/>
    <mergeCell ref="AF78:AF79"/>
    <mergeCell ref="AG78:AG79"/>
    <mergeCell ref="AH78:AH79"/>
    <mergeCell ref="AI78:AI79"/>
    <mergeCell ref="AF84:AF85"/>
    <mergeCell ref="AG84:AG85"/>
    <mergeCell ref="AF94:AF95"/>
    <mergeCell ref="AG94:AG95"/>
    <mergeCell ref="AH94:AH95"/>
    <mergeCell ref="AI94:AI95"/>
    <mergeCell ref="AF100:AF101"/>
    <mergeCell ref="AG100:AG101"/>
    <mergeCell ref="BG62:BG63"/>
    <mergeCell ref="AZ60:AZ61"/>
    <mergeCell ref="AO72:AO73"/>
    <mergeCell ref="AO67:AO68"/>
    <mergeCell ref="AP67:AP68"/>
    <mergeCell ref="AQ67:AQ68"/>
    <mergeCell ref="AR67:AR68"/>
    <mergeCell ref="AO61:AO62"/>
    <mergeCell ref="AP61:AP62"/>
    <mergeCell ref="AQ61:AQ62"/>
    <mergeCell ref="AR61:AR62"/>
    <mergeCell ref="AZ71:AZ72"/>
    <mergeCell ref="BA71:BA72"/>
    <mergeCell ref="AU67:AU68"/>
    <mergeCell ref="AS72:AS73"/>
    <mergeCell ref="AT72:AT73"/>
    <mergeCell ref="AU72:AU73"/>
    <mergeCell ref="AP72:AP73"/>
    <mergeCell ref="AQ72:AQ73"/>
    <mergeCell ref="AR72:AR73"/>
    <mergeCell ref="BD65:BD66"/>
    <mergeCell ref="BB71:BB72"/>
    <mergeCell ref="BC71:BC72"/>
    <mergeCell ref="BD71:BD72"/>
    <mergeCell ref="AG62:AG63"/>
    <mergeCell ref="AH62:AH63"/>
    <mergeCell ref="AF62:AF63"/>
    <mergeCell ref="AF73:AF74"/>
    <mergeCell ref="AI62:AI63"/>
    <mergeCell ref="AF68:AF69"/>
    <mergeCell ref="AG68:AG69"/>
    <mergeCell ref="AH68:AH69"/>
    <mergeCell ref="CI17:CI18"/>
    <mergeCell ref="BG27:BG28"/>
    <mergeCell ref="BH27:BH28"/>
    <mergeCell ref="BI27:BI28"/>
    <mergeCell ref="BJ27:BJ28"/>
    <mergeCell ref="BG45:BG46"/>
    <mergeCell ref="BH45:BH46"/>
    <mergeCell ref="BI45:BI46"/>
    <mergeCell ref="BJ45:BJ46"/>
    <mergeCell ref="BK27:BK28"/>
    <mergeCell ref="BL27:BL28"/>
    <mergeCell ref="BM27:BM28"/>
    <mergeCell ref="BK45:BK46"/>
    <mergeCell ref="BL45:BL46"/>
    <mergeCell ref="BM45:BM46"/>
    <mergeCell ref="BA49:BA50"/>
    <mergeCell ref="CJ17:CJ18"/>
    <mergeCell ref="CK17:CK18"/>
    <mergeCell ref="CH35:CH36"/>
    <mergeCell ref="CI35:CI36"/>
    <mergeCell ref="CJ35:CJ36"/>
    <mergeCell ref="CK35:CK36"/>
    <mergeCell ref="CH17:CH18"/>
    <mergeCell ref="CB24:CB25"/>
    <mergeCell ref="BP50:BP51"/>
    <mergeCell ref="BQ50:BQ51"/>
    <mergeCell ref="BR50:BR51"/>
    <mergeCell ref="BP38:BP39"/>
    <mergeCell ref="BQ38:BQ39"/>
    <mergeCell ref="BR38:BR39"/>
    <mergeCell ref="BS38:BS39"/>
    <mergeCell ref="BP26:BP27"/>
    <mergeCell ref="BQ26:BQ27"/>
    <mergeCell ref="BR26:BR27"/>
    <mergeCell ref="BS26:BS27"/>
    <mergeCell ref="BS50:BS51"/>
    <mergeCell ref="CA43:CA44"/>
    <mergeCell ref="CB43:CB44"/>
    <mergeCell ref="CA24:CA25"/>
    <mergeCell ref="BB49:BB50"/>
    <mergeCell ref="BC49:BC50"/>
    <mergeCell ref="BD49:BD50"/>
    <mergeCell ref="AX19:AX20"/>
    <mergeCell ref="AY19:AY20"/>
    <mergeCell ref="AX49:AX50"/>
    <mergeCell ref="AY49:AY50"/>
    <mergeCell ref="AZ49:AZ50"/>
    <mergeCell ref="AX39:AX40"/>
    <mergeCell ref="AY39:AY40"/>
    <mergeCell ref="AZ39:AZ40"/>
    <mergeCell ref="AX29:AX30"/>
    <mergeCell ref="AY29:AY30"/>
    <mergeCell ref="AZ29:AZ30"/>
    <mergeCell ref="AQ25:AQ26"/>
    <mergeCell ref="AR25:AR26"/>
    <mergeCell ref="AQ30:AQ31"/>
    <mergeCell ref="AR30:AR31"/>
    <mergeCell ref="AQ14:AQ15"/>
    <mergeCell ref="AR14:AR15"/>
    <mergeCell ref="AQ47:AQ48"/>
    <mergeCell ref="AR47:AR48"/>
    <mergeCell ref="AU9:AU10"/>
    <mergeCell ref="AQ41:AQ42"/>
    <mergeCell ref="AR41:AR42"/>
    <mergeCell ref="AQ36:AQ37"/>
    <mergeCell ref="AR36:AR37"/>
    <mergeCell ref="AR9:AR10"/>
    <mergeCell ref="AQ20:AQ21"/>
    <mergeCell ref="AR20:AR21"/>
    <mergeCell ref="AQ9:AQ10"/>
    <mergeCell ref="AU41:AU42"/>
    <mergeCell ref="AS14:AS15"/>
    <mergeCell ref="AT14:AT15"/>
    <mergeCell ref="AU14:AU15"/>
    <mergeCell ref="AS20:AS21"/>
    <mergeCell ref="AT20:AT21"/>
    <mergeCell ref="AU20:AU21"/>
    <mergeCell ref="AP30:AP31"/>
    <mergeCell ref="AO25:AO26"/>
    <mergeCell ref="AP25:AP26"/>
    <mergeCell ref="AO14:AO15"/>
    <mergeCell ref="AP14:AP15"/>
    <mergeCell ref="AO9:AO10"/>
    <mergeCell ref="AP9:AP10"/>
    <mergeCell ref="AO20:AO21"/>
    <mergeCell ref="AP20:AP21"/>
    <mergeCell ref="AO47:AO48"/>
    <mergeCell ref="AP47:AP48"/>
    <mergeCell ref="AO36:AO37"/>
    <mergeCell ref="AP36:AP37"/>
    <mergeCell ref="AG10:AG11"/>
    <mergeCell ref="AH10:AH11"/>
    <mergeCell ref="AI10:AI11"/>
    <mergeCell ref="AF17:AF18"/>
    <mergeCell ref="AG17:AG18"/>
    <mergeCell ref="AH17:AH18"/>
    <mergeCell ref="AF45:AF46"/>
    <mergeCell ref="AG45:AG46"/>
    <mergeCell ref="AI38:AI39"/>
    <mergeCell ref="AG24:AG25"/>
    <mergeCell ref="AH24:AH25"/>
    <mergeCell ref="AI24:AI25"/>
    <mergeCell ref="AI17:AI18"/>
    <mergeCell ref="AF31:AF32"/>
    <mergeCell ref="AG31:AG32"/>
    <mergeCell ref="AH31:AH32"/>
    <mergeCell ref="AI31:AI32"/>
    <mergeCell ref="AF38:AF39"/>
    <mergeCell ref="AG38:AG39"/>
    <mergeCell ref="AH38:AH39"/>
    <mergeCell ref="AN1:AO1"/>
    <mergeCell ref="AS9:AS10"/>
    <mergeCell ref="AT9:AT10"/>
    <mergeCell ref="BF1:BG1"/>
    <mergeCell ref="BK10:BK11"/>
    <mergeCell ref="BL10:BL11"/>
    <mergeCell ref="BM10:BM11"/>
    <mergeCell ref="BY43:BY44"/>
    <mergeCell ref="BZ43:BZ44"/>
    <mergeCell ref="BY5:BY6"/>
    <mergeCell ref="BZ5:BZ6"/>
    <mergeCell ref="BY24:BY25"/>
    <mergeCell ref="BZ24:BZ25"/>
    <mergeCell ref="BG10:BG11"/>
    <mergeCell ref="BH10:BH11"/>
    <mergeCell ref="BI10:BI11"/>
    <mergeCell ref="BA9:BA10"/>
    <mergeCell ref="BJ10:BJ11"/>
    <mergeCell ref="AX9:AX10"/>
    <mergeCell ref="AY9:AY10"/>
    <mergeCell ref="AZ9:AZ10"/>
    <mergeCell ref="AO41:AO42"/>
    <mergeCell ref="AP41:AP42"/>
    <mergeCell ref="AO30:AO31"/>
    <mergeCell ref="AH45:AH46"/>
    <mergeCell ref="AI45:AI46"/>
    <mergeCell ref="AF24:AF25"/>
    <mergeCell ref="O1:S1"/>
    <mergeCell ref="A1:D1"/>
    <mergeCell ref="AF10:AF11"/>
    <mergeCell ref="W1:AA1"/>
    <mergeCell ref="AE1:AF1"/>
    <mergeCell ref="A4:A12"/>
    <mergeCell ref="A13:A20"/>
    <mergeCell ref="AX121:AX122"/>
    <mergeCell ref="AY121:AY122"/>
    <mergeCell ref="AZ121:AZ122"/>
    <mergeCell ref="BA121:BA122"/>
    <mergeCell ref="AX127:AX128"/>
    <mergeCell ref="AY127:AY128"/>
    <mergeCell ref="AZ127:AZ128"/>
    <mergeCell ref="BA127:BA128"/>
    <mergeCell ref="AX133:AX134"/>
    <mergeCell ref="AY133:AY134"/>
    <mergeCell ref="AZ133:AZ134"/>
    <mergeCell ref="BA133:BA134"/>
    <mergeCell ref="AX139:AX140"/>
    <mergeCell ref="AY139:AY140"/>
    <mergeCell ref="AZ139:AZ140"/>
    <mergeCell ref="BA139:BA140"/>
    <mergeCell ref="AX157:AX158"/>
    <mergeCell ref="AY157:AY158"/>
    <mergeCell ref="AZ157:AZ158"/>
    <mergeCell ref="BA157:BA158"/>
    <mergeCell ref="AX145:AX146"/>
    <mergeCell ref="AY145:AY146"/>
    <mergeCell ref="AZ145:AZ146"/>
    <mergeCell ref="BA145:BA146"/>
    <mergeCell ref="AX151:AX152"/>
    <mergeCell ref="AY151:AY152"/>
    <mergeCell ref="AZ151:AZ152"/>
    <mergeCell ref="BA151:BA152"/>
  </mergeCells>
  <pageMargins left="0.7" right="0.7" top="0.75" bottom="0.75" header="0.3" footer="0.3"/>
  <ignoredErrors>
    <ignoredError sqref="A163:XFD1048576 CZ3:XFD5 CZ2:XFD2 CZ56:XFD60 CZ55:XFD55 CZ1:XFD1 CZ54:XFD54 CZ160:XFD160 CZ159:XFD159 CZ162:XFD162 CZ161:XFD161 CZ53:XFD53 CZ6:XFD52 CZ108:XFD158 CZ61:XFD107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3617D-7FB4-EB41-8509-41209C9BD8B9}">
  <sheetPr codeName="Sheet3"/>
  <dimension ref="A1:FX162"/>
  <sheetViews>
    <sheetView topLeftCell="CE42" zoomScale="112" workbookViewId="0">
      <selection activeCell="CJ90" sqref="CJ90"/>
    </sheetView>
  </sheetViews>
  <sheetFormatPr baseColWidth="10" defaultColWidth="9.83203125" defaultRowHeight="21" x14ac:dyDescent="0.2"/>
  <cols>
    <col min="1" max="4" width="9.83203125" style="28"/>
    <col min="5" max="5" width="7.83203125" style="28" customWidth="1"/>
    <col min="6" max="7" width="7.83203125" style="28" hidden="1" customWidth="1"/>
    <col min="8" max="8" width="2.83203125" style="28" hidden="1" customWidth="1"/>
    <col min="9" max="10" width="7.83203125" style="28" hidden="1" customWidth="1"/>
    <col min="11" max="11" width="2.83203125" style="28" hidden="1" customWidth="1"/>
    <col min="12" max="14" width="7.83203125" style="28" hidden="1" customWidth="1"/>
    <col min="15" max="32" width="9.83203125" style="28"/>
    <col min="33" max="33" width="2.83203125" style="28" customWidth="1"/>
    <col min="34" max="43" width="9.83203125" style="28"/>
    <col min="44" max="44" width="2.83203125" style="28" customWidth="1"/>
    <col min="45" max="54" width="9.83203125" style="28"/>
    <col min="55" max="55" width="2.83203125" style="28" customWidth="1"/>
    <col min="56" max="65" width="9.83203125" style="28"/>
    <col min="66" max="66" width="2.83203125" style="28" customWidth="1"/>
    <col min="67" max="76" width="9.83203125" style="28"/>
    <col min="77" max="77" width="2.83203125" style="28" customWidth="1"/>
    <col min="78" max="87" width="9.83203125" style="28"/>
    <col min="88" max="88" width="2.83203125" style="28" customWidth="1"/>
    <col min="89" max="98" width="9.83203125" style="28"/>
    <col min="99" max="99" width="2.83203125" style="28" customWidth="1"/>
    <col min="100" max="16384" width="9.83203125" style="28"/>
  </cols>
  <sheetData>
    <row r="1" spans="1:180" ht="16" customHeight="1" thickBot="1" x14ac:dyDescent="0.25">
      <c r="A1" s="132" t="s">
        <v>42</v>
      </c>
      <c r="B1" s="133"/>
      <c r="C1" s="133"/>
      <c r="D1" s="134"/>
      <c r="E1" s="1"/>
      <c r="F1" s="129" t="s">
        <v>4</v>
      </c>
      <c r="G1" s="129"/>
      <c r="H1" s="129"/>
      <c r="I1" s="129"/>
      <c r="J1" s="129"/>
      <c r="K1" s="129"/>
      <c r="L1" s="129"/>
      <c r="M1" s="129"/>
      <c r="N1"/>
      <c r="O1" s="124" t="s">
        <v>11</v>
      </c>
      <c r="P1" s="125"/>
      <c r="Q1" s="125"/>
      <c r="R1" s="125"/>
      <c r="S1" s="126"/>
      <c r="T1" s="2" t="s">
        <v>34</v>
      </c>
      <c r="U1" s="3">
        <f>SUM(R4:R150)</f>
        <v>286950</v>
      </c>
      <c r="W1" s="124" t="s">
        <v>12</v>
      </c>
      <c r="X1" s="125"/>
      <c r="Y1" s="125"/>
      <c r="Z1" s="125"/>
      <c r="AA1" s="127"/>
      <c r="AB1" s="2" t="s">
        <v>34</v>
      </c>
      <c r="AC1" s="4">
        <f>SUM(Z4:Z150)</f>
        <v>285999</v>
      </c>
      <c r="AD1" s="1"/>
      <c r="AE1" s="119" t="s">
        <v>5</v>
      </c>
      <c r="AF1" s="120"/>
      <c r="AG1" s="120"/>
      <c r="AH1" s="121"/>
      <c r="AI1" s="2" t="s">
        <v>2</v>
      </c>
      <c r="AJ1" s="5" cm="1">
        <f t="array" aca="1" ref="AJ1" ca="1">INDIRECT(SUBSTITUTE(ADDRESS(1,COLUMN($C$9),4),"1","")&amp;SUMPRODUCT(($B$10:$D$26=INDIRECT(SUBSTITUTE(ADDRESS(1,COLUMN()-5,4),"1","")&amp;ROW()))*ROW($B$10:$D$26)))</f>
        <v>26.2146030821098</v>
      </c>
      <c r="AK1" s="2" t="s">
        <v>3</v>
      </c>
      <c r="AL1" s="5" cm="1">
        <f t="array" aca="1" ref="AL1" ca="1">INDIRECT(SUBSTITUTE(ADDRESS(1,COLUMN($D$9),4),"1","")&amp;SUMPRODUCT(($B$10:$D$26=INDIRECT(SUBSTITUTE(ADDRESS(1,COLUMN()-7,4),"1","")&amp;ROW()))*ROW($B$10:$D$26)))</f>
        <v>11.683710878089</v>
      </c>
      <c r="AM1" s="2" t="s">
        <v>34</v>
      </c>
      <c r="AN1" s="3">
        <f>SUM(AK4:AK52)</f>
        <v>96103</v>
      </c>
      <c r="AO1" s="6"/>
      <c r="AP1" s="119" t="s">
        <v>20</v>
      </c>
      <c r="AQ1" s="120"/>
      <c r="AR1" s="120"/>
      <c r="AS1" s="120"/>
      <c r="AT1" s="2" t="s">
        <v>2</v>
      </c>
      <c r="AU1" s="5" cm="1">
        <f t="array" aca="1" ref="AU1" ca="1">INDIRECT(SUBSTITUTE(ADDRESS(1,COLUMN($C$9),4),"1","")&amp;SUMPRODUCT(($B$10:$D$26=INDIRECT(SUBSTITUTE(ADDRESS(1,COLUMN()-5,4),"1","")&amp;ROW()))*ROW($B$10:$D$26)))</f>
        <v>21.385856730516899</v>
      </c>
      <c r="AV1" s="2" t="s">
        <v>3</v>
      </c>
      <c r="AW1" s="5" cm="1">
        <f t="array" aca="1" ref="AW1" ca="1">INDIRECT(SUBSTITUTE(ADDRESS(1,COLUMN($D$9),4),"1","")&amp;SUMPRODUCT(($B$10:$D$26=INDIRECT(SUBSTITUTE(ADDRESS(1,COLUMN()-7,4),"1","")&amp;ROW()))*ROW($B$10:$D$26)))</f>
        <v>12.2650625083633</v>
      </c>
      <c r="AX1" s="2" t="s">
        <v>34</v>
      </c>
      <c r="AY1" s="3">
        <f>SUM(AV4:AV52)</f>
        <v>22866</v>
      </c>
      <c r="AZ1" s="6"/>
      <c r="BA1" s="119" t="s">
        <v>6</v>
      </c>
      <c r="BB1" s="120"/>
      <c r="BC1" s="120"/>
      <c r="BD1" s="121"/>
      <c r="BE1" s="2" t="s">
        <v>2</v>
      </c>
      <c r="BF1" s="5" cm="1">
        <f t="array" aca="1" ref="BF1" ca="1">INDIRECT(SUBSTITUTE(ADDRESS(1,COLUMN($C$9),4),"1","")&amp;SUMPRODUCT(($B$10:$D$26=INDIRECT(SUBSTITUTE(ADDRESS(1,COLUMN()-5,4),"1","")&amp;ROW()))*ROW($B$10:$D$26)))</f>
        <v>21.2658604435515</v>
      </c>
      <c r="BG1" s="2" t="s">
        <v>3</v>
      </c>
      <c r="BH1" s="5" cm="1">
        <f t="array" aca="1" ref="BH1" ca="1">INDIRECT(SUBSTITUTE(ADDRESS(1,COLUMN($D$9),4),"1","")&amp;SUMPRODUCT(($B$10:$D$26=INDIRECT(SUBSTITUTE(ADDRESS(1,COLUMN()-7,4),"1","")&amp;ROW()))*ROW($B$10:$D$26)))</f>
        <v>11.118645599803701</v>
      </c>
      <c r="BI1" s="2" t="s">
        <v>34</v>
      </c>
      <c r="BJ1" s="3">
        <f>SUM(BG4:BG52)</f>
        <v>25882</v>
      </c>
      <c r="BK1" s="6"/>
      <c r="BL1" s="119" t="s">
        <v>7</v>
      </c>
      <c r="BM1" s="120"/>
      <c r="BN1" s="120"/>
      <c r="BO1" s="121"/>
      <c r="BP1" s="2" t="s">
        <v>2</v>
      </c>
      <c r="BQ1" s="5" cm="1">
        <f t="array" aca="1" ref="BQ1" ca="1">INDIRECT(SUBSTITUTE(ADDRESS(1,COLUMN($C$9),4),"1","")&amp;SUMPRODUCT(($B$10:$D$26=INDIRECT(SUBSTITUTE(ADDRESS(1,COLUMN()-5,4),"1","")&amp;ROW()))*ROW($B$10:$D$26)))</f>
        <v>23.395330819689001</v>
      </c>
      <c r="BR1" s="2" t="s">
        <v>3</v>
      </c>
      <c r="BS1" s="5" cm="1">
        <f t="array" aca="1" ref="BS1" ca="1">INDIRECT(SUBSTITUTE(ADDRESS(1,COLUMN($D$9),4),"1","")&amp;SUMPRODUCT(($B$10:$D$26=INDIRECT(SUBSTITUTE(ADDRESS(1,COLUMN()-7,4),"1","")&amp;ROW()))*ROW($B$10:$D$26)))</f>
        <v>10.6143017956271</v>
      </c>
      <c r="BT1" s="2" t="s">
        <v>34</v>
      </c>
      <c r="BU1" s="3">
        <f>SUM(BR4:BR52)</f>
        <v>38722</v>
      </c>
      <c r="BV1" s="6"/>
      <c r="BW1" s="119" t="s">
        <v>8</v>
      </c>
      <c r="BX1" s="120"/>
      <c r="BY1" s="120"/>
      <c r="BZ1" s="121"/>
      <c r="CA1" s="2" t="s">
        <v>2</v>
      </c>
      <c r="CB1" s="5" cm="1">
        <f t="array" aca="1" ref="CB1" ca="1">INDIRECT(SUBSTITUTE(ADDRESS(1,COLUMN($C$9),4),"1","")&amp;SUMPRODUCT(($B$10:$D$26=INDIRECT(SUBSTITUTE(ADDRESS(1,COLUMN()-5,4),"1","")&amp;ROW()))*ROW($B$10:$D$26)))</f>
        <v>24.321245467050101</v>
      </c>
      <c r="CC1" s="2" t="s">
        <v>3</v>
      </c>
      <c r="CD1" s="5" cm="1">
        <f t="array" aca="1" ref="CD1" ca="1">INDIRECT(SUBSTITUTE(ADDRESS(1,COLUMN($D$9),4),"1","")&amp;SUMPRODUCT(($B$10:$D$26=INDIRECT(SUBSTITUTE(ADDRESS(1,COLUMN()-7,4),"1","")&amp;ROW()))*ROW($B$10:$D$26)))</f>
        <v>10.908550028454099</v>
      </c>
      <c r="CE1" s="2" t="s">
        <v>34</v>
      </c>
      <c r="CF1" s="3">
        <f>SUM(CC4:CC52)</f>
        <v>47982</v>
      </c>
      <c r="CG1" s="6"/>
      <c r="CH1" s="119" t="s">
        <v>9</v>
      </c>
      <c r="CI1" s="120"/>
      <c r="CJ1" s="120"/>
      <c r="CK1" s="121"/>
      <c r="CL1" s="2" t="s">
        <v>2</v>
      </c>
      <c r="CM1" s="5" cm="1">
        <f t="array" aca="1" ref="CM1" ca="1">INDIRECT(SUBSTITUTE(ADDRESS(1,COLUMN($C$9),4),"1","")&amp;SUMPRODUCT(($B$10:$D$26=INDIRECT(SUBSTITUTE(ADDRESS(1,COLUMN()-5,4),"1","")&amp;ROW()))*ROW($B$10:$D$26)))</f>
        <v>23.237715406416999</v>
      </c>
      <c r="CN1" s="2" t="s">
        <v>3</v>
      </c>
      <c r="CO1" s="5" cm="1">
        <f t="array" aca="1" ref="CO1" ca="1">INDIRECT(SUBSTITUTE(ADDRESS(1,COLUMN($D$9),4),"1","")&amp;SUMPRODUCT(($B$10:$D$26=INDIRECT(SUBSTITUTE(ADDRESS(1,COLUMN()-7,4),"1","")&amp;ROW()))*ROW($B$10:$D$26)))</f>
        <v>10.552720309122501</v>
      </c>
      <c r="CP1" s="2" t="s">
        <v>34</v>
      </c>
      <c r="CQ1" s="3">
        <f>SUM(CN4:CN52)</f>
        <v>83621</v>
      </c>
      <c r="CR1" s="6"/>
      <c r="CS1" s="119" t="s">
        <v>10</v>
      </c>
      <c r="CT1" s="120"/>
      <c r="CU1" s="120"/>
      <c r="CV1" s="121"/>
      <c r="CW1" s="2" t="s">
        <v>2</v>
      </c>
      <c r="CX1" s="5" cm="1">
        <f t="array" aca="1" ref="CX1" ca="1">INDIRECT(SUBSTITUTE(ADDRESS(1,COLUMN($C$9),4),"1","")&amp;SUMPRODUCT(($B$10:$D$26=INDIRECT(SUBSTITUTE(ADDRESS(1,COLUMN()-5,4),"1","")&amp;ROW()))*ROW($B$10:$D$26)))</f>
        <v>20.663565974836001</v>
      </c>
      <c r="CY1" s="2" t="s">
        <v>3</v>
      </c>
      <c r="CZ1" s="5" cm="1">
        <f t="array" aca="1" ref="CZ1" ca="1">INDIRECT(SUBSTITUTE(ADDRESS(1,COLUMN($D$9),4),"1","")&amp;SUMPRODUCT(($B$10:$D$26=INDIRECT(SUBSTITUTE(ADDRESS(1,COLUMN()-7,4),"1","")&amp;ROW()))*ROW($B$10:$D$26)))</f>
        <v>10.6156997714731</v>
      </c>
      <c r="DA1" s="2" t="s">
        <v>34</v>
      </c>
      <c r="DB1" s="3">
        <f>SUM(CY4:CY52)</f>
        <v>74392</v>
      </c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</row>
    <row r="2" spans="1:180" ht="16" customHeight="1" thickTop="1" x14ac:dyDescent="0.2">
      <c r="A2" s="65" t="s">
        <v>35</v>
      </c>
      <c r="B2" s="135" t="s">
        <v>39</v>
      </c>
      <c r="C2" s="135"/>
      <c r="D2" s="136"/>
      <c r="E2" s="1"/>
      <c r="N2"/>
      <c r="AD2" s="1"/>
      <c r="AO2" s="9"/>
      <c r="AZ2" s="9"/>
      <c r="BK2" s="9"/>
      <c r="BV2" s="9"/>
      <c r="CG2" s="9"/>
      <c r="CR2" s="9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</row>
    <row r="3" spans="1:180" ht="16" customHeight="1" x14ac:dyDescent="0.2">
      <c r="A3" s="130" t="s">
        <v>36</v>
      </c>
      <c r="B3" s="66" t="s">
        <v>37</v>
      </c>
      <c r="C3" s="137" t="s">
        <v>43</v>
      </c>
      <c r="D3" s="138"/>
      <c r="E3" s="1"/>
      <c r="F3" s="128" t="s">
        <v>11</v>
      </c>
      <c r="G3" s="128"/>
      <c r="H3" s="8"/>
      <c r="I3" s="128" t="s">
        <v>12</v>
      </c>
      <c r="J3" s="128"/>
      <c r="K3" s="8"/>
      <c r="L3" s="8"/>
      <c r="M3" s="8"/>
      <c r="N3" s="8"/>
      <c r="O3" s="11" t="s">
        <v>13</v>
      </c>
      <c r="P3" s="11" t="s">
        <v>14</v>
      </c>
      <c r="Q3" s="11" t="s">
        <v>15</v>
      </c>
      <c r="R3" s="11" t="s">
        <v>16</v>
      </c>
      <c r="S3" s="11" t="s">
        <v>17</v>
      </c>
      <c r="T3" s="12" t="s">
        <v>18</v>
      </c>
      <c r="U3" s="2" t="s">
        <v>19</v>
      </c>
      <c r="W3" s="11" t="s">
        <v>13</v>
      </c>
      <c r="X3" s="11" t="s">
        <v>14</v>
      </c>
      <c r="Y3" s="11" t="s">
        <v>15</v>
      </c>
      <c r="Z3" s="11" t="s">
        <v>16</v>
      </c>
      <c r="AA3" s="11" t="s">
        <v>17</v>
      </c>
      <c r="AB3" s="12" t="s">
        <v>18</v>
      </c>
      <c r="AC3" s="2" t="s">
        <v>19</v>
      </c>
      <c r="AD3" s="1"/>
      <c r="AE3" s="13" t="s">
        <v>30</v>
      </c>
      <c r="AF3" s="13" t="s">
        <v>13</v>
      </c>
      <c r="AG3" s="1"/>
      <c r="AH3" s="11" t="s">
        <v>13</v>
      </c>
      <c r="AI3" s="11" t="s">
        <v>14</v>
      </c>
      <c r="AJ3" s="11" t="s">
        <v>15</v>
      </c>
      <c r="AK3" s="11" t="s">
        <v>16</v>
      </c>
      <c r="AL3" s="11" t="s">
        <v>17</v>
      </c>
      <c r="AM3" s="12" t="s">
        <v>18</v>
      </c>
      <c r="AN3" s="2" t="s">
        <v>19</v>
      </c>
      <c r="AO3" s="14"/>
      <c r="AP3" s="13" t="s">
        <v>30</v>
      </c>
      <c r="AQ3" s="13" t="s">
        <v>13</v>
      </c>
      <c r="AR3" s="1"/>
      <c r="AS3" s="11" t="s">
        <v>13</v>
      </c>
      <c r="AT3" s="11" t="s">
        <v>14</v>
      </c>
      <c r="AU3" s="11" t="s">
        <v>15</v>
      </c>
      <c r="AV3" s="11" t="s">
        <v>16</v>
      </c>
      <c r="AW3" s="11" t="s">
        <v>17</v>
      </c>
      <c r="AX3" s="12" t="s">
        <v>18</v>
      </c>
      <c r="AY3" s="2" t="s">
        <v>19</v>
      </c>
      <c r="AZ3" s="14"/>
      <c r="BA3" s="13" t="s">
        <v>30</v>
      </c>
      <c r="BB3" s="13" t="s">
        <v>13</v>
      </c>
      <c r="BC3" s="1"/>
      <c r="BD3" s="11" t="s">
        <v>13</v>
      </c>
      <c r="BE3" s="11" t="s">
        <v>14</v>
      </c>
      <c r="BF3" s="11" t="s">
        <v>15</v>
      </c>
      <c r="BG3" s="11" t="s">
        <v>16</v>
      </c>
      <c r="BH3" s="11" t="s">
        <v>17</v>
      </c>
      <c r="BI3" s="12" t="s">
        <v>18</v>
      </c>
      <c r="BJ3" s="2" t="s">
        <v>19</v>
      </c>
      <c r="BK3" s="14"/>
      <c r="BL3" s="13" t="s">
        <v>30</v>
      </c>
      <c r="BM3" s="13" t="s">
        <v>13</v>
      </c>
      <c r="BN3" s="1"/>
      <c r="BO3" s="11" t="s">
        <v>13</v>
      </c>
      <c r="BP3" s="11" t="s">
        <v>14</v>
      </c>
      <c r="BQ3" s="11" t="s">
        <v>15</v>
      </c>
      <c r="BR3" s="11" t="s">
        <v>16</v>
      </c>
      <c r="BS3" s="11" t="s">
        <v>17</v>
      </c>
      <c r="BT3" s="12" t="s">
        <v>18</v>
      </c>
      <c r="BU3" s="2" t="s">
        <v>19</v>
      </c>
      <c r="BV3" s="14"/>
      <c r="BW3" s="13" t="s">
        <v>30</v>
      </c>
      <c r="BX3" s="13" t="s">
        <v>13</v>
      </c>
      <c r="BY3" s="1"/>
      <c r="BZ3" s="11" t="s">
        <v>13</v>
      </c>
      <c r="CA3" s="11" t="s">
        <v>14</v>
      </c>
      <c r="CB3" s="11" t="s">
        <v>15</v>
      </c>
      <c r="CC3" s="11" t="s">
        <v>16</v>
      </c>
      <c r="CD3" s="11" t="s">
        <v>17</v>
      </c>
      <c r="CE3" s="12" t="s">
        <v>18</v>
      </c>
      <c r="CF3" s="2" t="s">
        <v>19</v>
      </c>
      <c r="CG3" s="14"/>
      <c r="CH3" s="13" t="s">
        <v>30</v>
      </c>
      <c r="CI3" s="13" t="s">
        <v>13</v>
      </c>
      <c r="CJ3" s="1"/>
      <c r="CK3" s="11" t="s">
        <v>13</v>
      </c>
      <c r="CL3" s="11" t="s">
        <v>14</v>
      </c>
      <c r="CM3" s="11" t="s">
        <v>15</v>
      </c>
      <c r="CN3" s="11" t="s">
        <v>16</v>
      </c>
      <c r="CO3" s="11" t="s">
        <v>17</v>
      </c>
      <c r="CP3" s="12" t="s">
        <v>18</v>
      </c>
      <c r="CQ3" s="2" t="s">
        <v>19</v>
      </c>
      <c r="CR3" s="14"/>
      <c r="CS3" s="13" t="s">
        <v>30</v>
      </c>
      <c r="CT3" s="13" t="s">
        <v>13</v>
      </c>
      <c r="CU3" s="1"/>
      <c r="CV3" s="11" t="s">
        <v>13</v>
      </c>
      <c r="CW3" s="11" t="s">
        <v>14</v>
      </c>
      <c r="CX3" s="11" t="s">
        <v>15</v>
      </c>
      <c r="CY3" s="11" t="s">
        <v>16</v>
      </c>
      <c r="CZ3" s="11" t="s">
        <v>17</v>
      </c>
      <c r="DA3" s="12" t="s">
        <v>18</v>
      </c>
      <c r="DB3" s="2" t="s">
        <v>19</v>
      </c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</row>
    <row r="4" spans="1:180" ht="16" customHeight="1" x14ac:dyDescent="0.2">
      <c r="A4" s="131"/>
      <c r="B4" s="137" t="s">
        <v>46</v>
      </c>
      <c r="C4" s="137"/>
      <c r="D4" s="138"/>
      <c r="E4" s="1"/>
      <c r="F4" s="67" t="s">
        <v>13</v>
      </c>
      <c r="G4" s="67" t="s">
        <v>14</v>
      </c>
      <c r="H4" s="8"/>
      <c r="I4" s="67" t="s">
        <v>13</v>
      </c>
      <c r="J4" s="67" t="s">
        <v>14</v>
      </c>
      <c r="K4" s="8"/>
      <c r="L4" s="8"/>
      <c r="M4" s="8"/>
      <c r="N4" s="1"/>
      <c r="O4" s="38">
        <v>135</v>
      </c>
      <c r="P4" s="37">
        <f>IF(AND(O4&lt;&gt;"", R4&lt;&gt;""), 1, "")</f>
        <v>1</v>
      </c>
      <c r="Q4" s="15">
        <f>IF(AND(O4&lt;&gt;"", R4&lt;&gt;""), ROUND(100*(1-(0+T4)/2/U$1), 2), "")</f>
        <v>99.63</v>
      </c>
      <c r="R4" s="43">
        <v>2111</v>
      </c>
      <c r="S4" s="16">
        <f t="shared" ref="S4:S67" si="0">IF(AND(O4&lt;&gt;"", R4&lt;&gt;""), R4/U$1, "")</f>
        <v>7.3566823488412612E-3</v>
      </c>
      <c r="T4" s="17">
        <f>IF(AND(O4&lt;&gt;"", R4&lt;&gt;""), SUM(R$4:R4), "")</f>
        <v>2111</v>
      </c>
      <c r="U4" s="18">
        <f t="shared" ref="U4:U67" si="1">IF(AND(O4&lt;&gt;"", R4&lt;&gt;""), T4/U$1, "")</f>
        <v>7.3566823488412612E-3</v>
      </c>
      <c r="W4" s="38">
        <v>160</v>
      </c>
      <c r="X4" s="37">
        <f>IF(AND(W4&lt;&gt;"", Z4&lt;&gt;""), 1, "")</f>
        <v>1</v>
      </c>
      <c r="Y4" s="15">
        <f>IF(AND(W4&lt;&gt;"", Z4&lt;&gt;""), ROUND(100*(1-(0+AB4)/2/AC$1), 2), "")</f>
        <v>99.96</v>
      </c>
      <c r="Z4" s="43">
        <v>242</v>
      </c>
      <c r="AA4" s="16">
        <f t="shared" ref="AA4:AA67" si="2">IF(AND(W4&lt;&gt;"", Z4&lt;&gt;""), Z4/AC$1, "")</f>
        <v>8.4615680474407252E-4</v>
      </c>
      <c r="AB4" s="17">
        <f>IF(AND(W4&lt;&gt;"", Z4&lt;&gt;""), SUM(Z$4:Z4), "")</f>
        <v>242</v>
      </c>
      <c r="AC4" s="16">
        <f t="shared" ref="AC4:AC67" si="3">IF(AND(W4&lt;&gt;"", Z4&lt;&gt;""), AB4/AC$1, "")</f>
        <v>8.4615680474407252E-4</v>
      </c>
      <c r="AD4" s="1"/>
      <c r="AE4" s="19">
        <v>50</v>
      </c>
      <c r="AF4" s="20">
        <v>70</v>
      </c>
      <c r="AG4" s="8"/>
      <c r="AH4" s="45">
        <v>70</v>
      </c>
      <c r="AI4" s="37">
        <f>IF(AND(AH4&lt;&gt;"", AK4&lt;&gt;""), 1, "")</f>
        <v>1</v>
      </c>
      <c r="AJ4" s="21">
        <f>IF(AND(AH4&lt;&gt;"", AK4&lt;&gt;""), ROUND(100*(1-(0+AM4)/2/AN$1), 2), "")</f>
        <v>99.61</v>
      </c>
      <c r="AK4" s="50">
        <v>745</v>
      </c>
      <c r="AL4" s="22">
        <f t="shared" ref="AL4:AL52" si="4">IF(AND(AH4&lt;&gt;"", AK4&lt;&gt;""), AK4/AN$1, "")</f>
        <v>7.7520993101151889E-3</v>
      </c>
      <c r="AM4" s="23">
        <f>IF(AND(AH4&lt;&gt;"", AK4&lt;&gt;""), SUM(AK$4:AK4), "")</f>
        <v>745</v>
      </c>
      <c r="AN4" s="22">
        <f t="shared" ref="AN4:AN52" si="5">IF(AND(AH4&lt;&gt;"", AK4&lt;&gt;""), AM4/AN$1, "")</f>
        <v>7.7520993101151889E-3</v>
      </c>
      <c r="AO4" s="14"/>
      <c r="AP4" s="10">
        <v>50</v>
      </c>
      <c r="AQ4" s="24">
        <v>73</v>
      </c>
      <c r="AR4" s="8"/>
      <c r="AS4" s="48">
        <v>73</v>
      </c>
      <c r="AT4" s="37">
        <f>IF(AND(AS4&lt;&gt;"", AV4&lt;&gt;""), 1, "")</f>
        <v>1</v>
      </c>
      <c r="AU4" s="25">
        <f>IF(AND(AS4&lt;&gt;"", AV4&lt;&gt;""), ROUND(100*(1-(0+AX4)/2/AY$1), 2), "")</f>
        <v>99.21</v>
      </c>
      <c r="AV4" s="51">
        <v>361</v>
      </c>
      <c r="AW4" s="18">
        <f t="shared" ref="AW4:AW52" si="6">IF(AND(AS4&lt;&gt;"", AV4&lt;&gt;""), AV4/AY$1, "")</f>
        <v>1.5787632292486663E-2</v>
      </c>
      <c r="AX4" s="26">
        <f>IF(AND(AS4&lt;&gt;"", AV4&lt;&gt;""), SUM(AV$4:AV4), "")</f>
        <v>361</v>
      </c>
      <c r="AY4" s="18">
        <f t="shared" ref="AY4:AY52" si="7">IF(AND(AS4&lt;&gt;"", AV4&lt;&gt;""), AX4/AY$1, "")</f>
        <v>1.5787632292486663E-2</v>
      </c>
      <c r="AZ4" s="14"/>
      <c r="BA4" s="10">
        <v>50</v>
      </c>
      <c r="BB4" s="24">
        <v>76</v>
      </c>
      <c r="BC4" s="8"/>
      <c r="BD4" s="48">
        <v>76</v>
      </c>
      <c r="BE4" s="37">
        <f>IF(AND(BD4&lt;&gt;"", BG4&lt;&gt;""), 1, "")</f>
        <v>1</v>
      </c>
      <c r="BF4" s="25">
        <f>IF(AND(BD4&lt;&gt;"", BG4&lt;&gt;""), ROUND(100*(1-(0+BI4)/2/BJ$1), 2), "")</f>
        <v>99.36</v>
      </c>
      <c r="BG4" s="51">
        <v>332</v>
      </c>
      <c r="BH4" s="18">
        <f t="shared" ref="BH4:BH52" si="8">IF(AND(BD4&lt;&gt;"", BG4&lt;&gt;""), BG4/BJ$1, "")</f>
        <v>1.2827447647013369E-2</v>
      </c>
      <c r="BI4" s="26">
        <f>IF(AND(BD4&lt;&gt;"", BG4&lt;&gt;""), SUM(BG$4:BG4), "")</f>
        <v>332</v>
      </c>
      <c r="BJ4" s="18">
        <f t="shared" ref="BJ4:BJ52" si="9">IF(AND(BD4&lt;&gt;"", BG4&lt;&gt;""), BI4/BJ$1, "")</f>
        <v>1.2827447647013369E-2</v>
      </c>
      <c r="BK4" s="14"/>
      <c r="BL4" s="10">
        <v>50</v>
      </c>
      <c r="BM4" s="24">
        <v>75</v>
      </c>
      <c r="BN4" s="8"/>
      <c r="BO4" s="45">
        <v>75</v>
      </c>
      <c r="BP4" s="37">
        <f>IF(AND(BO4&lt;&gt;"", BR4&lt;&gt;""), 1, "")</f>
        <v>1</v>
      </c>
      <c r="BQ4" s="21">
        <f>IF(AND(BO4&lt;&gt;"", BR4&lt;&gt;""), ROUND(100*(1-(0+BT4)/2/BU$1), 2), "")</f>
        <v>99.66</v>
      </c>
      <c r="BR4" s="50">
        <v>260</v>
      </c>
      <c r="BS4" s="22">
        <f t="shared" ref="BS4:BS52" si="10">IF(AND(BO4&lt;&gt;"", BR4&lt;&gt;""), BR4/BU$1, "")</f>
        <v>6.7145292082020558E-3</v>
      </c>
      <c r="BT4" s="23">
        <f>IF(AND(BO4&lt;&gt;"", BR4&lt;&gt;""), SUM(BR$4:BR4), "")</f>
        <v>260</v>
      </c>
      <c r="BU4" s="22">
        <f t="shared" ref="BU4:BU52" si="11">IF(AND(BO4&lt;&gt;"", BR4&lt;&gt;""), BT4/BU$1, "")</f>
        <v>6.7145292082020558E-3</v>
      </c>
      <c r="BV4" s="14"/>
      <c r="BW4" s="10">
        <v>50</v>
      </c>
      <c r="BX4" s="24">
        <v>74</v>
      </c>
      <c r="BY4" s="8"/>
      <c r="BZ4" s="48">
        <v>74</v>
      </c>
      <c r="CA4" s="37">
        <f>IF(AND(BZ4&lt;&gt;"", CC4&lt;&gt;""), 1, "")</f>
        <v>1</v>
      </c>
      <c r="CB4" s="25">
        <f>IF(AND(BZ4&lt;&gt;"", CC4&lt;&gt;""), ROUND(100*(1-(0+CE4)/2/CF$1), 2), "")</f>
        <v>99.43</v>
      </c>
      <c r="CC4" s="51">
        <v>544</v>
      </c>
      <c r="CD4" s="18">
        <f t="shared" ref="CD4:CD52" si="12">IF(AND(BZ4&lt;&gt;"", CC4&lt;&gt;""), CC4/CF$1, "")</f>
        <v>1.1337584927681214E-2</v>
      </c>
      <c r="CE4" s="26">
        <f>IF(AND(BZ4&lt;&gt;"", CC4&lt;&gt;""), SUM(CC$4:CC4), "")</f>
        <v>544</v>
      </c>
      <c r="CF4" s="18">
        <f t="shared" ref="CF4:CF52" si="13">IF(AND(BZ4&lt;&gt;"", CC4&lt;&gt;""), CE4/CF$1, "")</f>
        <v>1.1337584927681214E-2</v>
      </c>
      <c r="CG4" s="14"/>
      <c r="CH4" s="10">
        <v>50</v>
      </c>
      <c r="CI4" s="24">
        <v>75</v>
      </c>
      <c r="CJ4" s="8"/>
      <c r="CK4" s="48">
        <v>75</v>
      </c>
      <c r="CL4" s="37">
        <f>IF(AND(CK4&lt;&gt;"", CN4&lt;&gt;""), 1, "")</f>
        <v>1</v>
      </c>
      <c r="CM4" s="25">
        <f>IF(AND(CK4&lt;&gt;"", CN4&lt;&gt;""), ROUND(100*(1-(0+CP4)/2/CQ$1), 2), "")</f>
        <v>99.82</v>
      </c>
      <c r="CN4" s="51">
        <v>295</v>
      </c>
      <c r="CO4" s="18">
        <f t="shared" ref="CO4:CO52" si="14">IF(AND(CK4&lt;&gt;"", CN4&lt;&gt;""), CN4/CQ$1, "")</f>
        <v>3.5278219585989164E-3</v>
      </c>
      <c r="CP4" s="26">
        <f>IF(AND(CK4&lt;&gt;"", CN4&lt;&gt;""), SUM(CN$4:CN4), "")</f>
        <v>295</v>
      </c>
      <c r="CQ4" s="18">
        <f t="shared" ref="CQ4:CQ52" si="15">IF(AND(CK4&lt;&gt;"", CN4&lt;&gt;""), CP4/CQ$1, "")</f>
        <v>3.5278219585989164E-3</v>
      </c>
      <c r="CR4" s="14"/>
      <c r="CS4" s="10">
        <v>50</v>
      </c>
      <c r="CT4" s="24">
        <v>78</v>
      </c>
      <c r="CU4" s="8"/>
      <c r="CV4" s="48">
        <v>78</v>
      </c>
      <c r="CW4" s="37">
        <f>IF(AND(CV4&lt;&gt;"", CY4&lt;&gt;""), 1, "")</f>
        <v>1</v>
      </c>
      <c r="CX4" s="25">
        <f>IF(AND(CV4&lt;&gt;"", CY4&lt;&gt;""), ROUND(100*(1-(0+DA4)/2/DB$1), 2), "")</f>
        <v>99.65</v>
      </c>
      <c r="CY4" s="51">
        <v>519</v>
      </c>
      <c r="CZ4" s="18">
        <f t="shared" ref="CZ4:CZ52" si="16">IF(AND(CV4&lt;&gt;"", CY4&lt;&gt;""), CY4/DB$1, "")</f>
        <v>6.9765566189912897E-3</v>
      </c>
      <c r="DA4" s="26">
        <f>IF(AND(CV4&lt;&gt;"", CY4&lt;&gt;""), SUM(CY$4:CY4), "")</f>
        <v>519</v>
      </c>
      <c r="DB4" s="18">
        <f t="shared" ref="DB4:DB52" si="17">IF(AND(CV4&lt;&gt;"", CY4&lt;&gt;""), DA4/DB$1, "")</f>
        <v>6.9765566189912897E-3</v>
      </c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</row>
    <row r="5" spans="1:180" ht="16" customHeight="1" thickBot="1" x14ac:dyDescent="0.25">
      <c r="A5" s="73" t="s">
        <v>38</v>
      </c>
      <c r="B5" s="122" t="s">
        <v>45</v>
      </c>
      <c r="C5" s="122"/>
      <c r="D5" s="123"/>
      <c r="E5" s="1"/>
      <c r="F5" s="68"/>
      <c r="G5" s="67">
        <v>1</v>
      </c>
      <c r="H5" s="1"/>
      <c r="I5" s="68"/>
      <c r="J5" s="67">
        <v>1</v>
      </c>
      <c r="K5" s="1"/>
      <c r="L5" s="1"/>
      <c r="M5" s="1"/>
      <c r="N5" s="1"/>
      <c r="O5" s="38">
        <v>133</v>
      </c>
      <c r="P5" s="83">
        <f>IF(AND(O5&lt;&gt;"", R5&lt;&gt;""), IF(U4 &gt; $A$36, $B$37, IF(U4 &gt; $A$35, $B$36, IF(U4 &gt; $A$34, $B$35, IF(U4 &gt; $A$33, $B$34, IF(U4 &gt; $A$32, $B$33,IF(U4 &gt; $A$31, $B$32, IF(U4 &gt; $A$30, $B$31, IF(U4 &gt; $A$29, $B$30, $B$29)))))))), "")</f>
        <v>1</v>
      </c>
      <c r="Q5" s="15">
        <f t="shared" ref="Q5:Q68" si="18">IF(AND(O5&lt;&gt;"", R5&lt;&gt;""), ROUND(100*(1-(T4+T5)/2/U$1), 2), "")</f>
        <v>98.9</v>
      </c>
      <c r="R5" s="43">
        <v>2088</v>
      </c>
      <c r="S5" s="16">
        <f t="shared" si="0"/>
        <v>7.2765290120230001E-3</v>
      </c>
      <c r="T5" s="17">
        <f>IF(AND(O5&lt;&gt;"", R5&lt;&gt;""), SUM(R$4:R5), "")</f>
        <v>4199</v>
      </c>
      <c r="U5" s="16">
        <f t="shared" si="1"/>
        <v>1.4633211360864262E-2</v>
      </c>
      <c r="W5" s="38">
        <v>159</v>
      </c>
      <c r="X5" s="83">
        <f>IF(AND(W5&lt;&gt;"", Z5&lt;&gt;""), IF(AC4 &gt; $A$36, $B$37, IF(AC4 &gt; $A$35, $B$36, IF(AC4 &gt; $A$34, $B$35, IF(AC4 &gt; $A$33, $B$34, IF(AC4 &gt; $A$32, $B$33,IF(AC4 &gt; $A$31, $B$32, IF(AC4 &gt; $A$30, $B$31, IF(AC4 &gt; $A$29, $B$30, $B$29)))))))), "")</f>
        <v>1</v>
      </c>
      <c r="Y5" s="15">
        <f t="shared" ref="Y5:Y68" si="19">IF(AND(W5&lt;&gt;"", Z5&lt;&gt;""), ROUND(100*(1-(AB4+AB5)/2/AC$1), 2), "")</f>
        <v>99.91</v>
      </c>
      <c r="Z5" s="43">
        <v>8</v>
      </c>
      <c r="AA5" s="16">
        <f t="shared" si="2"/>
        <v>2.7972125776663555E-5</v>
      </c>
      <c r="AB5" s="17">
        <f>IF(AND(W5&lt;&gt;"", Z5&lt;&gt;""), SUM(Z$4:Z5), "")</f>
        <v>250</v>
      </c>
      <c r="AC5" s="16">
        <f t="shared" si="3"/>
        <v>8.7412893052073604E-4</v>
      </c>
      <c r="AD5" s="1"/>
      <c r="AE5" s="19">
        <v>48</v>
      </c>
      <c r="AF5" s="20">
        <v>69</v>
      </c>
      <c r="AG5" s="8"/>
      <c r="AH5" s="48">
        <v>69</v>
      </c>
      <c r="AI5" s="83">
        <f>IF(AND(AH5&lt;&gt;"", AK5&lt;&gt;""), IF(AN4 &gt; $A$36, $B$37, IF(AN4 &gt; $A$35, $B$36, IF(AN4 &gt; $A$34, $B$35, IF(AN4 &gt; $A$33, $B$34, IF(AN4 &gt; $A$32, $B$33,IF(AN4 &gt; $A$31, $B$32, IF(AN4 &gt; $A$30, $B$31, IF(AN4 &gt; $A$29, $B$30, $B$29)))))))), "")</f>
        <v>1</v>
      </c>
      <c r="AJ5" s="25">
        <f t="shared" ref="AJ5:AJ52" si="20">IF(AND(AH5&lt;&gt;"", AK5&lt;&gt;""), ROUND(100*(1-(AM4+AM5)/2/AN$1), 2), "")</f>
        <v>99.12</v>
      </c>
      <c r="AK5" s="51">
        <v>211</v>
      </c>
      <c r="AL5" s="18">
        <f t="shared" si="4"/>
        <v>2.1955610126634965E-3</v>
      </c>
      <c r="AM5" s="26">
        <f>IF(AND(AH5&lt;&gt;"", AK5&lt;&gt;""), SUM(AK$4:AK5), "")</f>
        <v>956</v>
      </c>
      <c r="AN5" s="18">
        <f t="shared" si="5"/>
        <v>9.9476603227786845E-3</v>
      </c>
      <c r="AO5" s="14"/>
      <c r="AP5" s="27">
        <v>48</v>
      </c>
      <c r="AQ5" s="20">
        <v>72</v>
      </c>
      <c r="AR5" s="8"/>
      <c r="AS5" s="49">
        <v>72</v>
      </c>
      <c r="AT5" s="83">
        <f>IF(AND(AS5&lt;&gt;"", AV5&lt;&gt;""), IF(AY4 &gt; $A$36, $B$37, IF(AY4 &gt; $A$35, $B$36, IF(AY4 &gt; $A$34, $B$35, IF(AY4 &gt; $A$33, $B$34, IF(AY4 &gt; $A$32, $B$33,IF(AY4 &gt; $A$31, $B$32, IF(AY4 &gt; $A$30, $B$31, IF(AY4 &gt; $A$29, $B$30, $B$29)))))))), "")</f>
        <v>1</v>
      </c>
      <c r="AU5" s="15">
        <f t="shared" ref="AU5:AU52" si="21">IF(AND(AS5&lt;&gt;"", AV5&lt;&gt;""), ROUND(100*(1-(AX4+AX5)/2/AY$1), 2), "")</f>
        <v>97.94</v>
      </c>
      <c r="AV5" s="52">
        <v>219</v>
      </c>
      <c r="AW5" s="16">
        <f t="shared" si="6"/>
        <v>9.577538703752296E-3</v>
      </c>
      <c r="AX5" s="17">
        <f>IF(AND(AS5&lt;&gt;"", AV5&lt;&gt;""), SUM(AV$4:AV5), "")</f>
        <v>580</v>
      </c>
      <c r="AY5" s="16">
        <f t="shared" si="7"/>
        <v>2.5365170996238959E-2</v>
      </c>
      <c r="AZ5" s="14"/>
      <c r="BA5" s="27">
        <v>48</v>
      </c>
      <c r="BB5" s="20">
        <v>74</v>
      </c>
      <c r="BC5" s="8"/>
      <c r="BD5" s="49">
        <v>74</v>
      </c>
      <c r="BE5" s="83">
        <f>IF(AND(BD5&lt;&gt;"", BG5&lt;&gt;""), IF(BJ4 &gt; $A$36, $B$37, IF(BJ4 &gt; $A$35, $B$36, IF(BJ4 &gt; $A$34, $B$35, IF(BJ4 &gt; $A$33, $B$34, IF(BJ4 &gt; $A$32, $B$33,IF(BJ4 &gt; $A$31, $B$32, IF(BJ4 &gt; $A$30, $B$31, IF(BJ4 &gt; $A$29, $B$30, $B$29)))))))), "")</f>
        <v>1</v>
      </c>
      <c r="BF5" s="15">
        <f t="shared" ref="BF5:BF52" si="22">IF(AND(BD5&lt;&gt;"", BG5&lt;&gt;""), ROUND(100*(1-(BI4+BI5)/2/BJ$1), 2), "")</f>
        <v>98.33</v>
      </c>
      <c r="BG5" s="52">
        <v>198</v>
      </c>
      <c r="BH5" s="16">
        <f t="shared" si="8"/>
        <v>7.6501043196043582E-3</v>
      </c>
      <c r="BI5" s="17">
        <f>IF(AND(BD5&lt;&gt;"", BG5&lt;&gt;""), SUM(BG$4:BG5), "")</f>
        <v>530</v>
      </c>
      <c r="BJ5" s="16">
        <f t="shared" si="9"/>
        <v>2.0477551966617727E-2</v>
      </c>
      <c r="BK5" s="14"/>
      <c r="BL5" s="27">
        <v>48</v>
      </c>
      <c r="BM5" s="20">
        <v>73</v>
      </c>
      <c r="BN5" s="8"/>
      <c r="BO5" s="48">
        <v>73</v>
      </c>
      <c r="BP5" s="83">
        <f>IF(AND(BO5&lt;&gt;"", BR5&lt;&gt;""), IF(BU4 &gt; $A$36, $B$37, IF(BU4 &gt; $A$35, $B$36, IF(BU4 &gt; $A$34, $B$35, IF(BU4 &gt; $A$33, $B$34, IF(BU4 &gt; $A$32, $B$33,IF(BU4 &gt; $A$31, $B$32, IF(BU4 &gt; $A$30, $B$31, IF(BU4 &gt; $A$29, $B$30, $B$29)))))))), "")</f>
        <v>1</v>
      </c>
      <c r="BQ5" s="25">
        <f t="shared" ref="BQ5:BQ52" si="23">IF(AND(BO5&lt;&gt;"", BR5&lt;&gt;""), ROUND(100*(1-(BT4+BT5)/2/BU$1), 2), "")</f>
        <v>99.13</v>
      </c>
      <c r="BR5" s="51">
        <v>155</v>
      </c>
      <c r="BS5" s="18">
        <f t="shared" si="10"/>
        <v>4.0028924125819947E-3</v>
      </c>
      <c r="BT5" s="26">
        <f>IF(AND(BO5&lt;&gt;"", BR5&lt;&gt;""), SUM(BR$4:BR5), "")</f>
        <v>415</v>
      </c>
      <c r="BU5" s="18">
        <f t="shared" si="11"/>
        <v>1.071742162078405E-2</v>
      </c>
      <c r="BV5" s="14"/>
      <c r="BW5" s="27">
        <v>48</v>
      </c>
      <c r="BX5" s="20">
        <v>72</v>
      </c>
      <c r="BY5" s="8"/>
      <c r="BZ5" s="49">
        <v>72</v>
      </c>
      <c r="CA5" s="83">
        <f>IF(AND(BZ5&lt;&gt;"", CC5&lt;&gt;""), IF(CF4 &gt; $A$36, $B$37, IF(CF4 &gt; $A$35, $B$36, IF(CF4 &gt; $A$34, $B$35, IF(CF4 &gt; $A$33, $B$34, IF(CF4 &gt; $A$32, $B$33,IF(CF4 &gt; $A$31, $B$32, IF(CF4 &gt; $A$30, $B$31, IF(CF4 &gt; $A$29, $B$30, $B$29)))))))), "")</f>
        <v>1</v>
      </c>
      <c r="CB5" s="15">
        <f t="shared" ref="CB5:CB52" si="24">IF(AND(BZ5&lt;&gt;"", CC5&lt;&gt;""), ROUND(100*(1-(CE4+CE5)/2/CF$1), 2), "")</f>
        <v>98.72</v>
      </c>
      <c r="CC5" s="52">
        <v>141</v>
      </c>
      <c r="CD5" s="16">
        <f t="shared" si="12"/>
        <v>2.9386019757409029E-3</v>
      </c>
      <c r="CE5" s="17">
        <f>IF(AND(BZ5&lt;&gt;"", CC5&lt;&gt;""), SUM(CC$4:CC5), "")</f>
        <v>685</v>
      </c>
      <c r="CF5" s="16">
        <f t="shared" si="13"/>
        <v>1.4276186903422116E-2</v>
      </c>
      <c r="CG5" s="14"/>
      <c r="CH5" s="27">
        <v>48</v>
      </c>
      <c r="CI5" s="20">
        <v>73</v>
      </c>
      <c r="CJ5" s="8"/>
      <c r="CK5" s="49">
        <v>73</v>
      </c>
      <c r="CL5" s="83">
        <f>IF(AND(CK5&lt;&gt;"", CN5&lt;&gt;""), IF(CQ4 &gt; $A$36, $B$37, IF(CQ4 &gt; $A$35, $B$36, IF(CQ4 &gt; $A$34, $B$35, IF(CQ4 &gt; $A$33, $B$34, IF(CQ4 &gt; $A$32, $B$33,IF(CQ4 &gt; $A$31, $B$32, IF(CQ4 &gt; $A$30, $B$31, IF(CQ4 &gt; $A$29, $B$30, $B$29)))))))), "")</f>
        <v>1</v>
      </c>
      <c r="CM5" s="15">
        <f t="shared" ref="CM5:CM52" si="25">IF(AND(CK5&lt;&gt;"", CN5&lt;&gt;""), ROUND(100*(1-(CP4+CP5)/2/CQ$1), 2), "")</f>
        <v>99.21</v>
      </c>
      <c r="CN5" s="52">
        <v>738</v>
      </c>
      <c r="CO5" s="16">
        <f t="shared" si="14"/>
        <v>8.825534255749154E-3</v>
      </c>
      <c r="CP5" s="17">
        <f>IF(AND(CK5&lt;&gt;"", CN5&lt;&gt;""), SUM(CN$4:CN5), "")</f>
        <v>1033</v>
      </c>
      <c r="CQ5" s="16">
        <f t="shared" si="15"/>
        <v>1.235335621434807E-2</v>
      </c>
      <c r="CR5" s="14"/>
      <c r="CS5" s="27">
        <v>48</v>
      </c>
      <c r="CT5" s="20">
        <v>76</v>
      </c>
      <c r="CU5" s="8"/>
      <c r="CV5" s="49">
        <v>76</v>
      </c>
      <c r="CW5" s="83">
        <f>IF(AND(CV5&lt;&gt;"", CY5&lt;&gt;""), IF(DB4 &gt; $A$36, $B$37, IF(DB4 &gt; $A$35, $B$36, IF(DB4 &gt; $A$34, $B$35, IF(DB4 &gt; $A$33, $B$34, IF(DB4 &gt; $A$32, $B$33,IF(DB4 &gt; $A$31, $B$32, IF(DB4 &gt; $A$30, $B$31, IF(DB4 &gt; $A$29, $B$30, $B$29)))))))), "")</f>
        <v>1</v>
      </c>
      <c r="CX5" s="15">
        <f t="shared" ref="CX5:CX52" si="26">IF(AND(CV5&lt;&gt;"", CY5&lt;&gt;""), ROUND(100*(1-(DA4+DA5)/2/DB$1), 2), "")</f>
        <v>99.09</v>
      </c>
      <c r="CY5" s="52">
        <v>315</v>
      </c>
      <c r="CZ5" s="16">
        <f t="shared" si="16"/>
        <v>4.2343262716421116E-3</v>
      </c>
      <c r="DA5" s="17">
        <f>IF(AND(CV5&lt;&gt;"", CY5&lt;&gt;""), SUM(CY$4:CY5), "")</f>
        <v>834</v>
      </c>
      <c r="DB5" s="16">
        <f t="shared" si="17"/>
        <v>1.1210882890633402E-2</v>
      </c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</row>
    <row r="6" spans="1:180" ht="16" customHeight="1" x14ac:dyDescent="0.2">
      <c r="A6"/>
      <c r="B6"/>
      <c r="C6"/>
      <c r="D6"/>
      <c r="E6" s="1"/>
      <c r="F6" s="68"/>
      <c r="G6" s="67">
        <v>2</v>
      </c>
      <c r="H6" s="1"/>
      <c r="I6" s="68"/>
      <c r="J6" s="67">
        <v>2</v>
      </c>
      <c r="K6" s="1"/>
      <c r="L6" s="1"/>
      <c r="M6" s="1"/>
      <c r="N6" s="1"/>
      <c r="O6" s="38">
        <v>132</v>
      </c>
      <c r="P6" s="83">
        <f>IF(AND(O6&lt;&gt;"", R6&lt;&gt;""), IF(U5 &gt; $A$36, $B$37, IF(U5 &gt; $A$35, $B$36, IF(U5 &gt; $A$34, $B$35, IF(U5 &gt; $A$33, $B$34, IF(U5 &gt; $A$32, $B$33,IF(U5 &gt; $A$31, $B$32, IF(U5 &gt; $A$30, $B$31, IF(U5 &gt; $A$29, $B$30, $B$29)))))))), "")</f>
        <v>1</v>
      </c>
      <c r="Q6" s="15">
        <f t="shared" si="18"/>
        <v>98.05</v>
      </c>
      <c r="R6" s="43">
        <v>2765</v>
      </c>
      <c r="S6" s="16">
        <f t="shared" si="0"/>
        <v>9.6358250566300745E-3</v>
      </c>
      <c r="T6" s="17">
        <f>IF(AND(O6&lt;&gt;"", R6&lt;&gt;""), SUM(R$4:R6), "")</f>
        <v>6964</v>
      </c>
      <c r="U6" s="16">
        <f t="shared" si="1"/>
        <v>2.4269036417494338E-2</v>
      </c>
      <c r="W6" s="38">
        <v>158</v>
      </c>
      <c r="X6" s="83">
        <f>IF(AND(W6&lt;&gt;"", Z6&lt;&gt;""), IF(AC5 &gt; $A$36, $B$37, IF(AC5 &gt; $A$35, $B$36, IF(AC5 &gt; $A$34, $B$35, IF(AC5 &gt; $A$33, $B$34, IF(AC5 &gt; $A$32, $B$33,IF(AC5 &gt; $A$31, $B$32, IF(AC5 &gt; $A$30, $B$31, IF(AC5 &gt; $A$29, $B$30, $B$29)))))))), "")</f>
        <v>1</v>
      </c>
      <c r="Y6" s="15">
        <f t="shared" si="19"/>
        <v>99.91</v>
      </c>
      <c r="Z6" s="43">
        <v>27</v>
      </c>
      <c r="AA6" s="16">
        <f t="shared" si="2"/>
        <v>9.4405924496239493E-5</v>
      </c>
      <c r="AB6" s="17">
        <f>IF(AND(W6&lt;&gt;"", Z6&lt;&gt;""), SUM(Z$4:Z6), "")</f>
        <v>277</v>
      </c>
      <c r="AC6" s="16">
        <f t="shared" si="3"/>
        <v>9.6853485501697558E-4</v>
      </c>
      <c r="AD6" s="1"/>
      <c r="AE6" s="19">
        <v>47</v>
      </c>
      <c r="AF6" s="20">
        <v>68</v>
      </c>
      <c r="AG6" s="8"/>
      <c r="AH6" s="49">
        <v>68</v>
      </c>
      <c r="AI6" s="83">
        <f>IF(AND(AH6&lt;&gt;"", AK6&lt;&gt;""), IF(AN5 &gt; $A$36, $B$37, IF(AN5 &gt; $A$35, $B$36, IF(AN5 &gt; $A$34, $B$35, IF(AN5 &gt; $A$33, $B$34, IF(AN5 &gt; $A$32, $B$33,IF(AN5 &gt; $A$31, $B$32, IF(AN5 &gt; $A$30, $B$31, IF(AN5 &gt; $A$29, $B$30, $B$29)))))))), "")</f>
        <v>1</v>
      </c>
      <c r="AJ6" s="15">
        <f t="shared" si="20"/>
        <v>97.77</v>
      </c>
      <c r="AK6" s="52">
        <v>2367</v>
      </c>
      <c r="AL6" s="16">
        <f t="shared" si="4"/>
        <v>2.4629824251063963E-2</v>
      </c>
      <c r="AM6" s="17">
        <f>IF(AND(AH6&lt;&gt;"", AK6&lt;&gt;""), SUM(AK$4:AK6), "")</f>
        <v>3323</v>
      </c>
      <c r="AN6" s="16">
        <f t="shared" si="5"/>
        <v>3.4577484573842646E-2</v>
      </c>
      <c r="AO6" s="14"/>
      <c r="AP6" s="27">
        <v>47</v>
      </c>
      <c r="AQ6" s="20">
        <v>71</v>
      </c>
      <c r="AR6" s="8"/>
      <c r="AS6" s="49">
        <v>71</v>
      </c>
      <c r="AT6" s="83">
        <f>IF(AND(AS6&lt;&gt;"", AV6&lt;&gt;""), IF(AY5 &gt; $A$36, $B$37, IF(AY5 &gt; $A$35, $B$36, IF(AY5 &gt; $A$34, $B$35, IF(AY5 &gt; $A$33, $B$34, IF(AY5 &gt; $A$32, $B$33,IF(AY5 &gt; $A$31, $B$32, IF(AY5 &gt; $A$30, $B$31, IF(AY5 &gt; $A$29, $B$30, $B$29)))))))), "")</f>
        <v>1</v>
      </c>
      <c r="AU6" s="15">
        <f t="shared" si="21"/>
        <v>96.77</v>
      </c>
      <c r="AV6" s="52">
        <v>316</v>
      </c>
      <c r="AW6" s="16">
        <f t="shared" si="6"/>
        <v>1.3819644887606052E-2</v>
      </c>
      <c r="AX6" s="17">
        <f>IF(AND(AS6&lt;&gt;"", AV6&lt;&gt;""), SUM(AV$4:AV6), "")</f>
        <v>896</v>
      </c>
      <c r="AY6" s="16">
        <f t="shared" si="7"/>
        <v>3.9184815883845009E-2</v>
      </c>
      <c r="AZ6" s="14"/>
      <c r="BA6" s="27">
        <v>47</v>
      </c>
      <c r="BB6" s="20">
        <v>73</v>
      </c>
      <c r="BC6" s="8"/>
      <c r="BD6" s="49">
        <v>73</v>
      </c>
      <c r="BE6" s="83">
        <f>IF(AND(BD6&lt;&gt;"", BG6&lt;&gt;""), IF(BJ5 &gt; $A$36, $B$37, IF(BJ5 &gt; $A$35, $B$36, IF(BJ5 &gt; $A$34, $B$35, IF(BJ5 &gt; $A$33, $B$34, IF(BJ5 &gt; $A$32, $B$33,IF(BJ5 &gt; $A$31, $B$32, IF(BJ5 &gt; $A$30, $B$31, IF(BJ5 &gt; $A$29, $B$30, $B$29)))))))), "")</f>
        <v>1</v>
      </c>
      <c r="BF6" s="15">
        <f t="shared" si="22"/>
        <v>97.47</v>
      </c>
      <c r="BG6" s="52">
        <v>248</v>
      </c>
      <c r="BH6" s="16">
        <f t="shared" si="8"/>
        <v>9.5819488447569743E-3</v>
      </c>
      <c r="BI6" s="17">
        <f>IF(AND(BD6&lt;&gt;"", BG6&lt;&gt;""), SUM(BG$4:BG6), "")</f>
        <v>778</v>
      </c>
      <c r="BJ6" s="16">
        <f t="shared" si="9"/>
        <v>3.0059500811374699E-2</v>
      </c>
      <c r="BK6" s="14"/>
      <c r="BL6" s="27">
        <v>47</v>
      </c>
      <c r="BM6" s="20">
        <v>72</v>
      </c>
      <c r="BN6" s="8"/>
      <c r="BO6" s="49">
        <v>72</v>
      </c>
      <c r="BP6" s="83">
        <f>IF(AND(BO6&lt;&gt;"", BR6&lt;&gt;""), IF(BU5 &gt; $A$36, $B$37, IF(BU5 &gt; $A$35, $B$36, IF(BU5 &gt; $A$34, $B$35, IF(BU5 &gt; $A$33, $B$34, IF(BU5 &gt; $A$32, $B$33,IF(BU5 &gt; $A$31, $B$32, IF(BU5 &gt; $A$30, $B$31, IF(BU5 &gt; $A$29, $B$30, $B$29)))))))), "")</f>
        <v>1</v>
      </c>
      <c r="BQ6" s="15">
        <f t="shared" si="23"/>
        <v>98.52</v>
      </c>
      <c r="BR6" s="52">
        <v>318</v>
      </c>
      <c r="BS6" s="16">
        <f t="shared" si="10"/>
        <v>8.2123857238778995E-3</v>
      </c>
      <c r="BT6" s="17">
        <f>IF(AND(BO6&lt;&gt;"", BR6&lt;&gt;""), SUM(BR$4:BR6), "")</f>
        <v>733</v>
      </c>
      <c r="BU6" s="16">
        <f t="shared" si="11"/>
        <v>1.8929807344661948E-2</v>
      </c>
      <c r="BV6" s="14"/>
      <c r="BW6" s="27">
        <v>47</v>
      </c>
      <c r="BX6" s="20">
        <v>71</v>
      </c>
      <c r="BY6" s="8"/>
      <c r="BZ6" s="49">
        <v>71</v>
      </c>
      <c r="CA6" s="83">
        <f>IF(AND(BZ6&lt;&gt;"", CC6&lt;&gt;""), IF(CF5 &gt; $A$36, $B$37, IF(CF5 &gt; $A$35, $B$36, IF(CF5 &gt; $A$34, $B$35, IF(CF5 &gt; $A$33, $B$34, IF(CF5 &gt; $A$32, $B$33,IF(CF5 &gt; $A$31, $B$32, IF(CF5 &gt; $A$30, $B$31, IF(CF5 &gt; $A$29, $B$30, $B$29)))))))), "")</f>
        <v>1</v>
      </c>
      <c r="CB6" s="15">
        <f t="shared" si="24"/>
        <v>97.74</v>
      </c>
      <c r="CC6" s="52">
        <v>803</v>
      </c>
      <c r="CD6" s="16">
        <f t="shared" si="12"/>
        <v>1.6735442457588262E-2</v>
      </c>
      <c r="CE6" s="17">
        <f>IF(AND(BZ6&lt;&gt;"", CC6&lt;&gt;""), SUM(CC$4:CC6), "")</f>
        <v>1488</v>
      </c>
      <c r="CF6" s="16">
        <f t="shared" si="13"/>
        <v>3.101162936101038E-2</v>
      </c>
      <c r="CG6" s="14"/>
      <c r="CH6" s="27">
        <v>47</v>
      </c>
      <c r="CI6" s="20">
        <v>73</v>
      </c>
      <c r="CJ6" s="8"/>
      <c r="CK6" s="49">
        <v>72</v>
      </c>
      <c r="CL6" s="83">
        <f>IF(AND(CK6&lt;&gt;"", CN6&lt;&gt;""), IF(CQ5 &gt; $A$36, $B$37, IF(CQ5 &gt; $A$35, $B$36, IF(CQ5 &gt; $A$34, $B$35, IF(CQ5 &gt; $A$33, $B$34, IF(CQ5 &gt; $A$32, $B$33,IF(CQ5 &gt; $A$31, $B$32, IF(CQ5 &gt; $A$30, $B$31, IF(CQ5 &gt; $A$29, $B$30, $B$29)))))))), "")</f>
        <v>1</v>
      </c>
      <c r="CM6" s="15">
        <f t="shared" si="25"/>
        <v>98.74</v>
      </c>
      <c r="CN6" s="52">
        <v>48</v>
      </c>
      <c r="CO6" s="16">
        <f t="shared" si="14"/>
        <v>5.7401848817880676E-4</v>
      </c>
      <c r="CP6" s="17">
        <f>IF(AND(CK6&lt;&gt;"", CN6&lt;&gt;""), SUM(CN$4:CN6), "")</f>
        <v>1081</v>
      </c>
      <c r="CQ6" s="16">
        <f t="shared" si="15"/>
        <v>1.2927374702526877E-2</v>
      </c>
      <c r="CR6" s="14"/>
      <c r="CS6" s="27">
        <v>47</v>
      </c>
      <c r="CT6" s="20">
        <v>75</v>
      </c>
      <c r="CU6" s="8"/>
      <c r="CV6" s="49">
        <v>75</v>
      </c>
      <c r="CW6" s="83">
        <f>IF(AND(CV6&lt;&gt;"", CY6&lt;&gt;""), IF(DB5 &gt; $A$36, $B$37, IF(DB5 &gt; $A$35, $B$36, IF(DB5 &gt; $A$34, $B$35, IF(DB5 &gt; $A$33, $B$34, IF(DB5 &gt; $A$32, $B$33,IF(DB5 &gt; $A$31, $B$32, IF(DB5 &gt; $A$30, $B$31, IF(DB5 &gt; $A$29, $B$30, $B$29)))))))), "")</f>
        <v>1</v>
      </c>
      <c r="CX6" s="15">
        <f t="shared" si="26"/>
        <v>98.47</v>
      </c>
      <c r="CY6" s="52">
        <v>608</v>
      </c>
      <c r="CZ6" s="16">
        <f t="shared" si="16"/>
        <v>8.1729218195504896E-3</v>
      </c>
      <c r="DA6" s="17">
        <f>IF(AND(CV6&lt;&gt;"", CY6&lt;&gt;""), SUM(CY$4:CY6), "")</f>
        <v>1442</v>
      </c>
      <c r="DB6" s="16">
        <f t="shared" si="17"/>
        <v>1.9383804710183892E-2</v>
      </c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</row>
    <row r="7" spans="1:180" ht="16" customHeight="1" thickBot="1" x14ac:dyDescent="0.25">
      <c r="A7" s="141" t="s">
        <v>44</v>
      </c>
      <c r="B7" s="141"/>
      <c r="C7" s="141"/>
      <c r="D7" s="141"/>
      <c r="E7" s="1"/>
      <c r="F7" s="68"/>
      <c r="G7" s="67">
        <v>3</v>
      </c>
      <c r="H7" s="1"/>
      <c r="I7" s="68"/>
      <c r="J7" s="67">
        <v>3</v>
      </c>
      <c r="K7" s="1"/>
      <c r="L7" s="1"/>
      <c r="M7" s="1"/>
      <c r="N7" s="1"/>
      <c r="O7" s="38">
        <v>131</v>
      </c>
      <c r="P7" s="83">
        <f t="shared" ref="P7:P70" si="27">IF(AND(O7&lt;&gt;"", R7&lt;&gt;""), IF(U6 &gt; $A$36, $B$37, IF(U6 &gt; $A$35, $B$36, IF(U6 &gt; $A$34, $B$35, IF(U6 &gt; $A$33, $B$34, IF(U6 &gt; $A$32, $B$33,IF(U6 &gt; $A$31, $B$32, IF(U6 &gt; $A$30, $B$31, IF(U6 &gt; $A$29, $B$30, $B$29)))))))), "")</f>
        <v>1</v>
      </c>
      <c r="Q7" s="15">
        <f t="shared" si="18"/>
        <v>97.31</v>
      </c>
      <c r="R7" s="43">
        <v>1498</v>
      </c>
      <c r="S7" s="16">
        <f t="shared" si="0"/>
        <v>5.2204216762502175E-3</v>
      </c>
      <c r="T7" s="17">
        <f>IF(AND(O7&lt;&gt;"", R7&lt;&gt;""), SUM(R$4:R7), "")</f>
        <v>8462</v>
      </c>
      <c r="U7" s="16">
        <f t="shared" si="1"/>
        <v>2.9489458093744553E-2</v>
      </c>
      <c r="W7" s="38">
        <v>157</v>
      </c>
      <c r="X7" s="83">
        <f t="shared" ref="X7:X70" si="28">IF(AND(W7&lt;&gt;"", Z7&lt;&gt;""), IF(AC6 &gt; $A$36, $B$37, IF(AC6 &gt; $A$35, $B$36, IF(AC6 &gt; $A$34, $B$35, IF(AC6 &gt; $A$33, $B$34, IF(AC6 &gt; $A$32, $B$33,IF(AC6 &gt; $A$31, $B$32, IF(AC6 &gt; $A$30, $B$31, IF(AC6 &gt; $A$29, $B$30, $B$29)))))))), "")</f>
        <v>1</v>
      </c>
      <c r="Y7" s="15">
        <f t="shared" si="19"/>
        <v>99.86</v>
      </c>
      <c r="Z7" s="43">
        <v>225</v>
      </c>
      <c r="AA7" s="16">
        <f t="shared" si="2"/>
        <v>7.8671603746866253E-4</v>
      </c>
      <c r="AB7" s="17">
        <f>IF(AND(W7&lt;&gt;"", Z7&lt;&gt;""), SUM(Z$4:Z7), "")</f>
        <v>502</v>
      </c>
      <c r="AC7" s="16">
        <f t="shared" si="3"/>
        <v>1.755250892485638E-3</v>
      </c>
      <c r="AD7" s="1"/>
      <c r="AE7" s="19">
        <v>46</v>
      </c>
      <c r="AF7" s="20">
        <v>67</v>
      </c>
      <c r="AG7" s="8"/>
      <c r="AH7" s="49">
        <v>67</v>
      </c>
      <c r="AI7" s="83">
        <f t="shared" ref="AI7:AI52" si="29">IF(AND(AH7&lt;&gt;"", AK7&lt;&gt;""), IF(AN6 &gt; $A$36, $B$37, IF(AN6 &gt; $A$35, $B$36, IF(AN6 &gt; $A$34, $B$35, IF(AN6 &gt; $A$33, $B$34, IF(AN6 &gt; $A$32, $B$33,IF(AN6 &gt; $A$31, $B$32, IF(AN6 &gt; $A$30, $B$31, IF(AN6 &gt; $A$29, $B$30, $B$29)))))))), "")</f>
        <v>1</v>
      </c>
      <c r="AJ7" s="15">
        <f t="shared" si="20"/>
        <v>96.51</v>
      </c>
      <c r="AK7" s="52">
        <v>57</v>
      </c>
      <c r="AL7" s="16">
        <f t="shared" si="4"/>
        <v>5.9311363849203456E-4</v>
      </c>
      <c r="AM7" s="17">
        <f>IF(AND(AH7&lt;&gt;"", AK7&lt;&gt;""), SUM(AK$4:AK7), "")</f>
        <v>3380</v>
      </c>
      <c r="AN7" s="16">
        <f t="shared" si="5"/>
        <v>3.5170598212334682E-2</v>
      </c>
      <c r="AO7" s="14"/>
      <c r="AP7" s="27">
        <v>46</v>
      </c>
      <c r="AQ7" s="20">
        <v>70</v>
      </c>
      <c r="AR7" s="8"/>
      <c r="AS7" s="49">
        <v>70</v>
      </c>
      <c r="AT7" s="83">
        <f t="shared" ref="AT7:AT52" si="30">IF(AND(AS7&lt;&gt;"", AV7&lt;&gt;""), IF(AY6 &gt; $A$36, $B$37, IF(AY6 &gt; $A$35, $B$36, IF(AY6 &gt; $A$34, $B$35, IF(AY6 &gt; $A$33, $B$34, IF(AY6 &gt; $A$32, $B$33,IF(AY6 &gt; $A$31, $B$32, IF(AY6 &gt; $A$30, $B$31, IF(AY6 &gt; $A$29, $B$30, $B$29)))))))), "")</f>
        <v>1</v>
      </c>
      <c r="AU7" s="15">
        <f t="shared" si="21"/>
        <v>95.88</v>
      </c>
      <c r="AV7" s="52">
        <v>91</v>
      </c>
      <c r="AW7" s="16">
        <f t="shared" si="6"/>
        <v>3.9797078632030089E-3</v>
      </c>
      <c r="AX7" s="17">
        <f>IF(AND(AS7&lt;&gt;"", AV7&lt;&gt;""), SUM(AV$4:AV7), "")</f>
        <v>987</v>
      </c>
      <c r="AY7" s="16">
        <f t="shared" si="7"/>
        <v>4.3164523747048017E-2</v>
      </c>
      <c r="AZ7" s="14"/>
      <c r="BA7" s="27">
        <v>46</v>
      </c>
      <c r="BB7" s="20">
        <v>72</v>
      </c>
      <c r="BC7" s="8"/>
      <c r="BD7" s="49">
        <v>72</v>
      </c>
      <c r="BE7" s="83">
        <f t="shared" ref="BE7:BE52" si="31">IF(AND(BD7&lt;&gt;"", BG7&lt;&gt;""), IF(BJ6 &gt; $A$36, $B$37, IF(BJ6 &gt; $A$35, $B$36, IF(BJ6 &gt; $A$34, $B$35, IF(BJ6 &gt; $A$33, $B$34, IF(BJ6 &gt; $A$32, $B$33,IF(BJ6 &gt; $A$31, $B$32, IF(BJ6 &gt; $A$30, $B$31, IF(BJ6 &gt; $A$29, $B$30, $B$29)))))))), "")</f>
        <v>1</v>
      </c>
      <c r="BF7" s="15">
        <f t="shared" si="22"/>
        <v>96.84</v>
      </c>
      <c r="BG7" s="52">
        <v>82</v>
      </c>
      <c r="BH7" s="16">
        <f t="shared" si="8"/>
        <v>3.1682250212502899E-3</v>
      </c>
      <c r="BI7" s="17">
        <f>IF(AND(BD7&lt;&gt;"", BG7&lt;&gt;""), SUM(BG$4:BG7), "")</f>
        <v>860</v>
      </c>
      <c r="BJ7" s="16">
        <f t="shared" si="9"/>
        <v>3.3227725832624989E-2</v>
      </c>
      <c r="BK7" s="14"/>
      <c r="BL7" s="27">
        <v>46</v>
      </c>
      <c r="BM7" s="20">
        <v>71</v>
      </c>
      <c r="BN7" s="8"/>
      <c r="BO7" s="49">
        <v>71</v>
      </c>
      <c r="BP7" s="83">
        <f t="shared" ref="BP7:BP52" si="32">IF(AND(BO7&lt;&gt;"", BR7&lt;&gt;""), IF(BU6 &gt; $A$36, $B$37, IF(BU6 &gt; $A$35, $B$36, IF(BU6 &gt; $A$34, $B$35, IF(BU6 &gt; $A$33, $B$34, IF(BU6 &gt; $A$32, $B$33,IF(BU6 &gt; $A$31, $B$32, IF(BU6 &gt; $A$30, $B$31, IF(BU6 &gt; $A$29, $B$30, $B$29)))))))), "")</f>
        <v>1</v>
      </c>
      <c r="BQ7" s="15">
        <f t="shared" si="23"/>
        <v>98.03</v>
      </c>
      <c r="BR7" s="52">
        <v>59</v>
      </c>
      <c r="BS7" s="16">
        <f t="shared" si="10"/>
        <v>1.5236816280150818E-3</v>
      </c>
      <c r="BT7" s="17">
        <f>IF(AND(BO7&lt;&gt;"", BR7&lt;&gt;""), SUM(BR$4:BR7), "")</f>
        <v>792</v>
      </c>
      <c r="BU7" s="16">
        <f t="shared" si="11"/>
        <v>2.0453488972677032E-2</v>
      </c>
      <c r="BV7" s="14"/>
      <c r="BW7" s="27">
        <v>46</v>
      </c>
      <c r="BX7" s="20">
        <v>70</v>
      </c>
      <c r="BY7" s="8"/>
      <c r="BZ7" s="49">
        <v>70</v>
      </c>
      <c r="CA7" s="83">
        <f t="shared" ref="CA7:CA52" si="33">IF(AND(BZ7&lt;&gt;"", CC7&lt;&gt;""), IF(CF6 &gt; $A$36, $B$37, IF(CF6 &gt; $A$35, $B$36, IF(CF6 &gt; $A$34, $B$35, IF(CF6 &gt; $A$33, $B$34, IF(CF6 &gt; $A$32, $B$33,IF(CF6 &gt; $A$31, $B$32, IF(CF6 &gt; $A$30, $B$31, IF(CF6 &gt; $A$29, $B$30, $B$29)))))))), "")</f>
        <v>1</v>
      </c>
      <c r="CB7" s="15">
        <f t="shared" si="24"/>
        <v>96.88</v>
      </c>
      <c r="CC7" s="52">
        <v>22</v>
      </c>
      <c r="CD7" s="16">
        <f t="shared" si="12"/>
        <v>4.5850527281063731E-4</v>
      </c>
      <c r="CE7" s="17">
        <f>IF(AND(BZ7&lt;&gt;"", CC7&lt;&gt;""), SUM(CC$4:CC7), "")</f>
        <v>1510</v>
      </c>
      <c r="CF7" s="16">
        <f t="shared" si="13"/>
        <v>3.1470134633821013E-2</v>
      </c>
      <c r="CG7" s="14"/>
      <c r="CH7" s="27">
        <v>46</v>
      </c>
      <c r="CI7" s="20">
        <v>72</v>
      </c>
      <c r="CJ7" s="8"/>
      <c r="CK7" s="49">
        <v>71</v>
      </c>
      <c r="CL7" s="83">
        <f t="shared" ref="CL7:CL52" si="34">IF(AND(CK7&lt;&gt;"", CN7&lt;&gt;""), IF(CQ6 &gt; $A$36, $B$37, IF(CQ6 &gt; $A$35, $B$36, IF(CQ6 &gt; $A$34, $B$35, IF(CQ6 &gt; $A$33, $B$34, IF(CQ6 &gt; $A$32, $B$33,IF(CQ6 &gt; $A$31, $B$32, IF(CQ6 &gt; $A$30, $B$31, IF(CQ6 &gt; $A$29, $B$30, $B$29)))))))), "")</f>
        <v>1</v>
      </c>
      <c r="CM7" s="15">
        <f t="shared" si="25"/>
        <v>98.29</v>
      </c>
      <c r="CN7" s="52">
        <v>694</v>
      </c>
      <c r="CO7" s="16">
        <f t="shared" si="14"/>
        <v>8.2993506415852472E-3</v>
      </c>
      <c r="CP7" s="17">
        <f>IF(AND(CK7&lt;&gt;"", CN7&lt;&gt;""), SUM(CN$4:CN7), "")</f>
        <v>1775</v>
      </c>
      <c r="CQ7" s="16">
        <f t="shared" si="15"/>
        <v>2.1226725344112126E-2</v>
      </c>
      <c r="CR7" s="14"/>
      <c r="CS7" s="27">
        <v>46</v>
      </c>
      <c r="CT7" s="20">
        <v>74</v>
      </c>
      <c r="CU7" s="8"/>
      <c r="CV7" s="49">
        <v>74</v>
      </c>
      <c r="CW7" s="83">
        <f t="shared" ref="CW7:CW52" si="35">IF(AND(CV7&lt;&gt;"", CY7&lt;&gt;""), IF(DB6 &gt; $A$36, $B$37, IF(DB6 &gt; $A$35, $B$36, IF(DB6 &gt; $A$34, $B$35, IF(DB6 &gt; $A$33, $B$34, IF(DB6 &gt; $A$32, $B$33,IF(DB6 &gt; $A$31, $B$32, IF(DB6 &gt; $A$30, $B$31, IF(DB6 &gt; $A$29, $B$30, $B$29)))))))), "")</f>
        <v>1</v>
      </c>
      <c r="CX7" s="15">
        <f t="shared" si="26"/>
        <v>97.97</v>
      </c>
      <c r="CY7" s="52">
        <v>135</v>
      </c>
      <c r="CZ7" s="16">
        <f t="shared" si="16"/>
        <v>1.8147112592751908E-3</v>
      </c>
      <c r="DA7" s="17">
        <f>IF(AND(CV7&lt;&gt;"", CY7&lt;&gt;""), SUM(CY$4:CY7), "")</f>
        <v>1577</v>
      </c>
      <c r="DB7" s="16">
        <f t="shared" si="17"/>
        <v>2.119851596945908E-2</v>
      </c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</row>
    <row r="8" spans="1:180" ht="16" customHeight="1" thickTop="1" x14ac:dyDescent="0.2">
      <c r="E8" s="1"/>
      <c r="F8" s="68"/>
      <c r="G8" s="67">
        <v>4</v>
      </c>
      <c r="H8" s="1"/>
      <c r="I8" s="68"/>
      <c r="J8" s="67">
        <v>4</v>
      </c>
      <c r="K8" s="1"/>
      <c r="L8" s="1"/>
      <c r="M8" s="1"/>
      <c r="N8" s="1"/>
      <c r="O8" s="38">
        <v>130</v>
      </c>
      <c r="P8" s="83">
        <f t="shared" si="27"/>
        <v>1</v>
      </c>
      <c r="Q8" s="15">
        <f t="shared" si="18"/>
        <v>96.22</v>
      </c>
      <c r="R8" s="43">
        <v>4763</v>
      </c>
      <c r="S8" s="16">
        <f t="shared" si="0"/>
        <v>1.6598710576755531E-2</v>
      </c>
      <c r="T8" s="17">
        <f>IF(AND(O8&lt;&gt;"", R8&lt;&gt;""), SUM(R$4:R8), "")</f>
        <v>13225</v>
      </c>
      <c r="U8" s="16">
        <f t="shared" si="1"/>
        <v>4.6088168670500085E-2</v>
      </c>
      <c r="W8" s="38">
        <v>156</v>
      </c>
      <c r="X8" s="83">
        <f t="shared" si="28"/>
        <v>1</v>
      </c>
      <c r="Y8" s="15">
        <f t="shared" si="19"/>
        <v>99.8</v>
      </c>
      <c r="Z8" s="43">
        <v>120</v>
      </c>
      <c r="AA8" s="16">
        <f t="shared" si="2"/>
        <v>4.1958188664995331E-4</v>
      </c>
      <c r="AB8" s="17">
        <f>IF(AND(W8&lt;&gt;"", Z8&lt;&gt;""), SUM(Z$4:Z8), "")</f>
        <v>622</v>
      </c>
      <c r="AC8" s="16">
        <f t="shared" si="3"/>
        <v>2.1748327791355914E-3</v>
      </c>
      <c r="AD8" s="1"/>
      <c r="AE8" s="19">
        <v>45</v>
      </c>
      <c r="AF8" s="20">
        <v>66</v>
      </c>
      <c r="AG8" s="8"/>
      <c r="AH8" s="49">
        <v>66</v>
      </c>
      <c r="AI8" s="83">
        <f t="shared" si="29"/>
        <v>1</v>
      </c>
      <c r="AJ8" s="15">
        <f t="shared" si="20"/>
        <v>95.97</v>
      </c>
      <c r="AK8" s="52">
        <v>983</v>
      </c>
      <c r="AL8" s="16">
        <f t="shared" si="4"/>
        <v>1.0228608888380175E-2</v>
      </c>
      <c r="AM8" s="17">
        <f>IF(AND(AH8&lt;&gt;"", AK8&lt;&gt;""), SUM(AK$4:AK8), "")</f>
        <v>4363</v>
      </c>
      <c r="AN8" s="16">
        <f t="shared" si="5"/>
        <v>4.5399207100714857E-2</v>
      </c>
      <c r="AO8" s="14"/>
      <c r="AP8" s="27">
        <v>45</v>
      </c>
      <c r="AQ8" s="20">
        <v>69</v>
      </c>
      <c r="AR8" s="8"/>
      <c r="AS8" s="49">
        <v>69</v>
      </c>
      <c r="AT8" s="83">
        <f t="shared" si="30"/>
        <v>2</v>
      </c>
      <c r="AU8" s="15">
        <f t="shared" si="21"/>
        <v>94.92</v>
      </c>
      <c r="AV8" s="52">
        <v>350</v>
      </c>
      <c r="AW8" s="16">
        <f t="shared" si="6"/>
        <v>1.5306568704626957E-2</v>
      </c>
      <c r="AX8" s="17">
        <f>IF(AND(AS8&lt;&gt;"", AV8&lt;&gt;""), SUM(AV$4:AV8), "")</f>
        <v>1337</v>
      </c>
      <c r="AY8" s="16">
        <f t="shared" si="7"/>
        <v>5.8471092451674977E-2</v>
      </c>
      <c r="AZ8" s="14"/>
      <c r="BA8" s="27">
        <v>45</v>
      </c>
      <c r="BB8" s="20">
        <v>71</v>
      </c>
      <c r="BC8" s="8"/>
      <c r="BD8" s="49">
        <v>71</v>
      </c>
      <c r="BE8" s="83">
        <f t="shared" si="31"/>
        <v>1</v>
      </c>
      <c r="BF8" s="15">
        <f t="shared" si="22"/>
        <v>96.18</v>
      </c>
      <c r="BG8" s="52">
        <v>259</v>
      </c>
      <c r="BH8" s="16">
        <f t="shared" si="8"/>
        <v>1.000695464029055E-2</v>
      </c>
      <c r="BI8" s="17">
        <f>IF(AND(BD8&lt;&gt;"", BG8&lt;&gt;""), SUM(BG$4:BG8), "")</f>
        <v>1119</v>
      </c>
      <c r="BJ8" s="16">
        <f t="shared" si="9"/>
        <v>4.3234680472915538E-2</v>
      </c>
      <c r="BK8" s="14"/>
      <c r="BL8" s="27">
        <v>45</v>
      </c>
      <c r="BM8" s="20">
        <v>70</v>
      </c>
      <c r="BN8" s="8"/>
      <c r="BO8" s="49">
        <v>70</v>
      </c>
      <c r="BP8" s="83">
        <f t="shared" si="32"/>
        <v>1</v>
      </c>
      <c r="BQ8" s="15">
        <f t="shared" si="23"/>
        <v>97.46</v>
      </c>
      <c r="BR8" s="52">
        <v>383</v>
      </c>
      <c r="BS8" s="16">
        <f t="shared" si="10"/>
        <v>9.8910180259284136E-3</v>
      </c>
      <c r="BT8" s="17">
        <f>IF(AND(BO8&lt;&gt;"", BR8&lt;&gt;""), SUM(BR$4:BR8), "")</f>
        <v>1175</v>
      </c>
      <c r="BU8" s="16">
        <f t="shared" si="11"/>
        <v>3.0344506998605445E-2</v>
      </c>
      <c r="BV8" s="14"/>
      <c r="BW8" s="27">
        <v>45</v>
      </c>
      <c r="BX8" s="20">
        <v>69</v>
      </c>
      <c r="BY8" s="8"/>
      <c r="BZ8" s="49">
        <v>69</v>
      </c>
      <c r="CA8" s="83">
        <f t="shared" si="33"/>
        <v>1</v>
      </c>
      <c r="CB8" s="15">
        <f t="shared" si="24"/>
        <v>96.47</v>
      </c>
      <c r="CC8" s="52">
        <v>370</v>
      </c>
      <c r="CD8" s="16">
        <f t="shared" si="12"/>
        <v>7.7112250427243548E-3</v>
      </c>
      <c r="CE8" s="17">
        <f>IF(AND(BZ8&lt;&gt;"", CC8&lt;&gt;""), SUM(CC$4:CC8), "")</f>
        <v>1880</v>
      </c>
      <c r="CF8" s="16">
        <f t="shared" si="13"/>
        <v>3.9181359676545374E-2</v>
      </c>
      <c r="CG8" s="14"/>
      <c r="CH8" s="27">
        <v>45</v>
      </c>
      <c r="CI8" s="20">
        <v>71</v>
      </c>
      <c r="CJ8" s="8"/>
      <c r="CK8" s="49">
        <v>70</v>
      </c>
      <c r="CL8" s="83">
        <f t="shared" si="34"/>
        <v>1</v>
      </c>
      <c r="CM8" s="15">
        <f t="shared" si="25"/>
        <v>97.32</v>
      </c>
      <c r="CN8" s="52">
        <v>927</v>
      </c>
      <c r="CO8" s="16">
        <f t="shared" si="14"/>
        <v>1.1085732052953205E-2</v>
      </c>
      <c r="CP8" s="17">
        <f>IF(AND(CK8&lt;&gt;"", CN8&lt;&gt;""), SUM(CN$4:CN8), "")</f>
        <v>2702</v>
      </c>
      <c r="CQ8" s="16">
        <f t="shared" si="15"/>
        <v>3.2312457397065328E-2</v>
      </c>
      <c r="CR8" s="14"/>
      <c r="CS8" s="27">
        <v>45</v>
      </c>
      <c r="CT8" s="20">
        <v>73</v>
      </c>
      <c r="CU8" s="8"/>
      <c r="CV8" s="49">
        <v>73</v>
      </c>
      <c r="CW8" s="83">
        <f t="shared" si="35"/>
        <v>1</v>
      </c>
      <c r="CX8" s="15">
        <f t="shared" si="26"/>
        <v>97.43</v>
      </c>
      <c r="CY8" s="52">
        <v>672</v>
      </c>
      <c r="CZ8" s="16">
        <f t="shared" si="16"/>
        <v>9.0332293795031722E-3</v>
      </c>
      <c r="DA8" s="17">
        <f>IF(AND(CV8&lt;&gt;"", CY8&lt;&gt;""), SUM(CY$4:CY8), "")</f>
        <v>2249</v>
      </c>
      <c r="DB8" s="16">
        <f t="shared" si="17"/>
        <v>3.0231745348962252E-2</v>
      </c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</row>
    <row r="9" spans="1:180" ht="16" customHeight="1" x14ac:dyDescent="0.2">
      <c r="A9" s="74" t="s">
        <v>0</v>
      </c>
      <c r="B9" s="74" t="s">
        <v>1</v>
      </c>
      <c r="C9" s="74" t="s">
        <v>2</v>
      </c>
      <c r="D9" s="74" t="s">
        <v>3</v>
      </c>
      <c r="E9" s="1"/>
      <c r="F9" s="68"/>
      <c r="G9" s="67">
        <v>5</v>
      </c>
      <c r="H9" s="1"/>
      <c r="I9" s="68"/>
      <c r="J9" s="67">
        <v>5</v>
      </c>
      <c r="K9" s="1"/>
      <c r="L9" s="1"/>
      <c r="M9" s="1"/>
      <c r="N9" s="1"/>
      <c r="O9" s="38">
        <v>129</v>
      </c>
      <c r="P9" s="83">
        <f t="shared" si="27"/>
        <v>2</v>
      </c>
      <c r="Q9" s="15">
        <f t="shared" si="18"/>
        <v>94.86</v>
      </c>
      <c r="R9" s="43">
        <v>3076</v>
      </c>
      <c r="S9" s="16">
        <f t="shared" si="0"/>
        <v>1.0719637567520474E-2</v>
      </c>
      <c r="T9" s="17">
        <f>IF(AND(O9&lt;&gt;"", R9&lt;&gt;""), SUM(R$4:R9), "")</f>
        <v>16301</v>
      </c>
      <c r="U9" s="16">
        <f t="shared" si="1"/>
        <v>5.6807806238020564E-2</v>
      </c>
      <c r="W9" s="38">
        <v>155</v>
      </c>
      <c r="X9" s="83">
        <f t="shared" si="28"/>
        <v>1</v>
      </c>
      <c r="Y9" s="15">
        <f t="shared" si="19"/>
        <v>99.78</v>
      </c>
      <c r="Z9" s="43">
        <v>18</v>
      </c>
      <c r="AA9" s="16">
        <f t="shared" si="2"/>
        <v>6.2937282997493004E-5</v>
      </c>
      <c r="AB9" s="17">
        <f>IF(AND(W9&lt;&gt;"", Z9&lt;&gt;""), SUM(Z$4:Z9), "")</f>
        <v>640</v>
      </c>
      <c r="AC9" s="16">
        <f t="shared" si="3"/>
        <v>2.2377700621330843E-3</v>
      </c>
      <c r="AD9" s="1"/>
      <c r="AE9" s="19">
        <v>44</v>
      </c>
      <c r="AF9" s="20">
        <v>65</v>
      </c>
      <c r="AG9" s="8"/>
      <c r="AH9" s="49">
        <v>65</v>
      </c>
      <c r="AI9" s="83">
        <f t="shared" si="29"/>
        <v>2</v>
      </c>
      <c r="AJ9" s="15">
        <f t="shared" si="20"/>
        <v>93.94</v>
      </c>
      <c r="AK9" s="52">
        <v>2921</v>
      </c>
      <c r="AL9" s="16">
        <f t="shared" si="4"/>
        <v>3.039447259710935E-2</v>
      </c>
      <c r="AM9" s="17">
        <f>IF(AND(AH9&lt;&gt;"", AK9&lt;&gt;""), SUM(AK$4:AK9), "")</f>
        <v>7284</v>
      </c>
      <c r="AN9" s="16">
        <f t="shared" si="5"/>
        <v>7.5793679697824204E-2</v>
      </c>
      <c r="AO9" s="14"/>
      <c r="AP9" s="27">
        <v>44</v>
      </c>
      <c r="AQ9" s="20">
        <v>68</v>
      </c>
      <c r="AR9" s="8"/>
      <c r="AS9" s="49">
        <v>68</v>
      </c>
      <c r="AT9" s="83">
        <f t="shared" si="30"/>
        <v>2</v>
      </c>
      <c r="AU9" s="15">
        <f t="shared" si="21"/>
        <v>93.22</v>
      </c>
      <c r="AV9" s="52">
        <v>425</v>
      </c>
      <c r="AW9" s="16">
        <f t="shared" si="6"/>
        <v>1.8586547712761307E-2</v>
      </c>
      <c r="AX9" s="17">
        <f>IF(AND(AS9&lt;&gt;"", AV9&lt;&gt;""), SUM(AV$4:AV9), "")</f>
        <v>1762</v>
      </c>
      <c r="AY9" s="16">
        <f t="shared" si="7"/>
        <v>7.7057640164436281E-2</v>
      </c>
      <c r="AZ9" s="14"/>
      <c r="BA9" s="27">
        <v>44</v>
      </c>
      <c r="BB9" s="20">
        <v>70</v>
      </c>
      <c r="BC9" s="8"/>
      <c r="BD9" s="49">
        <v>70</v>
      </c>
      <c r="BE9" s="83">
        <f t="shared" si="31"/>
        <v>2</v>
      </c>
      <c r="BF9" s="15">
        <f t="shared" si="22"/>
        <v>94.94</v>
      </c>
      <c r="BG9" s="52">
        <v>381</v>
      </c>
      <c r="BH9" s="16">
        <f t="shared" si="8"/>
        <v>1.4720655281662932E-2</v>
      </c>
      <c r="BI9" s="17">
        <f>IF(AND(BD9&lt;&gt;"", BG9&lt;&gt;""), SUM(BG$4:BG9), "")</f>
        <v>1500</v>
      </c>
      <c r="BJ9" s="16">
        <f t="shared" si="9"/>
        <v>5.7955335754578473E-2</v>
      </c>
      <c r="BK9" s="14"/>
      <c r="BL9" s="27">
        <v>44</v>
      </c>
      <c r="BM9" s="20">
        <v>69</v>
      </c>
      <c r="BN9" s="8"/>
      <c r="BO9" s="49">
        <v>69</v>
      </c>
      <c r="BP9" s="83">
        <f t="shared" si="32"/>
        <v>1</v>
      </c>
      <c r="BQ9" s="15">
        <f t="shared" si="23"/>
        <v>96.53</v>
      </c>
      <c r="BR9" s="52">
        <v>337</v>
      </c>
      <c r="BS9" s="16">
        <f t="shared" si="10"/>
        <v>8.7030628583234342E-3</v>
      </c>
      <c r="BT9" s="17">
        <f>IF(AND(BO9&lt;&gt;"", BR9&lt;&gt;""), SUM(BR$4:BR9), "")</f>
        <v>1512</v>
      </c>
      <c r="BU9" s="16">
        <f t="shared" si="11"/>
        <v>3.9047569856928879E-2</v>
      </c>
      <c r="BV9" s="14"/>
      <c r="BW9" s="27">
        <v>44</v>
      </c>
      <c r="BX9" s="20">
        <v>68</v>
      </c>
      <c r="BY9" s="8"/>
      <c r="BZ9" s="49">
        <v>68</v>
      </c>
      <c r="CA9" s="83">
        <f t="shared" si="33"/>
        <v>1</v>
      </c>
      <c r="CB9" s="15">
        <f t="shared" si="24"/>
        <v>95.06</v>
      </c>
      <c r="CC9" s="52">
        <v>985</v>
      </c>
      <c r="CD9" s="16">
        <f t="shared" si="12"/>
        <v>2.052853153265808E-2</v>
      </c>
      <c r="CE9" s="17">
        <f>IF(AND(BZ9&lt;&gt;"", CC9&lt;&gt;""), SUM(CC$4:CC9), "")</f>
        <v>2865</v>
      </c>
      <c r="CF9" s="16">
        <f t="shared" si="13"/>
        <v>5.9709891209203454E-2</v>
      </c>
      <c r="CG9" s="14"/>
      <c r="CH9" s="27">
        <v>44</v>
      </c>
      <c r="CI9" s="20">
        <v>70</v>
      </c>
      <c r="CJ9" s="8"/>
      <c r="CK9" s="49">
        <v>69</v>
      </c>
      <c r="CL9" s="83">
        <f t="shared" si="34"/>
        <v>1</v>
      </c>
      <c r="CM9" s="15">
        <f t="shared" si="25"/>
        <v>96.53</v>
      </c>
      <c r="CN9" s="52">
        <v>406</v>
      </c>
      <c r="CO9" s="16">
        <f t="shared" si="14"/>
        <v>4.8552397125124075E-3</v>
      </c>
      <c r="CP9" s="17">
        <f>IF(AND(CK9&lt;&gt;"", CN9&lt;&gt;""), SUM(CN$4:CN9), "")</f>
        <v>3108</v>
      </c>
      <c r="CQ9" s="16">
        <f t="shared" si="15"/>
        <v>3.7167697109577735E-2</v>
      </c>
      <c r="CR9" s="14"/>
      <c r="CS9" s="27">
        <v>44</v>
      </c>
      <c r="CT9" s="20">
        <v>72</v>
      </c>
      <c r="CU9" s="8"/>
      <c r="CV9" s="49">
        <v>72</v>
      </c>
      <c r="CW9" s="83">
        <f t="shared" si="35"/>
        <v>1</v>
      </c>
      <c r="CX9" s="15">
        <f t="shared" si="26"/>
        <v>96.6</v>
      </c>
      <c r="CY9" s="52">
        <v>562</v>
      </c>
      <c r="CZ9" s="16">
        <f t="shared" si="16"/>
        <v>7.5545757608344987E-3</v>
      </c>
      <c r="DA9" s="17">
        <f>IF(AND(CV9&lt;&gt;"", CY9&lt;&gt;""), SUM(CY$4:CY9), "")</f>
        <v>2811</v>
      </c>
      <c r="DB9" s="16">
        <f t="shared" si="17"/>
        <v>3.7786321109796753E-2</v>
      </c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</row>
    <row r="10" spans="1:180" ht="16" customHeight="1" x14ac:dyDescent="0.2">
      <c r="A10" s="140" t="s">
        <v>40</v>
      </c>
      <c r="B10" s="75" t="s">
        <v>5</v>
      </c>
      <c r="C10" s="76">
        <v>26.2146030821098</v>
      </c>
      <c r="D10" s="76">
        <v>11.683710878089</v>
      </c>
      <c r="E10" s="1"/>
      <c r="F10" s="68"/>
      <c r="G10" s="67">
        <v>6</v>
      </c>
      <c r="H10" s="1"/>
      <c r="I10" s="68"/>
      <c r="J10" s="67">
        <v>6</v>
      </c>
      <c r="K10" s="1"/>
      <c r="L10" s="1"/>
      <c r="M10" s="1"/>
      <c r="N10" s="1"/>
      <c r="O10" s="38">
        <v>128</v>
      </c>
      <c r="P10" s="83">
        <f t="shared" si="27"/>
        <v>2</v>
      </c>
      <c r="Q10" s="15">
        <f t="shared" si="18"/>
        <v>93.55</v>
      </c>
      <c r="R10" s="43">
        <v>4398</v>
      </c>
      <c r="S10" s="16">
        <f t="shared" si="0"/>
        <v>1.5326711970726608E-2</v>
      </c>
      <c r="T10" s="17">
        <f>IF(AND(O10&lt;&gt;"", R10&lt;&gt;""), SUM(R$4:R10), "")</f>
        <v>20699</v>
      </c>
      <c r="U10" s="16">
        <f t="shared" si="1"/>
        <v>7.2134518208747167E-2</v>
      </c>
      <c r="W10" s="38">
        <v>154</v>
      </c>
      <c r="X10" s="83">
        <f t="shared" si="28"/>
        <v>1</v>
      </c>
      <c r="Y10" s="15">
        <f t="shared" si="19"/>
        <v>99.76</v>
      </c>
      <c r="Z10" s="43">
        <v>86</v>
      </c>
      <c r="AA10" s="16">
        <f t="shared" si="2"/>
        <v>3.0070035209913321E-4</v>
      </c>
      <c r="AB10" s="17">
        <f>IF(AND(W10&lt;&gt;"", Z10&lt;&gt;""), SUM(Z$4:Z10), "")</f>
        <v>726</v>
      </c>
      <c r="AC10" s="16">
        <f t="shared" si="3"/>
        <v>2.5384704142322177E-3</v>
      </c>
      <c r="AD10" s="1"/>
      <c r="AE10" s="19">
        <v>43</v>
      </c>
      <c r="AF10" s="20">
        <v>64</v>
      </c>
      <c r="AG10" s="8"/>
      <c r="AH10" s="49">
        <v>64</v>
      </c>
      <c r="AI10" s="83">
        <f t="shared" si="29"/>
        <v>2</v>
      </c>
      <c r="AJ10" s="15">
        <f t="shared" si="20"/>
        <v>91.13</v>
      </c>
      <c r="AK10" s="52">
        <v>2477</v>
      </c>
      <c r="AL10" s="16">
        <f t="shared" si="4"/>
        <v>2.5774429518329294E-2</v>
      </c>
      <c r="AM10" s="17">
        <f>IF(AND(AH10&lt;&gt;"", AK10&lt;&gt;""), SUM(AK$4:AK10), "")</f>
        <v>9761</v>
      </c>
      <c r="AN10" s="16">
        <f t="shared" si="5"/>
        <v>0.1015681092161535</v>
      </c>
      <c r="AO10" s="14"/>
      <c r="AP10" s="27">
        <v>43</v>
      </c>
      <c r="AQ10" s="20">
        <v>68</v>
      </c>
      <c r="AR10" s="8"/>
      <c r="AS10" s="49">
        <v>67</v>
      </c>
      <c r="AT10" s="83">
        <f t="shared" si="30"/>
        <v>2</v>
      </c>
      <c r="AU10" s="15">
        <f t="shared" si="21"/>
        <v>91.58</v>
      </c>
      <c r="AV10" s="52">
        <v>328</v>
      </c>
      <c r="AW10" s="16">
        <f t="shared" si="6"/>
        <v>1.4344441528907549E-2</v>
      </c>
      <c r="AX10" s="17">
        <f>IF(AND(AS10&lt;&gt;"", AV10&lt;&gt;""), SUM(AV$4:AV10), "")</f>
        <v>2090</v>
      </c>
      <c r="AY10" s="16">
        <f t="shared" si="7"/>
        <v>9.1402081693343823E-2</v>
      </c>
      <c r="AZ10" s="14"/>
      <c r="BA10" s="27">
        <v>43</v>
      </c>
      <c r="BB10" s="20">
        <v>70</v>
      </c>
      <c r="BC10" s="8"/>
      <c r="BD10" s="49">
        <v>69</v>
      </c>
      <c r="BE10" s="83">
        <f t="shared" si="31"/>
        <v>2</v>
      </c>
      <c r="BF10" s="15">
        <f t="shared" si="22"/>
        <v>93.66</v>
      </c>
      <c r="BG10" s="52">
        <v>280</v>
      </c>
      <c r="BH10" s="16">
        <f t="shared" si="8"/>
        <v>1.0818329340854648E-2</v>
      </c>
      <c r="BI10" s="17">
        <f>IF(AND(BD10&lt;&gt;"", BG10&lt;&gt;""), SUM(BG$4:BG10), "")</f>
        <v>1780</v>
      </c>
      <c r="BJ10" s="16">
        <f t="shared" si="9"/>
        <v>6.8773665095433117E-2</v>
      </c>
      <c r="BK10" s="14"/>
      <c r="BL10" s="27">
        <v>43</v>
      </c>
      <c r="BM10" s="20">
        <v>68</v>
      </c>
      <c r="BN10" s="8"/>
      <c r="BO10" s="49">
        <v>68</v>
      </c>
      <c r="BP10" s="83">
        <f t="shared" si="32"/>
        <v>1</v>
      </c>
      <c r="BQ10" s="15">
        <f t="shared" si="23"/>
        <v>94.96</v>
      </c>
      <c r="BR10" s="52">
        <v>880</v>
      </c>
      <c r="BS10" s="16">
        <f t="shared" si="10"/>
        <v>2.2726098858530035E-2</v>
      </c>
      <c r="BT10" s="17">
        <f>IF(AND(BO10&lt;&gt;"", BR10&lt;&gt;""), SUM(BR$4:BR10), "")</f>
        <v>2392</v>
      </c>
      <c r="BU10" s="16">
        <f t="shared" si="11"/>
        <v>6.1773668715458911E-2</v>
      </c>
      <c r="BV10" s="14"/>
      <c r="BW10" s="27">
        <v>43</v>
      </c>
      <c r="BX10" s="20">
        <v>67</v>
      </c>
      <c r="BY10" s="8"/>
      <c r="BZ10" s="49">
        <v>67</v>
      </c>
      <c r="CA10" s="83">
        <f t="shared" si="33"/>
        <v>2</v>
      </c>
      <c r="CB10" s="15">
        <f t="shared" si="24"/>
        <v>93.92</v>
      </c>
      <c r="CC10" s="52">
        <v>104</v>
      </c>
      <c r="CD10" s="16">
        <f t="shared" si="12"/>
        <v>2.1674794714684675E-3</v>
      </c>
      <c r="CE10" s="17">
        <f>IF(AND(BZ10&lt;&gt;"", CC10&lt;&gt;""), SUM(CC$4:CC10), "")</f>
        <v>2969</v>
      </c>
      <c r="CF10" s="16">
        <f t="shared" si="13"/>
        <v>6.1877370680671916E-2</v>
      </c>
      <c r="CG10" s="14"/>
      <c r="CH10" s="27">
        <v>43</v>
      </c>
      <c r="CI10" s="20">
        <v>69</v>
      </c>
      <c r="CJ10" s="8"/>
      <c r="CK10" s="49">
        <v>68</v>
      </c>
      <c r="CL10" s="83">
        <f t="shared" si="34"/>
        <v>1</v>
      </c>
      <c r="CM10" s="15">
        <f t="shared" si="25"/>
        <v>95.45</v>
      </c>
      <c r="CN10" s="52">
        <v>1390</v>
      </c>
      <c r="CO10" s="16">
        <f t="shared" si="14"/>
        <v>1.6622618720177947E-2</v>
      </c>
      <c r="CP10" s="17">
        <f>IF(AND(CK10&lt;&gt;"", CN10&lt;&gt;""), SUM(CN$4:CN10), "")</f>
        <v>4498</v>
      </c>
      <c r="CQ10" s="16">
        <f t="shared" si="15"/>
        <v>5.3790315829755686E-2</v>
      </c>
      <c r="CR10" s="14"/>
      <c r="CS10" s="27">
        <v>43</v>
      </c>
      <c r="CT10" s="20">
        <v>71</v>
      </c>
      <c r="CU10" s="8"/>
      <c r="CV10" s="49">
        <v>71</v>
      </c>
      <c r="CW10" s="83">
        <f t="shared" si="35"/>
        <v>1</v>
      </c>
      <c r="CX10" s="15">
        <f t="shared" si="26"/>
        <v>95.94</v>
      </c>
      <c r="CY10" s="52">
        <v>412</v>
      </c>
      <c r="CZ10" s="16">
        <f t="shared" si="16"/>
        <v>5.5382299171953973E-3</v>
      </c>
      <c r="DA10" s="17">
        <f>IF(AND(CV10&lt;&gt;"", CY10&lt;&gt;""), SUM(CY$4:CY10), "")</f>
        <v>3223</v>
      </c>
      <c r="DB10" s="16">
        <f t="shared" si="17"/>
        <v>4.3324551026992147E-2</v>
      </c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</row>
    <row r="11" spans="1:180" ht="16" customHeight="1" x14ac:dyDescent="0.2">
      <c r="A11" s="139"/>
      <c r="B11" s="7" t="s">
        <v>20</v>
      </c>
      <c r="C11" s="44">
        <v>21.385856730516899</v>
      </c>
      <c r="D11" s="44">
        <v>12.2650625083633</v>
      </c>
      <c r="E11" s="1"/>
      <c r="F11" s="68"/>
      <c r="G11" s="67">
        <v>7</v>
      </c>
      <c r="H11" s="1"/>
      <c r="I11" s="68"/>
      <c r="J11" s="67">
        <v>7</v>
      </c>
      <c r="K11" s="1"/>
      <c r="L11" s="1"/>
      <c r="M11" s="1"/>
      <c r="N11" s="1"/>
      <c r="O11" s="38">
        <v>127</v>
      </c>
      <c r="P11" s="83">
        <f t="shared" si="27"/>
        <v>2</v>
      </c>
      <c r="Q11" s="15">
        <f t="shared" si="18"/>
        <v>92.21</v>
      </c>
      <c r="R11" s="43">
        <v>3316</v>
      </c>
      <c r="S11" s="16">
        <f t="shared" si="0"/>
        <v>1.1556020212580589E-2</v>
      </c>
      <c r="T11" s="17">
        <f>IF(AND(O11&lt;&gt;"", R11&lt;&gt;""), SUM(R$4:R11), "")</f>
        <v>24015</v>
      </c>
      <c r="U11" s="16">
        <f t="shared" si="1"/>
        <v>8.3690538421327759E-2</v>
      </c>
      <c r="W11" s="38">
        <v>153</v>
      </c>
      <c r="X11" s="83">
        <f t="shared" si="28"/>
        <v>1</v>
      </c>
      <c r="Y11" s="15">
        <f t="shared" si="19"/>
        <v>99.66</v>
      </c>
      <c r="Z11" s="43">
        <v>500</v>
      </c>
      <c r="AA11" s="16">
        <f t="shared" si="2"/>
        <v>1.7482578610414721E-3</v>
      </c>
      <c r="AB11" s="17">
        <f>IF(AND(W11&lt;&gt;"", Z11&lt;&gt;""), SUM(Z$4:Z11), "")</f>
        <v>1226</v>
      </c>
      <c r="AC11" s="16">
        <f t="shared" si="3"/>
        <v>4.2867282752736902E-3</v>
      </c>
      <c r="AD11" s="1"/>
      <c r="AE11" s="19">
        <v>42</v>
      </c>
      <c r="AF11" s="20">
        <v>64</v>
      </c>
      <c r="AG11" s="8"/>
      <c r="AH11" s="49">
        <v>63</v>
      </c>
      <c r="AI11" s="83">
        <f t="shared" si="29"/>
        <v>2</v>
      </c>
      <c r="AJ11" s="15">
        <f t="shared" si="20"/>
        <v>88.3</v>
      </c>
      <c r="AK11" s="52">
        <v>2965</v>
      </c>
      <c r="AL11" s="16">
        <f t="shared" si="4"/>
        <v>3.0852314704015484E-2</v>
      </c>
      <c r="AM11" s="17">
        <f>IF(AND(AH11&lt;&gt;"", AK11&lt;&gt;""), SUM(AK$4:AK11), "")</f>
        <v>12726</v>
      </c>
      <c r="AN11" s="16">
        <f t="shared" si="5"/>
        <v>0.13242042392016898</v>
      </c>
      <c r="AO11" s="14"/>
      <c r="AP11" s="27">
        <v>42</v>
      </c>
      <c r="AQ11" s="20">
        <v>67</v>
      </c>
      <c r="AR11" s="8"/>
      <c r="AS11" s="49">
        <v>66</v>
      </c>
      <c r="AT11" s="83">
        <f t="shared" si="30"/>
        <v>2</v>
      </c>
      <c r="AU11" s="15">
        <f t="shared" si="21"/>
        <v>90.44</v>
      </c>
      <c r="AV11" s="52">
        <v>194</v>
      </c>
      <c r="AW11" s="16">
        <f t="shared" si="6"/>
        <v>8.4842123677075134E-3</v>
      </c>
      <c r="AX11" s="17">
        <f>IF(AND(AS11&lt;&gt;"", AV11&lt;&gt;""), SUM(AV$4:AV11), "")</f>
        <v>2284</v>
      </c>
      <c r="AY11" s="16">
        <f t="shared" si="7"/>
        <v>9.9886294061051345E-2</v>
      </c>
      <c r="AZ11" s="14"/>
      <c r="BA11" s="27">
        <v>42</v>
      </c>
      <c r="BB11" s="20">
        <v>69</v>
      </c>
      <c r="BC11" s="8"/>
      <c r="BD11" s="49">
        <v>68</v>
      </c>
      <c r="BE11" s="83">
        <f t="shared" si="31"/>
        <v>2</v>
      </c>
      <c r="BF11" s="15">
        <f t="shared" si="22"/>
        <v>92.79</v>
      </c>
      <c r="BG11" s="52">
        <v>172</v>
      </c>
      <c r="BH11" s="16">
        <f t="shared" si="8"/>
        <v>6.6455451665249979E-3</v>
      </c>
      <c r="BI11" s="17">
        <f>IF(AND(BD11&lt;&gt;"", BG11&lt;&gt;""), SUM(BG$4:BG11), "")</f>
        <v>1952</v>
      </c>
      <c r="BJ11" s="16">
        <f t="shared" si="9"/>
        <v>7.5419210261958122E-2</v>
      </c>
      <c r="BK11" s="14"/>
      <c r="BL11" s="27">
        <v>42</v>
      </c>
      <c r="BM11" s="20">
        <v>68</v>
      </c>
      <c r="BN11" s="8"/>
      <c r="BO11" s="49">
        <v>67</v>
      </c>
      <c r="BP11" s="83">
        <f t="shared" si="32"/>
        <v>2</v>
      </c>
      <c r="BQ11" s="15">
        <f t="shared" si="23"/>
        <v>93.37</v>
      </c>
      <c r="BR11" s="52">
        <v>350</v>
      </c>
      <c r="BS11" s="16">
        <f t="shared" si="10"/>
        <v>9.0387893187335363E-3</v>
      </c>
      <c r="BT11" s="17">
        <f>IF(AND(BO11&lt;&gt;"", BR11&lt;&gt;""), SUM(BR$4:BR11), "")</f>
        <v>2742</v>
      </c>
      <c r="BU11" s="16">
        <f t="shared" si="11"/>
        <v>7.0812458034192449E-2</v>
      </c>
      <c r="BV11" s="14"/>
      <c r="BW11" s="27">
        <v>42</v>
      </c>
      <c r="BX11" s="20">
        <v>66</v>
      </c>
      <c r="BY11" s="8"/>
      <c r="BZ11" s="49">
        <v>66</v>
      </c>
      <c r="CA11" s="83">
        <f t="shared" si="33"/>
        <v>2</v>
      </c>
      <c r="CB11" s="15">
        <f t="shared" si="24"/>
        <v>93.05</v>
      </c>
      <c r="CC11" s="52">
        <v>730</v>
      </c>
      <c r="CD11" s="16">
        <f t="shared" si="12"/>
        <v>1.5214038597807511E-2</v>
      </c>
      <c r="CE11" s="17">
        <f>IF(AND(BZ11&lt;&gt;"", CC11&lt;&gt;""), SUM(CC$4:CC11), "")</f>
        <v>3699</v>
      </c>
      <c r="CF11" s="16">
        <f t="shared" si="13"/>
        <v>7.7091409278479434E-2</v>
      </c>
      <c r="CG11" s="14"/>
      <c r="CH11" s="27">
        <v>42</v>
      </c>
      <c r="CI11" s="20">
        <v>68</v>
      </c>
      <c r="CJ11" s="8"/>
      <c r="CK11" s="49">
        <v>67</v>
      </c>
      <c r="CL11" s="83">
        <f t="shared" si="34"/>
        <v>2</v>
      </c>
      <c r="CM11" s="15">
        <f t="shared" si="25"/>
        <v>94.08</v>
      </c>
      <c r="CN11" s="52">
        <v>905</v>
      </c>
      <c r="CO11" s="16">
        <f t="shared" si="14"/>
        <v>1.0822640245871252E-2</v>
      </c>
      <c r="CP11" s="17">
        <f>IF(AND(CK11&lt;&gt;"", CN11&lt;&gt;""), SUM(CN$4:CN11), "")</f>
        <v>5403</v>
      </c>
      <c r="CQ11" s="16">
        <f t="shared" si="15"/>
        <v>6.4612956075626934E-2</v>
      </c>
      <c r="CR11" s="14"/>
      <c r="CS11" s="27">
        <v>42</v>
      </c>
      <c r="CT11" s="20">
        <v>70</v>
      </c>
      <c r="CU11" s="8"/>
      <c r="CV11" s="49">
        <v>70</v>
      </c>
      <c r="CW11" s="83">
        <f t="shared" si="35"/>
        <v>2</v>
      </c>
      <c r="CX11" s="15">
        <f t="shared" si="26"/>
        <v>95.1</v>
      </c>
      <c r="CY11" s="52">
        <v>846</v>
      </c>
      <c r="CZ11" s="16">
        <f t="shared" si="16"/>
        <v>1.137219055812453E-2</v>
      </c>
      <c r="DA11" s="17">
        <f>IF(AND(CV11&lt;&gt;"", CY11&lt;&gt;""), SUM(CY$4:CY11), "")</f>
        <v>4069</v>
      </c>
      <c r="DB11" s="16">
        <f t="shared" si="17"/>
        <v>5.4696741585116677E-2</v>
      </c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</row>
    <row r="12" spans="1:180" ht="16" customHeight="1" x14ac:dyDescent="0.2">
      <c r="A12" s="139"/>
      <c r="B12" s="7" t="s">
        <v>6</v>
      </c>
      <c r="C12" s="44">
        <v>21.2658604435515</v>
      </c>
      <c r="D12" s="44">
        <v>11.118645599803701</v>
      </c>
      <c r="E12" s="1"/>
      <c r="F12" s="68"/>
      <c r="G12" s="67">
        <v>8</v>
      </c>
      <c r="H12" s="1"/>
      <c r="I12" s="68"/>
      <c r="J12" s="67">
        <v>8</v>
      </c>
      <c r="K12" s="1"/>
      <c r="L12" s="1"/>
      <c r="M12" s="1"/>
      <c r="N12" s="1"/>
      <c r="O12" s="38">
        <v>126</v>
      </c>
      <c r="P12" s="83">
        <f t="shared" si="27"/>
        <v>2</v>
      </c>
      <c r="Q12" s="15">
        <f t="shared" si="18"/>
        <v>90.86</v>
      </c>
      <c r="R12" s="43">
        <v>4396</v>
      </c>
      <c r="S12" s="16">
        <f t="shared" si="0"/>
        <v>1.5319742115351106E-2</v>
      </c>
      <c r="T12" s="17">
        <f>IF(AND(O12&lt;&gt;"", R12&lt;&gt;""), SUM(R$4:R12), "")</f>
        <v>28411</v>
      </c>
      <c r="U12" s="16">
        <f t="shared" si="1"/>
        <v>9.901028053667886E-2</v>
      </c>
      <c r="W12" s="38">
        <v>152</v>
      </c>
      <c r="X12" s="83">
        <f t="shared" si="28"/>
        <v>1</v>
      </c>
      <c r="Y12" s="15">
        <f t="shared" si="19"/>
        <v>99.56</v>
      </c>
      <c r="Z12" s="43">
        <v>91</v>
      </c>
      <c r="AA12" s="16">
        <f t="shared" si="2"/>
        <v>3.1818293070954792E-4</v>
      </c>
      <c r="AB12" s="17">
        <f>IF(AND(W12&lt;&gt;"", Z12&lt;&gt;""), SUM(Z$4:Z12), "")</f>
        <v>1317</v>
      </c>
      <c r="AC12" s="16">
        <f t="shared" si="3"/>
        <v>4.604911205983238E-3</v>
      </c>
      <c r="AD12" s="1"/>
      <c r="AE12" s="19">
        <v>41</v>
      </c>
      <c r="AF12" s="20">
        <v>63</v>
      </c>
      <c r="AG12" s="8"/>
      <c r="AH12" s="49">
        <v>62</v>
      </c>
      <c r="AI12" s="83">
        <f t="shared" si="29"/>
        <v>3</v>
      </c>
      <c r="AJ12" s="15">
        <f t="shared" si="20"/>
        <v>86.19</v>
      </c>
      <c r="AK12" s="52">
        <v>1100</v>
      </c>
      <c r="AL12" s="16">
        <f t="shared" si="4"/>
        <v>1.1446052672653299E-2</v>
      </c>
      <c r="AM12" s="17">
        <f>IF(AND(AH12&lt;&gt;"", AK12&lt;&gt;""), SUM(AK$4:AK12), "")</f>
        <v>13826</v>
      </c>
      <c r="AN12" s="16">
        <f t="shared" si="5"/>
        <v>0.14386647659282228</v>
      </c>
      <c r="AO12" s="14"/>
      <c r="AP12" s="27">
        <v>41</v>
      </c>
      <c r="AQ12" s="20">
        <v>66</v>
      </c>
      <c r="AR12" s="8"/>
      <c r="AS12" s="49">
        <v>65</v>
      </c>
      <c r="AT12" s="83">
        <f t="shared" si="30"/>
        <v>2</v>
      </c>
      <c r="AU12" s="15">
        <f t="shared" si="21"/>
        <v>89.33</v>
      </c>
      <c r="AV12" s="52">
        <v>312</v>
      </c>
      <c r="AW12" s="16">
        <f t="shared" si="6"/>
        <v>1.3644712673838887E-2</v>
      </c>
      <c r="AX12" s="17">
        <f>IF(AND(AS12&lt;&gt;"", AV12&lt;&gt;""), SUM(AV$4:AV12), "")</f>
        <v>2596</v>
      </c>
      <c r="AY12" s="16">
        <f t="shared" si="7"/>
        <v>0.11353100673489024</v>
      </c>
      <c r="AZ12" s="14"/>
      <c r="BA12" s="27">
        <v>41</v>
      </c>
      <c r="BB12" s="20">
        <v>68</v>
      </c>
      <c r="BC12" s="8"/>
      <c r="BD12" s="49">
        <v>67</v>
      </c>
      <c r="BE12" s="83">
        <f t="shared" si="31"/>
        <v>2</v>
      </c>
      <c r="BF12" s="15">
        <f t="shared" si="22"/>
        <v>91.98</v>
      </c>
      <c r="BG12" s="52">
        <v>250</v>
      </c>
      <c r="BH12" s="16">
        <f t="shared" si="8"/>
        <v>9.6592226257630788E-3</v>
      </c>
      <c r="BI12" s="17">
        <f>IF(AND(BD12&lt;&gt;"", BG12&lt;&gt;""), SUM(BG$4:BG12), "")</f>
        <v>2202</v>
      </c>
      <c r="BJ12" s="16">
        <f t="shared" si="9"/>
        <v>8.5078432887721198E-2</v>
      </c>
      <c r="BK12" s="14"/>
      <c r="BL12" s="27">
        <v>41</v>
      </c>
      <c r="BM12" s="20">
        <v>67</v>
      </c>
      <c r="BN12" s="8"/>
      <c r="BO12" s="49">
        <v>66</v>
      </c>
      <c r="BP12" s="83">
        <f t="shared" si="32"/>
        <v>2</v>
      </c>
      <c r="BQ12" s="15">
        <f t="shared" si="23"/>
        <v>92.24</v>
      </c>
      <c r="BR12" s="52">
        <v>525</v>
      </c>
      <c r="BS12" s="16">
        <f t="shared" si="10"/>
        <v>1.3558183978100305E-2</v>
      </c>
      <c r="BT12" s="17">
        <f>IF(AND(BO12&lt;&gt;"", BR12&lt;&gt;""), SUM(BR$4:BR12), "")</f>
        <v>3267</v>
      </c>
      <c r="BU12" s="16">
        <f t="shared" si="11"/>
        <v>8.437064201229276E-2</v>
      </c>
      <c r="BV12" s="14"/>
      <c r="BW12" s="27">
        <v>41</v>
      </c>
      <c r="BX12" s="20">
        <v>65</v>
      </c>
      <c r="BY12" s="8"/>
      <c r="BZ12" s="49">
        <v>65</v>
      </c>
      <c r="CA12" s="83">
        <f t="shared" si="33"/>
        <v>2</v>
      </c>
      <c r="CB12" s="15">
        <f t="shared" si="24"/>
        <v>91.17</v>
      </c>
      <c r="CC12" s="52">
        <v>1078</v>
      </c>
      <c r="CD12" s="16">
        <f t="shared" si="12"/>
        <v>2.2466758367721228E-2</v>
      </c>
      <c r="CE12" s="17">
        <f>IF(AND(BZ12&lt;&gt;"", CC12&lt;&gt;""), SUM(CC$4:CC12), "")</f>
        <v>4777</v>
      </c>
      <c r="CF12" s="16">
        <f t="shared" si="13"/>
        <v>9.9558167646200665E-2</v>
      </c>
      <c r="CG12" s="14"/>
      <c r="CH12" s="27">
        <v>41</v>
      </c>
      <c r="CI12" s="20">
        <v>67</v>
      </c>
      <c r="CJ12" s="8"/>
      <c r="CK12" s="49">
        <v>66</v>
      </c>
      <c r="CL12" s="83">
        <f t="shared" si="34"/>
        <v>2</v>
      </c>
      <c r="CM12" s="15">
        <f t="shared" si="25"/>
        <v>92.81</v>
      </c>
      <c r="CN12" s="52">
        <v>1214</v>
      </c>
      <c r="CO12" s="16">
        <f t="shared" si="14"/>
        <v>1.451788426352232E-2</v>
      </c>
      <c r="CP12" s="17">
        <f>IF(AND(CK12&lt;&gt;"", CN12&lt;&gt;""), SUM(CN$4:CN12), "")</f>
        <v>6617</v>
      </c>
      <c r="CQ12" s="16">
        <f t="shared" si="15"/>
        <v>7.9130840339149258E-2</v>
      </c>
      <c r="CR12" s="14"/>
      <c r="CS12" s="27">
        <v>41</v>
      </c>
      <c r="CT12" s="20">
        <v>69</v>
      </c>
      <c r="CU12" s="8"/>
      <c r="CV12" s="49">
        <v>69</v>
      </c>
      <c r="CW12" s="83">
        <f t="shared" si="35"/>
        <v>2</v>
      </c>
      <c r="CX12" s="15">
        <f t="shared" si="26"/>
        <v>94.21</v>
      </c>
      <c r="CY12" s="52">
        <v>477</v>
      </c>
      <c r="CZ12" s="16">
        <f t="shared" si="16"/>
        <v>6.4119797827723408E-3</v>
      </c>
      <c r="DA12" s="17">
        <f>IF(AND(CV12&lt;&gt;"", CY12&lt;&gt;""), SUM(CY$4:CY12), "")</f>
        <v>4546</v>
      </c>
      <c r="DB12" s="16">
        <f t="shared" si="17"/>
        <v>6.1108721367889023E-2</v>
      </c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</row>
    <row r="13" spans="1:180" ht="16" customHeight="1" x14ac:dyDescent="0.2">
      <c r="A13" s="139"/>
      <c r="B13" s="7" t="s">
        <v>21</v>
      </c>
      <c r="C13" s="44">
        <v>23.425143753267101</v>
      </c>
      <c r="D13" s="44">
        <v>12.315650131128301</v>
      </c>
      <c r="E13" s="1"/>
      <c r="F13" s="68"/>
      <c r="G13" s="67">
        <v>9</v>
      </c>
      <c r="H13" s="1"/>
      <c r="I13" s="68"/>
      <c r="J13" s="67">
        <v>9</v>
      </c>
      <c r="K13" s="1"/>
      <c r="L13" s="1"/>
      <c r="M13" s="1"/>
      <c r="N13" s="1"/>
      <c r="O13" s="38">
        <v>125</v>
      </c>
      <c r="P13" s="83">
        <f t="shared" si="27"/>
        <v>2</v>
      </c>
      <c r="Q13" s="15">
        <f t="shared" si="18"/>
        <v>89.33</v>
      </c>
      <c r="R13" s="43">
        <v>4424</v>
      </c>
      <c r="S13" s="16">
        <f t="shared" si="0"/>
        <v>1.541732009060812E-2</v>
      </c>
      <c r="T13" s="17">
        <f>IF(AND(O13&lt;&gt;"", R13&lt;&gt;""), SUM(R$4:R13), "")</f>
        <v>32835</v>
      </c>
      <c r="U13" s="16">
        <f t="shared" si="1"/>
        <v>0.11442760062728699</v>
      </c>
      <c r="W13" s="38">
        <v>151</v>
      </c>
      <c r="X13" s="83">
        <f t="shared" si="28"/>
        <v>1</v>
      </c>
      <c r="Y13" s="15">
        <f t="shared" si="19"/>
        <v>99.53</v>
      </c>
      <c r="Z13" s="43">
        <v>33</v>
      </c>
      <c r="AA13" s="16">
        <f t="shared" si="2"/>
        <v>1.1538501882873716E-4</v>
      </c>
      <c r="AB13" s="17">
        <f>IF(AND(W13&lt;&gt;"", Z13&lt;&gt;""), SUM(Z$4:Z13), "")</f>
        <v>1350</v>
      </c>
      <c r="AC13" s="16">
        <f t="shared" si="3"/>
        <v>4.7202962248119752E-3</v>
      </c>
      <c r="AD13" s="1"/>
      <c r="AE13" s="19">
        <v>40</v>
      </c>
      <c r="AF13" s="20">
        <v>62</v>
      </c>
      <c r="AG13" s="8"/>
      <c r="AH13" s="49">
        <v>61</v>
      </c>
      <c r="AI13" s="83">
        <f t="shared" si="29"/>
        <v>3</v>
      </c>
      <c r="AJ13" s="15">
        <f t="shared" si="20"/>
        <v>84.11</v>
      </c>
      <c r="AK13" s="52">
        <v>2881</v>
      </c>
      <c r="AL13" s="16">
        <f t="shared" si="4"/>
        <v>2.9978252499921958E-2</v>
      </c>
      <c r="AM13" s="17">
        <f>IF(AND(AH13&lt;&gt;"", AK13&lt;&gt;""), SUM(AK$4:AK13), "")</f>
        <v>16707</v>
      </c>
      <c r="AN13" s="16">
        <f t="shared" si="5"/>
        <v>0.17384472909274423</v>
      </c>
      <c r="AO13" s="14"/>
      <c r="AP13" s="27">
        <v>40</v>
      </c>
      <c r="AQ13" s="20">
        <v>65</v>
      </c>
      <c r="AR13" s="8"/>
      <c r="AS13" s="49">
        <v>64</v>
      </c>
      <c r="AT13" s="83">
        <f t="shared" si="30"/>
        <v>3</v>
      </c>
      <c r="AU13" s="15">
        <f t="shared" si="21"/>
        <v>87.53</v>
      </c>
      <c r="AV13" s="52">
        <v>513</v>
      </c>
      <c r="AW13" s="16">
        <f t="shared" si="6"/>
        <v>2.2435056415638938E-2</v>
      </c>
      <c r="AX13" s="17">
        <f>IF(AND(AS13&lt;&gt;"", AV13&lt;&gt;""), SUM(AV$4:AV13), "")</f>
        <v>3109</v>
      </c>
      <c r="AY13" s="16">
        <f t="shared" si="7"/>
        <v>0.13596606315052917</v>
      </c>
      <c r="AZ13" s="14"/>
      <c r="BA13" s="27">
        <v>40</v>
      </c>
      <c r="BB13" s="20">
        <v>67</v>
      </c>
      <c r="BC13" s="8"/>
      <c r="BD13" s="49">
        <v>66</v>
      </c>
      <c r="BE13" s="83">
        <f t="shared" si="31"/>
        <v>2</v>
      </c>
      <c r="BF13" s="15">
        <f t="shared" si="22"/>
        <v>90.96</v>
      </c>
      <c r="BG13" s="52">
        <v>274</v>
      </c>
      <c r="BH13" s="16">
        <f t="shared" si="8"/>
        <v>1.0586507997836335E-2</v>
      </c>
      <c r="BI13" s="17">
        <f>IF(AND(BD13&lt;&gt;"", BG13&lt;&gt;""), SUM(BG$4:BG13), "")</f>
        <v>2476</v>
      </c>
      <c r="BJ13" s="16">
        <f t="shared" si="9"/>
        <v>9.5664940885557534E-2</v>
      </c>
      <c r="BK13" s="14"/>
      <c r="BL13" s="27">
        <v>40</v>
      </c>
      <c r="BM13" s="20">
        <v>66</v>
      </c>
      <c r="BN13" s="8"/>
      <c r="BO13" s="49">
        <v>65</v>
      </c>
      <c r="BP13" s="83">
        <f t="shared" si="32"/>
        <v>2</v>
      </c>
      <c r="BQ13" s="15">
        <f t="shared" si="23"/>
        <v>90.61</v>
      </c>
      <c r="BR13" s="52">
        <v>736</v>
      </c>
      <c r="BS13" s="16">
        <f t="shared" si="10"/>
        <v>1.9007282681679664E-2</v>
      </c>
      <c r="BT13" s="17">
        <f>IF(AND(BO13&lt;&gt;"", BR13&lt;&gt;""), SUM(BR$4:BR13), "")</f>
        <v>4003</v>
      </c>
      <c r="BU13" s="16">
        <f t="shared" si="11"/>
        <v>0.10337792469397242</v>
      </c>
      <c r="BV13" s="14"/>
      <c r="BW13" s="27">
        <v>40</v>
      </c>
      <c r="BX13" s="20">
        <v>64</v>
      </c>
      <c r="BY13" s="8"/>
      <c r="BZ13" s="49">
        <v>64</v>
      </c>
      <c r="CA13" s="83">
        <f t="shared" si="33"/>
        <v>2</v>
      </c>
      <c r="CB13" s="15">
        <f t="shared" si="24"/>
        <v>89.73</v>
      </c>
      <c r="CC13" s="52">
        <v>304</v>
      </c>
      <c r="CD13" s="16">
        <f t="shared" si="12"/>
        <v>6.3357092242924433E-3</v>
      </c>
      <c r="CE13" s="17">
        <f>IF(AND(BZ13&lt;&gt;"", CC13&lt;&gt;""), SUM(CC$4:CC13), "")</f>
        <v>5081</v>
      </c>
      <c r="CF13" s="16">
        <f t="shared" si="13"/>
        <v>0.10589387687049311</v>
      </c>
      <c r="CG13" s="14"/>
      <c r="CH13" s="27">
        <v>40</v>
      </c>
      <c r="CI13" s="20">
        <v>66</v>
      </c>
      <c r="CJ13" s="8"/>
      <c r="CK13" s="49">
        <v>65</v>
      </c>
      <c r="CL13" s="83">
        <f t="shared" si="34"/>
        <v>2</v>
      </c>
      <c r="CM13" s="15">
        <f t="shared" si="25"/>
        <v>91</v>
      </c>
      <c r="CN13" s="52">
        <v>1811</v>
      </c>
      <c r="CO13" s="16">
        <f t="shared" si="14"/>
        <v>2.1657239210246228E-2</v>
      </c>
      <c r="CP13" s="17">
        <f>IF(AND(CK13&lt;&gt;"", CN13&lt;&gt;""), SUM(CN$4:CN13), "")</f>
        <v>8428</v>
      </c>
      <c r="CQ13" s="16">
        <f t="shared" si="15"/>
        <v>0.10078807954939549</v>
      </c>
      <c r="CR13" s="14"/>
      <c r="CS13" s="27">
        <v>40</v>
      </c>
      <c r="CT13" s="20">
        <v>68</v>
      </c>
      <c r="CU13" s="8"/>
      <c r="CV13" s="49">
        <v>68</v>
      </c>
      <c r="CW13" s="83">
        <f t="shared" si="35"/>
        <v>2</v>
      </c>
      <c r="CX13" s="15">
        <f t="shared" si="26"/>
        <v>93.41</v>
      </c>
      <c r="CY13" s="52">
        <v>710</v>
      </c>
      <c r="CZ13" s="16">
        <f t="shared" si="16"/>
        <v>9.5440369932250774E-3</v>
      </c>
      <c r="DA13" s="17">
        <f>IF(AND(CV13&lt;&gt;"", CY13&lt;&gt;""), SUM(CY$4:CY13), "")</f>
        <v>5256</v>
      </c>
      <c r="DB13" s="16">
        <f t="shared" si="17"/>
        <v>7.0652758361114093E-2</v>
      </c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</row>
    <row r="14" spans="1:180" ht="16" customHeight="1" x14ac:dyDescent="0.2">
      <c r="A14" s="139"/>
      <c r="B14" s="7" t="s">
        <v>22</v>
      </c>
      <c r="C14" s="44">
        <v>22.080568388632202</v>
      </c>
      <c r="D14" s="44">
        <v>12.218249174602301</v>
      </c>
      <c r="E14" s="1"/>
      <c r="F14" s="1"/>
      <c r="G14" s="1"/>
      <c r="H14" s="1"/>
      <c r="I14" s="1"/>
      <c r="J14" s="1"/>
      <c r="K14" s="1"/>
      <c r="L14" s="1"/>
      <c r="M14" s="1"/>
      <c r="N14"/>
      <c r="O14" s="38">
        <v>124</v>
      </c>
      <c r="P14" s="83">
        <f t="shared" si="27"/>
        <v>3</v>
      </c>
      <c r="Q14" s="15">
        <f t="shared" si="18"/>
        <v>87.83</v>
      </c>
      <c r="R14" s="43">
        <v>4164</v>
      </c>
      <c r="S14" s="16">
        <f t="shared" si="0"/>
        <v>1.4511238891792995E-2</v>
      </c>
      <c r="T14" s="17">
        <f>IF(AND(O14&lt;&gt;"", R14&lt;&gt;""), SUM(R$4:R14), "")</f>
        <v>36999</v>
      </c>
      <c r="U14" s="16">
        <f t="shared" si="1"/>
        <v>0.12893883951907997</v>
      </c>
      <c r="W14" s="38">
        <v>150</v>
      </c>
      <c r="X14" s="83">
        <f t="shared" si="28"/>
        <v>1</v>
      </c>
      <c r="Y14" s="15">
        <f t="shared" si="19"/>
        <v>99.5</v>
      </c>
      <c r="Z14" s="43">
        <v>145</v>
      </c>
      <c r="AA14" s="16">
        <f t="shared" si="2"/>
        <v>5.0699477970202688E-4</v>
      </c>
      <c r="AB14" s="17">
        <f>IF(AND(W14&lt;&gt;"", Z14&lt;&gt;""), SUM(Z$4:Z14), "")</f>
        <v>1495</v>
      </c>
      <c r="AC14" s="16">
        <f t="shared" si="3"/>
        <v>5.2272910045140014E-3</v>
      </c>
      <c r="AD14" s="1"/>
      <c r="AE14" s="19">
        <v>39</v>
      </c>
      <c r="AF14" s="20">
        <v>61</v>
      </c>
      <c r="AG14" s="8"/>
      <c r="AH14" s="49">
        <v>60</v>
      </c>
      <c r="AI14" s="83">
        <f t="shared" si="29"/>
        <v>3</v>
      </c>
      <c r="AJ14" s="15">
        <f t="shared" si="20"/>
        <v>81.19</v>
      </c>
      <c r="AK14" s="52">
        <v>2731</v>
      </c>
      <c r="AL14" s="16">
        <f t="shared" si="4"/>
        <v>2.8417427135469235E-2</v>
      </c>
      <c r="AM14" s="17">
        <f>IF(AND(AH14&lt;&gt;"", AK14&lt;&gt;""), SUM(AK$4:AK14), "")</f>
        <v>19438</v>
      </c>
      <c r="AN14" s="16">
        <f t="shared" si="5"/>
        <v>0.20226215622821347</v>
      </c>
      <c r="AO14" s="14"/>
      <c r="AP14" s="27">
        <v>39</v>
      </c>
      <c r="AQ14" s="20">
        <v>64</v>
      </c>
      <c r="AR14" s="8"/>
      <c r="AS14" s="49">
        <v>63</v>
      </c>
      <c r="AT14" s="83">
        <f t="shared" si="30"/>
        <v>3</v>
      </c>
      <c r="AU14" s="15">
        <f t="shared" si="21"/>
        <v>85.65</v>
      </c>
      <c r="AV14" s="52">
        <v>343</v>
      </c>
      <c r="AW14" s="16">
        <f t="shared" si="6"/>
        <v>1.5000437330534418E-2</v>
      </c>
      <c r="AX14" s="17">
        <f>IF(AND(AS14&lt;&gt;"", AV14&lt;&gt;""), SUM(AV$4:AV14), "")</f>
        <v>3452</v>
      </c>
      <c r="AY14" s="16">
        <f t="shared" si="7"/>
        <v>0.15096650048106358</v>
      </c>
      <c r="AZ14" s="14"/>
      <c r="BA14" s="27">
        <v>39</v>
      </c>
      <c r="BB14" s="20">
        <v>66</v>
      </c>
      <c r="BC14" s="8"/>
      <c r="BD14" s="49">
        <v>65</v>
      </c>
      <c r="BE14" s="83">
        <f t="shared" si="31"/>
        <v>2</v>
      </c>
      <c r="BF14" s="15">
        <f t="shared" si="22"/>
        <v>90</v>
      </c>
      <c r="BG14" s="52">
        <v>222</v>
      </c>
      <c r="BH14" s="16">
        <f t="shared" si="8"/>
        <v>8.577389691677614E-3</v>
      </c>
      <c r="BI14" s="17">
        <f>IF(AND(BD14&lt;&gt;"", BG14&lt;&gt;""), SUM(BG$4:BG14), "")</f>
        <v>2698</v>
      </c>
      <c r="BJ14" s="16">
        <f t="shared" si="9"/>
        <v>0.10424233057723514</v>
      </c>
      <c r="BK14" s="14"/>
      <c r="BL14" s="27">
        <v>39</v>
      </c>
      <c r="BM14" s="20">
        <v>65</v>
      </c>
      <c r="BN14" s="8"/>
      <c r="BO14" s="49">
        <v>64</v>
      </c>
      <c r="BP14" s="83">
        <f t="shared" si="32"/>
        <v>2</v>
      </c>
      <c r="BQ14" s="15">
        <f t="shared" si="23"/>
        <v>89.03</v>
      </c>
      <c r="BR14" s="52">
        <v>488</v>
      </c>
      <c r="BS14" s="16">
        <f t="shared" si="10"/>
        <v>1.2602654821548473E-2</v>
      </c>
      <c r="BT14" s="17">
        <f>IF(AND(BO14&lt;&gt;"", BR14&lt;&gt;""), SUM(BR$4:BR14), "")</f>
        <v>4491</v>
      </c>
      <c r="BU14" s="16">
        <f t="shared" si="11"/>
        <v>0.11598057951552089</v>
      </c>
      <c r="BV14" s="14"/>
      <c r="BW14" s="27">
        <v>39</v>
      </c>
      <c r="BX14" s="20">
        <v>63</v>
      </c>
      <c r="BY14" s="8"/>
      <c r="BZ14" s="49">
        <v>63</v>
      </c>
      <c r="CA14" s="83">
        <f t="shared" si="33"/>
        <v>2</v>
      </c>
      <c r="CB14" s="15">
        <f t="shared" si="24"/>
        <v>87.43</v>
      </c>
      <c r="CC14" s="52">
        <v>1904</v>
      </c>
      <c r="CD14" s="16">
        <f t="shared" si="12"/>
        <v>3.9681547246884247E-2</v>
      </c>
      <c r="CE14" s="17">
        <f>IF(AND(BZ14&lt;&gt;"", CC14&lt;&gt;""), SUM(CC$4:CC14), "")</f>
        <v>6985</v>
      </c>
      <c r="CF14" s="16">
        <f t="shared" si="13"/>
        <v>0.14557542411737734</v>
      </c>
      <c r="CG14" s="14"/>
      <c r="CH14" s="27">
        <v>39</v>
      </c>
      <c r="CI14" s="20">
        <v>65</v>
      </c>
      <c r="CJ14" s="8"/>
      <c r="CK14" s="49">
        <v>64</v>
      </c>
      <c r="CL14" s="83">
        <f t="shared" si="34"/>
        <v>2</v>
      </c>
      <c r="CM14" s="15">
        <f t="shared" si="25"/>
        <v>89.27</v>
      </c>
      <c r="CN14" s="52">
        <v>1082</v>
      </c>
      <c r="CO14" s="16">
        <f t="shared" si="14"/>
        <v>1.2939333421030602E-2</v>
      </c>
      <c r="CP14" s="17">
        <f>IF(AND(CK14&lt;&gt;"", CN14&lt;&gt;""), SUM(CN$4:CN14), "")</f>
        <v>9510</v>
      </c>
      <c r="CQ14" s="16">
        <f t="shared" si="15"/>
        <v>0.11372741297042609</v>
      </c>
      <c r="CR14" s="14"/>
      <c r="CS14" s="27">
        <v>39</v>
      </c>
      <c r="CT14" s="20">
        <v>67</v>
      </c>
      <c r="CU14" s="8"/>
      <c r="CV14" s="49">
        <v>67</v>
      </c>
      <c r="CW14" s="83">
        <f t="shared" si="35"/>
        <v>2</v>
      </c>
      <c r="CX14" s="15">
        <f t="shared" si="26"/>
        <v>92.36</v>
      </c>
      <c r="CY14" s="52">
        <v>859</v>
      </c>
      <c r="CZ14" s="16">
        <f t="shared" si="16"/>
        <v>1.1546940531239919E-2</v>
      </c>
      <c r="DA14" s="17">
        <f>IF(AND(CV14&lt;&gt;"", CY14&lt;&gt;""), SUM(CY$4:CY14), "")</f>
        <v>6115</v>
      </c>
      <c r="DB14" s="16">
        <f t="shared" si="17"/>
        <v>8.2199698892354012E-2</v>
      </c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</row>
    <row r="15" spans="1:180" ht="16" customHeight="1" thickBot="1" x14ac:dyDescent="0.25">
      <c r="A15" s="139"/>
      <c r="B15" s="7" t="s">
        <v>23</v>
      </c>
      <c r="C15" s="44">
        <v>20.645196970986099</v>
      </c>
      <c r="D15" s="44">
        <v>12.1809664694873</v>
      </c>
      <c r="E15" s="1"/>
      <c r="F15" s="142" t="s">
        <v>27</v>
      </c>
      <c r="G15" s="143"/>
      <c r="H15" s="8"/>
      <c r="I15" s="117" t="s">
        <v>28</v>
      </c>
      <c r="J15" s="118"/>
      <c r="K15" s="36"/>
      <c r="L15" s="36"/>
      <c r="M15" s="36"/>
      <c r="N15"/>
      <c r="O15" s="38">
        <v>123</v>
      </c>
      <c r="P15" s="83">
        <f t="shared" si="27"/>
        <v>3</v>
      </c>
      <c r="Q15" s="15">
        <f t="shared" si="18"/>
        <v>86.26</v>
      </c>
      <c r="R15" s="43">
        <v>4868</v>
      </c>
      <c r="S15" s="16">
        <f t="shared" si="0"/>
        <v>1.6964627983969333E-2</v>
      </c>
      <c r="T15" s="17">
        <f>IF(AND(O15&lt;&gt;"", R15&lt;&gt;""), SUM(R$4:R15), "")</f>
        <v>41867</v>
      </c>
      <c r="U15" s="16">
        <f t="shared" si="1"/>
        <v>0.14590346750304931</v>
      </c>
      <c r="W15" s="38">
        <v>149</v>
      </c>
      <c r="X15" s="83">
        <f t="shared" si="28"/>
        <v>1</v>
      </c>
      <c r="Y15" s="15">
        <f t="shared" si="19"/>
        <v>99.33</v>
      </c>
      <c r="Z15" s="43">
        <v>838</v>
      </c>
      <c r="AA15" s="16">
        <f t="shared" si="2"/>
        <v>2.9300801751055072E-3</v>
      </c>
      <c r="AB15" s="17">
        <f>IF(AND(W15&lt;&gt;"", Z15&lt;&gt;""), SUM(Z$4:Z15), "")</f>
        <v>2333</v>
      </c>
      <c r="AC15" s="16">
        <f t="shared" si="3"/>
        <v>8.1573711796195086E-3</v>
      </c>
      <c r="AD15" s="1"/>
      <c r="AE15" s="19">
        <v>38</v>
      </c>
      <c r="AF15" s="20">
        <v>60</v>
      </c>
      <c r="AG15" s="8"/>
      <c r="AH15" s="49">
        <v>59</v>
      </c>
      <c r="AI15" s="83">
        <f t="shared" si="29"/>
        <v>3</v>
      </c>
      <c r="AJ15" s="15">
        <f t="shared" si="20"/>
        <v>78.75</v>
      </c>
      <c r="AK15" s="52">
        <v>1975</v>
      </c>
      <c r="AL15" s="16">
        <f t="shared" si="4"/>
        <v>2.0550867298627516E-2</v>
      </c>
      <c r="AM15" s="17">
        <f>IF(AND(AH15&lt;&gt;"", AK15&lt;&gt;""), SUM(AK$4:AK15), "")</f>
        <v>21413</v>
      </c>
      <c r="AN15" s="16">
        <f t="shared" si="5"/>
        <v>0.22281302352684099</v>
      </c>
      <c r="AO15" s="14"/>
      <c r="AP15" s="27">
        <v>38</v>
      </c>
      <c r="AQ15" s="20">
        <v>64</v>
      </c>
      <c r="AR15" s="8"/>
      <c r="AS15" s="49">
        <v>62</v>
      </c>
      <c r="AT15" s="83">
        <f t="shared" si="30"/>
        <v>3</v>
      </c>
      <c r="AU15" s="15">
        <f t="shared" si="21"/>
        <v>84.32</v>
      </c>
      <c r="AV15" s="52">
        <v>266</v>
      </c>
      <c r="AW15" s="16">
        <f t="shared" si="6"/>
        <v>1.1632992215516487E-2</v>
      </c>
      <c r="AX15" s="17">
        <f>IF(AND(AS15&lt;&gt;"", AV15&lt;&gt;""), SUM(AV$4:AV15), "")</f>
        <v>3718</v>
      </c>
      <c r="AY15" s="16">
        <f t="shared" si="7"/>
        <v>0.16259949269658008</v>
      </c>
      <c r="AZ15" s="14"/>
      <c r="BA15" s="27">
        <v>38</v>
      </c>
      <c r="BB15" s="20">
        <v>65</v>
      </c>
      <c r="BC15" s="8"/>
      <c r="BD15" s="49">
        <v>64</v>
      </c>
      <c r="BE15" s="83">
        <f t="shared" si="31"/>
        <v>2</v>
      </c>
      <c r="BF15" s="15">
        <f t="shared" si="22"/>
        <v>89.03</v>
      </c>
      <c r="BG15" s="52">
        <v>285</v>
      </c>
      <c r="BH15" s="16">
        <f t="shared" si="8"/>
        <v>1.101151379336991E-2</v>
      </c>
      <c r="BI15" s="17">
        <f>IF(AND(BD15&lt;&gt;"", BG15&lt;&gt;""), SUM(BG$4:BG15), "")</f>
        <v>2983</v>
      </c>
      <c r="BJ15" s="16">
        <f t="shared" si="9"/>
        <v>0.11525384437060505</v>
      </c>
      <c r="BK15" s="14"/>
      <c r="BL15" s="27">
        <v>38</v>
      </c>
      <c r="BM15" s="20">
        <v>64</v>
      </c>
      <c r="BN15" s="8"/>
      <c r="BO15" s="49">
        <v>63</v>
      </c>
      <c r="BP15" s="83">
        <f t="shared" si="32"/>
        <v>3</v>
      </c>
      <c r="BQ15" s="15">
        <f t="shared" si="23"/>
        <v>87.35</v>
      </c>
      <c r="BR15" s="52">
        <v>818</v>
      </c>
      <c r="BS15" s="16">
        <f t="shared" si="10"/>
        <v>2.1124941893497236E-2</v>
      </c>
      <c r="BT15" s="17">
        <f>IF(AND(BO15&lt;&gt;"", BR15&lt;&gt;""), SUM(BR$4:BR15), "")</f>
        <v>5309</v>
      </c>
      <c r="BU15" s="16">
        <f t="shared" si="11"/>
        <v>0.13710552140901813</v>
      </c>
      <c r="BV15" s="14"/>
      <c r="BW15" s="27">
        <v>38</v>
      </c>
      <c r="BX15" s="20">
        <v>63</v>
      </c>
      <c r="BY15" s="8"/>
      <c r="BZ15" s="49">
        <v>62</v>
      </c>
      <c r="CA15" s="83">
        <f t="shared" si="33"/>
        <v>3</v>
      </c>
      <c r="CB15" s="15">
        <f t="shared" si="24"/>
        <v>84.79</v>
      </c>
      <c r="CC15" s="52">
        <v>623</v>
      </c>
      <c r="CD15" s="16">
        <f t="shared" si="12"/>
        <v>1.2984035680046684E-2</v>
      </c>
      <c r="CE15" s="17">
        <f>IF(AND(BZ15&lt;&gt;"", CC15&lt;&gt;""), SUM(CC$4:CC15), "")</f>
        <v>7608</v>
      </c>
      <c r="CF15" s="16">
        <f t="shared" si="13"/>
        <v>0.15855945979742403</v>
      </c>
      <c r="CG15" s="14"/>
      <c r="CH15" s="27">
        <v>38</v>
      </c>
      <c r="CI15" s="20">
        <v>64</v>
      </c>
      <c r="CJ15" s="8"/>
      <c r="CK15" s="49">
        <v>63</v>
      </c>
      <c r="CL15" s="83">
        <f t="shared" si="34"/>
        <v>3</v>
      </c>
      <c r="CM15" s="15">
        <f t="shared" si="25"/>
        <v>87.47</v>
      </c>
      <c r="CN15" s="52">
        <v>1933</v>
      </c>
      <c r="CO15" s="16">
        <f t="shared" si="14"/>
        <v>2.3116202867700698E-2</v>
      </c>
      <c r="CP15" s="17">
        <f>IF(AND(CK15&lt;&gt;"", CN15&lt;&gt;""), SUM(CN$4:CN15), "")</f>
        <v>11443</v>
      </c>
      <c r="CQ15" s="16">
        <f t="shared" si="15"/>
        <v>0.13684361583812679</v>
      </c>
      <c r="CR15" s="14"/>
      <c r="CS15" s="27">
        <v>38</v>
      </c>
      <c r="CT15" s="20">
        <v>66</v>
      </c>
      <c r="CU15" s="8"/>
      <c r="CV15" s="49">
        <v>66</v>
      </c>
      <c r="CW15" s="83">
        <f t="shared" si="35"/>
        <v>2</v>
      </c>
      <c r="CX15" s="15">
        <f t="shared" si="26"/>
        <v>91.37</v>
      </c>
      <c r="CY15" s="52">
        <v>608</v>
      </c>
      <c r="CZ15" s="16">
        <f t="shared" si="16"/>
        <v>8.1729218195504896E-3</v>
      </c>
      <c r="DA15" s="17">
        <f>IF(AND(CV15&lt;&gt;"", CY15&lt;&gt;""), SUM(CY$4:CY15), "")</f>
        <v>6723</v>
      </c>
      <c r="DB15" s="16">
        <f t="shared" si="17"/>
        <v>9.0372620711904508E-2</v>
      </c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</row>
    <row r="16" spans="1:180" ht="16" customHeight="1" x14ac:dyDescent="0.2">
      <c r="A16" s="139"/>
      <c r="B16" s="7" t="s">
        <v>24</v>
      </c>
      <c r="C16" s="44">
        <v>20.503864360931299</v>
      </c>
      <c r="D16" s="44">
        <v>11.159303500900499</v>
      </c>
      <c r="E16" s="1"/>
      <c r="F16" s="10" t="s">
        <v>30</v>
      </c>
      <c r="G16" s="10" t="s">
        <v>14</v>
      </c>
      <c r="H16" s="8"/>
      <c r="I16" s="30" t="s">
        <v>30</v>
      </c>
      <c r="J16" s="30" t="s">
        <v>14</v>
      </c>
      <c r="K16" s="36"/>
      <c r="L16" s="36"/>
      <c r="M16" s="36"/>
      <c r="N16"/>
      <c r="O16" s="38">
        <v>122</v>
      </c>
      <c r="P16" s="83">
        <f t="shared" si="27"/>
        <v>3</v>
      </c>
      <c r="Q16" s="15">
        <f t="shared" si="18"/>
        <v>84.54</v>
      </c>
      <c r="R16" s="43">
        <v>5019</v>
      </c>
      <c r="S16" s="16">
        <f t="shared" si="0"/>
        <v>1.7490852064819654E-2</v>
      </c>
      <c r="T16" s="17">
        <f>IF(AND(O16&lt;&gt;"", R16&lt;&gt;""), SUM(R$4:R16), "")</f>
        <v>46886</v>
      </c>
      <c r="U16" s="16">
        <f t="shared" si="1"/>
        <v>0.16339431956786896</v>
      </c>
      <c r="W16" s="38">
        <v>148</v>
      </c>
      <c r="X16" s="83">
        <f t="shared" si="28"/>
        <v>1</v>
      </c>
      <c r="Y16" s="15">
        <f t="shared" si="19"/>
        <v>99.18</v>
      </c>
      <c r="Z16" s="43">
        <v>47</v>
      </c>
      <c r="AA16" s="16">
        <f t="shared" si="2"/>
        <v>1.6433623893789839E-4</v>
      </c>
      <c r="AB16" s="17">
        <f>IF(AND(W16&lt;&gt;"", Z16&lt;&gt;""), SUM(Z$4:Z16), "")</f>
        <v>2380</v>
      </c>
      <c r="AC16" s="16">
        <f t="shared" si="3"/>
        <v>8.3217074185574069E-3</v>
      </c>
      <c r="AD16" s="1"/>
      <c r="AE16" s="19">
        <v>37</v>
      </c>
      <c r="AF16" s="20">
        <v>59</v>
      </c>
      <c r="AG16" s="8"/>
      <c r="AH16" s="49">
        <v>58</v>
      </c>
      <c r="AI16" s="83">
        <f t="shared" si="29"/>
        <v>3</v>
      </c>
      <c r="AJ16" s="15">
        <f t="shared" si="20"/>
        <v>74.75</v>
      </c>
      <c r="AK16" s="52">
        <v>5703</v>
      </c>
      <c r="AL16" s="16">
        <f t="shared" si="4"/>
        <v>5.9342580356492515E-2</v>
      </c>
      <c r="AM16" s="17">
        <f>IF(AND(AH16&lt;&gt;"", AK16&lt;&gt;""), SUM(AK$4:AK16), "")</f>
        <v>27116</v>
      </c>
      <c r="AN16" s="16">
        <f t="shared" si="5"/>
        <v>0.28215560388333349</v>
      </c>
      <c r="AO16" s="14"/>
      <c r="AP16" s="27">
        <v>37</v>
      </c>
      <c r="AQ16" s="20">
        <v>63</v>
      </c>
      <c r="AR16" s="8"/>
      <c r="AS16" s="49">
        <v>61</v>
      </c>
      <c r="AT16" s="83">
        <f t="shared" si="30"/>
        <v>3</v>
      </c>
      <c r="AU16" s="15">
        <f t="shared" si="21"/>
        <v>82.98</v>
      </c>
      <c r="AV16" s="52">
        <v>348</v>
      </c>
      <c r="AW16" s="16">
        <f t="shared" si="6"/>
        <v>1.5219102597743374E-2</v>
      </c>
      <c r="AX16" s="17">
        <f>IF(AND(AS16&lt;&gt;"", AV16&lt;&gt;""), SUM(AV$4:AV16), "")</f>
        <v>4066</v>
      </c>
      <c r="AY16" s="16">
        <f t="shared" si="7"/>
        <v>0.17781859529432345</v>
      </c>
      <c r="AZ16" s="14"/>
      <c r="BA16" s="27">
        <v>37</v>
      </c>
      <c r="BB16" s="20">
        <v>64</v>
      </c>
      <c r="BC16" s="8"/>
      <c r="BD16" s="49">
        <v>63</v>
      </c>
      <c r="BE16" s="83">
        <f t="shared" si="31"/>
        <v>3</v>
      </c>
      <c r="BF16" s="15">
        <f t="shared" si="22"/>
        <v>87.96</v>
      </c>
      <c r="BG16" s="52">
        <v>267</v>
      </c>
      <c r="BH16" s="16">
        <f t="shared" si="8"/>
        <v>1.0316049764314968E-2</v>
      </c>
      <c r="BI16" s="17">
        <f>IF(AND(BD16&lt;&gt;"", BG16&lt;&gt;""), SUM(BG$4:BG16), "")</f>
        <v>3250</v>
      </c>
      <c r="BJ16" s="16">
        <f t="shared" si="9"/>
        <v>0.12556989413492003</v>
      </c>
      <c r="BK16" s="14"/>
      <c r="BL16" s="27">
        <v>37</v>
      </c>
      <c r="BM16" s="20">
        <v>63</v>
      </c>
      <c r="BN16" s="8"/>
      <c r="BO16" s="49">
        <v>62</v>
      </c>
      <c r="BP16" s="83">
        <f t="shared" si="32"/>
        <v>3</v>
      </c>
      <c r="BQ16" s="15">
        <f t="shared" si="23"/>
        <v>85.4</v>
      </c>
      <c r="BR16" s="52">
        <v>692</v>
      </c>
      <c r="BS16" s="16">
        <f t="shared" si="10"/>
        <v>1.7870977738753163E-2</v>
      </c>
      <c r="BT16" s="17">
        <f>IF(AND(BO16&lt;&gt;"", BR16&lt;&gt;""), SUM(BR$4:BR16), "")</f>
        <v>6001</v>
      </c>
      <c r="BU16" s="16">
        <f t="shared" si="11"/>
        <v>0.15497649914777128</v>
      </c>
      <c r="BV16" s="14"/>
      <c r="BW16" s="27">
        <v>37</v>
      </c>
      <c r="BX16" s="20">
        <v>62</v>
      </c>
      <c r="BY16" s="8"/>
      <c r="BZ16" s="49">
        <v>61</v>
      </c>
      <c r="CA16" s="83">
        <f t="shared" si="33"/>
        <v>3</v>
      </c>
      <c r="CB16" s="15">
        <f t="shared" si="24"/>
        <v>82.89</v>
      </c>
      <c r="CC16" s="52">
        <v>1199</v>
      </c>
      <c r="CD16" s="16">
        <f t="shared" si="12"/>
        <v>2.4988537368179735E-2</v>
      </c>
      <c r="CE16" s="17">
        <f>IF(AND(BZ16&lt;&gt;"", CC16&lt;&gt;""), SUM(CC$4:CC16), "")</f>
        <v>8807</v>
      </c>
      <c r="CF16" s="16">
        <f t="shared" si="13"/>
        <v>0.18354799716560377</v>
      </c>
      <c r="CG16" s="14"/>
      <c r="CH16" s="27">
        <v>37</v>
      </c>
      <c r="CI16" s="20">
        <v>63</v>
      </c>
      <c r="CJ16" s="8"/>
      <c r="CK16" s="49">
        <v>62</v>
      </c>
      <c r="CL16" s="83">
        <f t="shared" si="34"/>
        <v>3</v>
      </c>
      <c r="CM16" s="15">
        <f t="shared" si="25"/>
        <v>85.32</v>
      </c>
      <c r="CN16" s="52">
        <v>1658</v>
      </c>
      <c r="CO16" s="16">
        <f t="shared" si="14"/>
        <v>1.9827555279176283E-2</v>
      </c>
      <c r="CP16" s="17">
        <f>IF(AND(CK16&lt;&gt;"", CN16&lt;&gt;""), SUM(CN$4:CN16), "")</f>
        <v>13101</v>
      </c>
      <c r="CQ16" s="16">
        <f t="shared" si="15"/>
        <v>0.15667117111730308</v>
      </c>
      <c r="CR16" s="14"/>
      <c r="CS16" s="27">
        <v>37</v>
      </c>
      <c r="CT16" s="20">
        <v>65</v>
      </c>
      <c r="CU16" s="8"/>
      <c r="CV16" s="49">
        <v>65</v>
      </c>
      <c r="CW16" s="83">
        <f t="shared" si="35"/>
        <v>2</v>
      </c>
      <c r="CX16" s="15">
        <f t="shared" si="26"/>
        <v>90.34</v>
      </c>
      <c r="CY16" s="52">
        <v>932</v>
      </c>
      <c r="CZ16" s="16">
        <f t="shared" si="16"/>
        <v>1.2528228841810948E-2</v>
      </c>
      <c r="DA16" s="17">
        <f>IF(AND(CV16&lt;&gt;"", CY16&lt;&gt;""), SUM(CY$4:CY16), "")</f>
        <v>7655</v>
      </c>
      <c r="DB16" s="16">
        <f t="shared" si="17"/>
        <v>0.10290084955371545</v>
      </c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</row>
    <row r="17" spans="1:180" ht="16" customHeight="1" x14ac:dyDescent="0.2">
      <c r="A17" s="139"/>
      <c r="B17" s="7" t="s">
        <v>25</v>
      </c>
      <c r="C17" s="44">
        <v>18.473209141540199</v>
      </c>
      <c r="D17" s="44">
        <v>10.373160591814599</v>
      </c>
      <c r="E17" s="1"/>
      <c r="F17" s="27">
        <v>90</v>
      </c>
      <c r="G17" s="27">
        <v>1</v>
      </c>
      <c r="H17" s="1"/>
      <c r="I17" s="85">
        <v>40</v>
      </c>
      <c r="J17" s="85">
        <v>1</v>
      </c>
      <c r="K17" s="70"/>
      <c r="L17" s="70"/>
      <c r="M17" s="70"/>
      <c r="N17"/>
      <c r="O17" s="38">
        <v>121</v>
      </c>
      <c r="P17" s="83">
        <f t="shared" si="27"/>
        <v>3</v>
      </c>
      <c r="Q17" s="15">
        <f t="shared" si="18"/>
        <v>82.87</v>
      </c>
      <c r="R17" s="43">
        <v>4527</v>
      </c>
      <c r="S17" s="16">
        <f t="shared" si="0"/>
        <v>1.5776267642446419E-2</v>
      </c>
      <c r="T17" s="17">
        <f>IF(AND(O17&lt;&gt;"", R17&lt;&gt;""), SUM(R$4:R17), "")</f>
        <v>51413</v>
      </c>
      <c r="U17" s="16">
        <f t="shared" si="1"/>
        <v>0.1791705872103154</v>
      </c>
      <c r="W17" s="38">
        <v>147</v>
      </c>
      <c r="X17" s="83">
        <f t="shared" si="28"/>
        <v>1</v>
      </c>
      <c r="Y17" s="15">
        <f t="shared" si="19"/>
        <v>99.14</v>
      </c>
      <c r="Z17" s="43">
        <v>136</v>
      </c>
      <c r="AA17" s="16">
        <f t="shared" si="2"/>
        <v>4.7552613820328046E-4</v>
      </c>
      <c r="AB17" s="17">
        <f>IF(AND(W17&lt;&gt;"", Z17&lt;&gt;""), SUM(Z$4:Z17), "")</f>
        <v>2516</v>
      </c>
      <c r="AC17" s="16">
        <f t="shared" si="3"/>
        <v>8.7972335567606877E-3</v>
      </c>
      <c r="AD17" s="1"/>
      <c r="AE17" s="19">
        <v>36</v>
      </c>
      <c r="AF17" s="20">
        <v>58</v>
      </c>
      <c r="AG17" s="8"/>
      <c r="AH17" s="49">
        <v>57</v>
      </c>
      <c r="AI17" s="83">
        <f t="shared" si="29"/>
        <v>4</v>
      </c>
      <c r="AJ17" s="15">
        <f t="shared" si="20"/>
        <v>70.400000000000006</v>
      </c>
      <c r="AK17" s="52">
        <v>2659</v>
      </c>
      <c r="AL17" s="16">
        <f t="shared" si="4"/>
        <v>2.766823096053193E-2</v>
      </c>
      <c r="AM17" s="17">
        <f>IF(AND(AH17&lt;&gt;"", AK17&lt;&gt;""), SUM(AK$4:AK17), "")</f>
        <v>29775</v>
      </c>
      <c r="AN17" s="16">
        <f t="shared" si="5"/>
        <v>0.30982383484386544</v>
      </c>
      <c r="AO17" s="14"/>
      <c r="AP17" s="27">
        <v>36</v>
      </c>
      <c r="AQ17" s="20">
        <v>62</v>
      </c>
      <c r="AR17" s="8"/>
      <c r="AS17" s="49">
        <v>60</v>
      </c>
      <c r="AT17" s="83">
        <f t="shared" si="30"/>
        <v>3</v>
      </c>
      <c r="AU17" s="15">
        <f t="shared" si="21"/>
        <v>81.38</v>
      </c>
      <c r="AV17" s="52">
        <v>382</v>
      </c>
      <c r="AW17" s="16">
        <f t="shared" si="6"/>
        <v>1.6706026414764277E-2</v>
      </c>
      <c r="AX17" s="17">
        <f>IF(AND(AS17&lt;&gt;"", AV17&lt;&gt;""), SUM(AV$4:AV17), "")</f>
        <v>4448</v>
      </c>
      <c r="AY17" s="16">
        <f t="shared" si="7"/>
        <v>0.19452462170908774</v>
      </c>
      <c r="AZ17" s="14"/>
      <c r="BA17" s="27">
        <v>36</v>
      </c>
      <c r="BB17" s="20">
        <v>63</v>
      </c>
      <c r="BC17" s="8"/>
      <c r="BD17" s="49">
        <v>62</v>
      </c>
      <c r="BE17" s="83">
        <f t="shared" si="31"/>
        <v>3</v>
      </c>
      <c r="BF17" s="15">
        <f t="shared" si="22"/>
        <v>86.84</v>
      </c>
      <c r="BG17" s="52">
        <v>313</v>
      </c>
      <c r="BH17" s="16">
        <f t="shared" si="8"/>
        <v>1.2093346727455375E-2</v>
      </c>
      <c r="BI17" s="17">
        <f>IF(AND(BD17&lt;&gt;"", BG17&lt;&gt;""), SUM(BG$4:BG17), "")</f>
        <v>3563</v>
      </c>
      <c r="BJ17" s="16">
        <f t="shared" si="9"/>
        <v>0.13766324086237539</v>
      </c>
      <c r="BK17" s="14"/>
      <c r="BL17" s="27">
        <v>36</v>
      </c>
      <c r="BM17" s="20">
        <v>62</v>
      </c>
      <c r="BN17" s="8"/>
      <c r="BO17" s="49">
        <v>61</v>
      </c>
      <c r="BP17" s="83">
        <f t="shared" si="32"/>
        <v>3</v>
      </c>
      <c r="BQ17" s="15">
        <f t="shared" si="23"/>
        <v>83.64</v>
      </c>
      <c r="BR17" s="52">
        <v>670</v>
      </c>
      <c r="BS17" s="16">
        <f t="shared" si="10"/>
        <v>1.7302825267289913E-2</v>
      </c>
      <c r="BT17" s="17">
        <f>IF(AND(BO17&lt;&gt;"", BR17&lt;&gt;""), SUM(BR$4:BR17), "")</f>
        <v>6671</v>
      </c>
      <c r="BU17" s="16">
        <f t="shared" si="11"/>
        <v>0.17227932441506122</v>
      </c>
      <c r="BV17" s="14"/>
      <c r="BW17" s="27">
        <v>36</v>
      </c>
      <c r="BX17" s="20">
        <v>61</v>
      </c>
      <c r="BY17" s="8"/>
      <c r="BZ17" s="49">
        <v>60</v>
      </c>
      <c r="CA17" s="83">
        <f t="shared" si="33"/>
        <v>3</v>
      </c>
      <c r="CB17" s="15">
        <f t="shared" si="24"/>
        <v>80.709999999999994</v>
      </c>
      <c r="CC17" s="52">
        <v>895</v>
      </c>
      <c r="CD17" s="16">
        <f t="shared" si="12"/>
        <v>1.8652828143887291E-2</v>
      </c>
      <c r="CE17" s="17">
        <f>IF(AND(BZ17&lt;&gt;"", CC17&lt;&gt;""), SUM(CC$4:CC17), "")</f>
        <v>9702</v>
      </c>
      <c r="CF17" s="16">
        <f t="shared" si="13"/>
        <v>0.20220082530949107</v>
      </c>
      <c r="CG17" s="14"/>
      <c r="CH17" s="27">
        <v>36</v>
      </c>
      <c r="CI17" s="20">
        <v>62</v>
      </c>
      <c r="CJ17" s="8"/>
      <c r="CK17" s="49">
        <v>61</v>
      </c>
      <c r="CL17" s="83">
        <f t="shared" si="34"/>
        <v>3</v>
      </c>
      <c r="CM17" s="15">
        <f t="shared" si="25"/>
        <v>83.39</v>
      </c>
      <c r="CN17" s="52">
        <v>1584</v>
      </c>
      <c r="CO17" s="16">
        <f t="shared" si="14"/>
        <v>1.8942610109900622E-2</v>
      </c>
      <c r="CP17" s="17">
        <f>IF(AND(CK17&lt;&gt;"", CN17&lt;&gt;""), SUM(CN$4:CN17), "")</f>
        <v>14685</v>
      </c>
      <c r="CQ17" s="16">
        <f t="shared" si="15"/>
        <v>0.1756137812272037</v>
      </c>
      <c r="CR17" s="14"/>
      <c r="CS17" s="27">
        <v>36</v>
      </c>
      <c r="CT17" s="20">
        <v>64</v>
      </c>
      <c r="CU17" s="8"/>
      <c r="CV17" s="49">
        <v>64</v>
      </c>
      <c r="CW17" s="83">
        <f t="shared" si="35"/>
        <v>2</v>
      </c>
      <c r="CX17" s="15">
        <f t="shared" si="26"/>
        <v>88.54</v>
      </c>
      <c r="CY17" s="52">
        <v>1748</v>
      </c>
      <c r="CZ17" s="16">
        <f t="shared" si="16"/>
        <v>2.3497150231207655E-2</v>
      </c>
      <c r="DA17" s="17">
        <f>IF(AND(CV17&lt;&gt;"", CY17&lt;&gt;""), SUM(CY$4:CY17), "")</f>
        <v>9403</v>
      </c>
      <c r="DB17" s="16">
        <f t="shared" si="17"/>
        <v>0.12639799978492311</v>
      </c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</row>
    <row r="18" spans="1:180" ht="16" customHeight="1" x14ac:dyDescent="0.2">
      <c r="A18" s="139"/>
      <c r="B18" s="29" t="s">
        <v>26</v>
      </c>
      <c r="C18" s="44">
        <v>23.502556990552101</v>
      </c>
      <c r="D18" s="44">
        <v>11.945434886536299</v>
      </c>
      <c r="E18" s="1"/>
      <c r="F18" s="27">
        <v>80</v>
      </c>
      <c r="G18" s="27">
        <v>2</v>
      </c>
      <c r="H18" s="1"/>
      <c r="I18" s="85">
        <v>35</v>
      </c>
      <c r="J18" s="85">
        <v>2</v>
      </c>
      <c r="K18" s="70"/>
      <c r="L18" s="70"/>
      <c r="M18" s="70"/>
      <c r="N18"/>
      <c r="O18" s="38">
        <v>120</v>
      </c>
      <c r="P18" s="83">
        <f t="shared" si="27"/>
        <v>3</v>
      </c>
      <c r="Q18" s="15">
        <f t="shared" si="18"/>
        <v>81.27</v>
      </c>
      <c r="R18" s="43">
        <v>4671</v>
      </c>
      <c r="S18" s="16">
        <f t="shared" si="0"/>
        <v>1.6278097229482487E-2</v>
      </c>
      <c r="T18" s="17">
        <f>IF(AND(O18&lt;&gt;"", R18&lt;&gt;""), SUM(R$4:R18), "")</f>
        <v>56084</v>
      </c>
      <c r="U18" s="16">
        <f t="shared" si="1"/>
        <v>0.19544868443979788</v>
      </c>
      <c r="W18" s="38">
        <v>146</v>
      </c>
      <c r="X18" s="83">
        <f t="shared" si="28"/>
        <v>1</v>
      </c>
      <c r="Y18" s="15">
        <f t="shared" si="19"/>
        <v>99.07</v>
      </c>
      <c r="Z18" s="43">
        <v>280</v>
      </c>
      <c r="AA18" s="16">
        <f t="shared" si="2"/>
        <v>9.7902440218322444E-4</v>
      </c>
      <c r="AB18" s="17">
        <f>IF(AND(W18&lt;&gt;"", Z18&lt;&gt;""), SUM(Z$4:Z18), "")</f>
        <v>2796</v>
      </c>
      <c r="AC18" s="16">
        <f t="shared" si="3"/>
        <v>9.7762579589439121E-3</v>
      </c>
      <c r="AD18" s="1"/>
      <c r="AE18" s="19">
        <v>35</v>
      </c>
      <c r="AF18" s="20">
        <v>58</v>
      </c>
      <c r="AG18" s="8"/>
      <c r="AH18" s="49">
        <v>56</v>
      </c>
      <c r="AI18" s="83">
        <f t="shared" si="29"/>
        <v>4</v>
      </c>
      <c r="AJ18" s="15">
        <f t="shared" si="20"/>
        <v>67.41</v>
      </c>
      <c r="AK18" s="52">
        <v>3097</v>
      </c>
      <c r="AL18" s="16">
        <f t="shared" si="4"/>
        <v>3.222584102473388E-2</v>
      </c>
      <c r="AM18" s="17">
        <f>IF(AND(AH18&lt;&gt;"", AK18&lt;&gt;""), SUM(AK$4:AK18), "")</f>
        <v>32872</v>
      </c>
      <c r="AN18" s="16">
        <f t="shared" si="5"/>
        <v>0.3420496758685993</v>
      </c>
      <c r="AO18" s="14"/>
      <c r="AP18" s="27">
        <v>35</v>
      </c>
      <c r="AQ18" s="20">
        <v>61</v>
      </c>
      <c r="AR18" s="8"/>
      <c r="AS18" s="49">
        <v>59</v>
      </c>
      <c r="AT18" s="83">
        <f t="shared" si="30"/>
        <v>3</v>
      </c>
      <c r="AU18" s="15">
        <f t="shared" si="21"/>
        <v>78.930000000000007</v>
      </c>
      <c r="AV18" s="52">
        <v>741</v>
      </c>
      <c r="AW18" s="16">
        <f t="shared" si="6"/>
        <v>3.240619260036736E-2</v>
      </c>
      <c r="AX18" s="17">
        <f>IF(AND(AS18&lt;&gt;"", AV18&lt;&gt;""), SUM(AV$4:AV18), "")</f>
        <v>5189</v>
      </c>
      <c r="AY18" s="16">
        <f t="shared" si="7"/>
        <v>0.22693081430945508</v>
      </c>
      <c r="AZ18" s="14"/>
      <c r="BA18" s="27">
        <v>35</v>
      </c>
      <c r="BB18" s="20">
        <v>62</v>
      </c>
      <c r="BC18" s="8"/>
      <c r="BD18" s="49">
        <v>61</v>
      </c>
      <c r="BE18" s="83">
        <f t="shared" si="31"/>
        <v>3</v>
      </c>
      <c r="BF18" s="15">
        <f t="shared" si="22"/>
        <v>84.8</v>
      </c>
      <c r="BG18" s="52">
        <v>743</v>
      </c>
      <c r="BH18" s="16">
        <f t="shared" si="8"/>
        <v>2.870720964376787E-2</v>
      </c>
      <c r="BI18" s="17">
        <f>IF(AND(BD18&lt;&gt;"", BG18&lt;&gt;""), SUM(BG$4:BG18), "")</f>
        <v>4306</v>
      </c>
      <c r="BJ18" s="16">
        <f t="shared" si="9"/>
        <v>0.16637045050614327</v>
      </c>
      <c r="BK18" s="14"/>
      <c r="BL18" s="27">
        <v>35</v>
      </c>
      <c r="BM18" s="20">
        <v>61</v>
      </c>
      <c r="BN18" s="8"/>
      <c r="BO18" s="49">
        <v>60</v>
      </c>
      <c r="BP18" s="83">
        <f t="shared" si="32"/>
        <v>3</v>
      </c>
      <c r="BQ18" s="15">
        <f t="shared" si="23"/>
        <v>81.5</v>
      </c>
      <c r="BR18" s="52">
        <v>984</v>
      </c>
      <c r="BS18" s="16">
        <f t="shared" si="10"/>
        <v>2.5411910541810856E-2</v>
      </c>
      <c r="BT18" s="17">
        <f>IF(AND(BO18&lt;&gt;"", BR18&lt;&gt;""), SUM(BR$4:BR18), "")</f>
        <v>7655</v>
      </c>
      <c r="BU18" s="16">
        <f t="shared" si="11"/>
        <v>0.19769123495687208</v>
      </c>
      <c r="BV18" s="14"/>
      <c r="BW18" s="27">
        <v>35</v>
      </c>
      <c r="BX18" s="20">
        <v>60</v>
      </c>
      <c r="BY18" s="8"/>
      <c r="BZ18" s="49">
        <v>59</v>
      </c>
      <c r="CA18" s="83">
        <f t="shared" si="33"/>
        <v>3</v>
      </c>
      <c r="CB18" s="15">
        <f t="shared" si="24"/>
        <v>78.680000000000007</v>
      </c>
      <c r="CC18" s="52">
        <v>1060</v>
      </c>
      <c r="CD18" s="16">
        <f t="shared" si="12"/>
        <v>2.209161768996707E-2</v>
      </c>
      <c r="CE18" s="17">
        <f>IF(AND(BZ18&lt;&gt;"", CC18&lt;&gt;""), SUM(CC$4:CC18), "")</f>
        <v>10762</v>
      </c>
      <c r="CF18" s="16">
        <f t="shared" si="13"/>
        <v>0.22429244299945814</v>
      </c>
      <c r="CG18" s="14"/>
      <c r="CH18" s="27">
        <v>35</v>
      </c>
      <c r="CI18" s="20">
        <v>61</v>
      </c>
      <c r="CJ18" s="8"/>
      <c r="CK18" s="49">
        <v>60</v>
      </c>
      <c r="CL18" s="83">
        <f t="shared" si="34"/>
        <v>3</v>
      </c>
      <c r="CM18" s="15">
        <f t="shared" si="25"/>
        <v>81.13</v>
      </c>
      <c r="CN18" s="52">
        <v>2181</v>
      </c>
      <c r="CO18" s="16">
        <f t="shared" si="14"/>
        <v>2.6081965056624534E-2</v>
      </c>
      <c r="CP18" s="17">
        <f>IF(AND(CK18&lt;&gt;"", CN18&lt;&gt;""), SUM(CN$4:CN18), "")</f>
        <v>16866</v>
      </c>
      <c r="CQ18" s="16">
        <f t="shared" si="15"/>
        <v>0.20169574628382822</v>
      </c>
      <c r="CR18" s="14"/>
      <c r="CS18" s="27">
        <v>35</v>
      </c>
      <c r="CT18" s="20">
        <v>64</v>
      </c>
      <c r="CU18" s="8"/>
      <c r="CV18" s="49">
        <v>63</v>
      </c>
      <c r="CW18" s="83">
        <f t="shared" si="35"/>
        <v>3</v>
      </c>
      <c r="CX18" s="15">
        <f t="shared" si="26"/>
        <v>86.59</v>
      </c>
      <c r="CY18" s="52">
        <v>1142</v>
      </c>
      <c r="CZ18" s="16">
        <f t="shared" si="16"/>
        <v>1.5351113022905689E-2</v>
      </c>
      <c r="DA18" s="17">
        <f>IF(AND(CV18&lt;&gt;"", CY18&lt;&gt;""), SUM(CY$4:CY18), "")</f>
        <v>10545</v>
      </c>
      <c r="DB18" s="16">
        <f t="shared" si="17"/>
        <v>0.14174911280782879</v>
      </c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</row>
    <row r="19" spans="1:180" ht="16" customHeight="1" x14ac:dyDescent="0.2">
      <c r="A19" s="139" t="s">
        <v>41</v>
      </c>
      <c r="B19" s="7" t="s">
        <v>7</v>
      </c>
      <c r="C19" s="44">
        <v>23.395330819689001</v>
      </c>
      <c r="D19" s="44">
        <v>10.6143017956271</v>
      </c>
      <c r="E19" s="1"/>
      <c r="F19" s="27">
        <v>70</v>
      </c>
      <c r="G19" s="27">
        <v>3</v>
      </c>
      <c r="H19" s="1"/>
      <c r="I19" s="85">
        <v>30</v>
      </c>
      <c r="J19" s="85">
        <v>3</v>
      </c>
      <c r="K19" s="70"/>
      <c r="L19" s="70"/>
      <c r="M19" s="70"/>
      <c r="N19"/>
      <c r="O19" s="38">
        <v>119</v>
      </c>
      <c r="P19" s="83">
        <f t="shared" si="27"/>
        <v>3</v>
      </c>
      <c r="Q19" s="15">
        <f t="shared" si="18"/>
        <v>79.599999999999994</v>
      </c>
      <c r="R19" s="43">
        <v>4927</v>
      </c>
      <c r="S19" s="16">
        <f t="shared" si="0"/>
        <v>1.717023871754661E-2</v>
      </c>
      <c r="T19" s="17">
        <f>IF(AND(O19&lt;&gt;"", R19&lt;&gt;""), SUM(R$4:R19), "")</f>
        <v>61011</v>
      </c>
      <c r="U19" s="16">
        <f t="shared" si="1"/>
        <v>0.21261892315734449</v>
      </c>
      <c r="W19" s="38">
        <v>145</v>
      </c>
      <c r="X19" s="83">
        <f t="shared" si="28"/>
        <v>1</v>
      </c>
      <c r="Y19" s="15">
        <f t="shared" si="19"/>
        <v>98.8</v>
      </c>
      <c r="Z19" s="43">
        <v>1299</v>
      </c>
      <c r="AA19" s="16">
        <f t="shared" si="2"/>
        <v>4.5419739229857446E-3</v>
      </c>
      <c r="AB19" s="17">
        <f>IF(AND(W19&lt;&gt;"", Z19&lt;&gt;""), SUM(Z$4:Z19), "")</f>
        <v>4095</v>
      </c>
      <c r="AC19" s="16">
        <f t="shared" si="3"/>
        <v>1.4318231881929657E-2</v>
      </c>
      <c r="AD19" s="1"/>
      <c r="AE19" s="19">
        <v>34</v>
      </c>
      <c r="AF19" s="20">
        <v>57</v>
      </c>
      <c r="AG19" s="8"/>
      <c r="AH19" s="49">
        <v>55</v>
      </c>
      <c r="AI19" s="83">
        <f t="shared" si="29"/>
        <v>4</v>
      </c>
      <c r="AJ19" s="15">
        <f t="shared" si="20"/>
        <v>64.459999999999994</v>
      </c>
      <c r="AK19" s="52">
        <v>2575</v>
      </c>
      <c r="AL19" s="16">
        <f t="shared" si="4"/>
        <v>2.6794168756438405E-2</v>
      </c>
      <c r="AM19" s="17">
        <f>IF(AND(AH19&lt;&gt;"", AK19&lt;&gt;""), SUM(AK$4:AK19), "")</f>
        <v>35447</v>
      </c>
      <c r="AN19" s="16">
        <f t="shared" si="5"/>
        <v>0.36884384462503772</v>
      </c>
      <c r="AO19" s="14"/>
      <c r="AP19" s="27">
        <v>34</v>
      </c>
      <c r="AQ19" s="20">
        <v>60</v>
      </c>
      <c r="AR19" s="8"/>
      <c r="AS19" s="49">
        <v>58</v>
      </c>
      <c r="AT19" s="83">
        <f t="shared" si="30"/>
        <v>3</v>
      </c>
      <c r="AU19" s="15">
        <f t="shared" si="21"/>
        <v>76.48</v>
      </c>
      <c r="AV19" s="52">
        <v>379</v>
      </c>
      <c r="AW19" s="16">
        <f t="shared" si="6"/>
        <v>1.6574827254438904E-2</v>
      </c>
      <c r="AX19" s="17">
        <f>IF(AND(AS19&lt;&gt;"", AV19&lt;&gt;""), SUM(AV$4:AV19), "")</f>
        <v>5568</v>
      </c>
      <c r="AY19" s="16">
        <f t="shared" si="7"/>
        <v>0.24350564156389398</v>
      </c>
      <c r="AZ19" s="14"/>
      <c r="BA19" s="27">
        <v>34</v>
      </c>
      <c r="BB19" s="20">
        <v>61</v>
      </c>
      <c r="BC19" s="8"/>
      <c r="BD19" s="49">
        <v>60</v>
      </c>
      <c r="BE19" s="83">
        <f t="shared" si="31"/>
        <v>3</v>
      </c>
      <c r="BF19" s="15">
        <f t="shared" si="22"/>
        <v>82.54</v>
      </c>
      <c r="BG19" s="52">
        <v>427</v>
      </c>
      <c r="BH19" s="16">
        <f t="shared" si="8"/>
        <v>1.6497952244803337E-2</v>
      </c>
      <c r="BI19" s="17">
        <f>IF(AND(BD19&lt;&gt;"", BG19&lt;&gt;""), SUM(BG$4:BG19), "")</f>
        <v>4733</v>
      </c>
      <c r="BJ19" s="16">
        <f t="shared" si="9"/>
        <v>0.1828684027509466</v>
      </c>
      <c r="BK19" s="14"/>
      <c r="BL19" s="27">
        <v>34</v>
      </c>
      <c r="BM19" s="20">
        <v>60</v>
      </c>
      <c r="BN19" s="8"/>
      <c r="BO19" s="49">
        <v>59</v>
      </c>
      <c r="BP19" s="83">
        <f t="shared" si="32"/>
        <v>3</v>
      </c>
      <c r="BQ19" s="15">
        <f t="shared" si="23"/>
        <v>79.27</v>
      </c>
      <c r="BR19" s="52">
        <v>743</v>
      </c>
      <c r="BS19" s="16">
        <f t="shared" si="10"/>
        <v>1.9188058468054336E-2</v>
      </c>
      <c r="BT19" s="17">
        <f>IF(AND(BO19&lt;&gt;"", BR19&lt;&gt;""), SUM(BR$4:BR19), "")</f>
        <v>8398</v>
      </c>
      <c r="BU19" s="16">
        <f t="shared" si="11"/>
        <v>0.2168792934249264</v>
      </c>
      <c r="BV19" s="14"/>
      <c r="BW19" s="27">
        <v>34</v>
      </c>
      <c r="BX19" s="20">
        <v>59</v>
      </c>
      <c r="BY19" s="8"/>
      <c r="BZ19" s="49">
        <v>58</v>
      </c>
      <c r="CA19" s="83">
        <f t="shared" si="33"/>
        <v>3</v>
      </c>
      <c r="CB19" s="15">
        <f t="shared" si="24"/>
        <v>76.36</v>
      </c>
      <c r="CC19" s="52">
        <v>1159</v>
      </c>
      <c r="CD19" s="16">
        <f t="shared" si="12"/>
        <v>2.415489141761494E-2</v>
      </c>
      <c r="CE19" s="17">
        <f>IF(AND(BZ19&lt;&gt;"", CC19&lt;&gt;""), SUM(CC$4:CC19), "")</f>
        <v>11921</v>
      </c>
      <c r="CF19" s="16">
        <f t="shared" si="13"/>
        <v>0.24844733441707306</v>
      </c>
      <c r="CG19" s="14"/>
      <c r="CH19" s="27">
        <v>34</v>
      </c>
      <c r="CI19" s="20">
        <v>60</v>
      </c>
      <c r="CJ19" s="8"/>
      <c r="CK19" s="49">
        <v>59</v>
      </c>
      <c r="CL19" s="83">
        <f t="shared" si="34"/>
        <v>3</v>
      </c>
      <c r="CM19" s="15">
        <f t="shared" si="25"/>
        <v>78.83</v>
      </c>
      <c r="CN19" s="52">
        <v>1671</v>
      </c>
      <c r="CO19" s="16">
        <f t="shared" si="14"/>
        <v>1.9983018619724711E-2</v>
      </c>
      <c r="CP19" s="17">
        <f>IF(AND(CK19&lt;&gt;"", CN19&lt;&gt;""), SUM(CN$4:CN19), "")</f>
        <v>18537</v>
      </c>
      <c r="CQ19" s="16">
        <f t="shared" si="15"/>
        <v>0.22167876490355293</v>
      </c>
      <c r="CR19" s="14"/>
      <c r="CS19" s="27">
        <v>34</v>
      </c>
      <c r="CT19" s="20">
        <v>63</v>
      </c>
      <c r="CU19" s="8"/>
      <c r="CV19" s="49">
        <v>62</v>
      </c>
      <c r="CW19" s="83">
        <f t="shared" si="35"/>
        <v>3</v>
      </c>
      <c r="CX19" s="15">
        <f t="shared" si="26"/>
        <v>85.19</v>
      </c>
      <c r="CY19" s="52">
        <v>944</v>
      </c>
      <c r="CZ19" s="16">
        <f t="shared" si="16"/>
        <v>1.2689536509302076E-2</v>
      </c>
      <c r="DA19" s="17">
        <f>IF(AND(CV19&lt;&gt;"", CY19&lt;&gt;""), SUM(CY$4:CY19), "")</f>
        <v>11489</v>
      </c>
      <c r="DB19" s="16">
        <f t="shared" si="17"/>
        <v>0.15443864931713086</v>
      </c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</row>
    <row r="20" spans="1:180" ht="16" customHeight="1" x14ac:dyDescent="0.2">
      <c r="A20" s="139"/>
      <c r="B20" s="7" t="s">
        <v>8</v>
      </c>
      <c r="C20" s="44">
        <v>24.321245467050101</v>
      </c>
      <c r="D20" s="44">
        <v>10.908550028454099</v>
      </c>
      <c r="E20" s="1"/>
      <c r="F20" s="27">
        <v>60</v>
      </c>
      <c r="G20" s="27">
        <v>4</v>
      </c>
      <c r="H20" s="1"/>
      <c r="I20" s="85">
        <v>25</v>
      </c>
      <c r="J20" s="85">
        <v>4</v>
      </c>
      <c r="K20" s="70"/>
      <c r="L20" s="70"/>
      <c r="M20" s="70"/>
      <c r="N20"/>
      <c r="O20" s="38">
        <v>118</v>
      </c>
      <c r="P20" s="83">
        <f t="shared" si="27"/>
        <v>3</v>
      </c>
      <c r="Q20" s="15">
        <f t="shared" si="18"/>
        <v>77.91</v>
      </c>
      <c r="R20" s="43">
        <v>4755</v>
      </c>
      <c r="S20" s="16">
        <f t="shared" si="0"/>
        <v>1.657083115525353E-2</v>
      </c>
      <c r="T20" s="17">
        <f>IF(AND(O20&lt;&gt;"", R20&lt;&gt;""), SUM(R$4:R20), "")</f>
        <v>65766</v>
      </c>
      <c r="U20" s="16">
        <f t="shared" si="1"/>
        <v>0.22918975431259803</v>
      </c>
      <c r="W20" s="38">
        <v>144</v>
      </c>
      <c r="X20" s="83">
        <f t="shared" si="28"/>
        <v>1</v>
      </c>
      <c r="Y20" s="15">
        <f t="shared" si="19"/>
        <v>98.53</v>
      </c>
      <c r="Z20" s="43">
        <v>203</v>
      </c>
      <c r="AA20" s="16">
        <f t="shared" si="2"/>
        <v>7.0979269158283765E-4</v>
      </c>
      <c r="AB20" s="17">
        <f>IF(AND(W20&lt;&gt;"", Z20&lt;&gt;""), SUM(Z$4:Z20), "")</f>
        <v>4298</v>
      </c>
      <c r="AC20" s="16">
        <f t="shared" si="3"/>
        <v>1.5028024573512495E-2</v>
      </c>
      <c r="AD20" s="1"/>
      <c r="AE20" s="19">
        <v>33</v>
      </c>
      <c r="AF20" s="20">
        <v>56</v>
      </c>
      <c r="AG20" s="8"/>
      <c r="AH20" s="49">
        <v>54</v>
      </c>
      <c r="AI20" s="83">
        <f t="shared" si="29"/>
        <v>4</v>
      </c>
      <c r="AJ20" s="15">
        <f t="shared" si="20"/>
        <v>61.52</v>
      </c>
      <c r="AK20" s="52">
        <v>3065</v>
      </c>
      <c r="AL20" s="16">
        <f t="shared" si="4"/>
        <v>3.1892864946983963E-2</v>
      </c>
      <c r="AM20" s="17">
        <f>IF(AND(AH20&lt;&gt;"", AK20&lt;&gt;""), SUM(AK$4:AK20), "")</f>
        <v>38512</v>
      </c>
      <c r="AN20" s="16">
        <f t="shared" si="5"/>
        <v>0.40073670957202168</v>
      </c>
      <c r="AO20" s="14"/>
      <c r="AP20" s="27">
        <v>33</v>
      </c>
      <c r="AQ20" s="20">
        <v>59</v>
      </c>
      <c r="AR20" s="8"/>
      <c r="AS20" s="49">
        <v>57</v>
      </c>
      <c r="AT20" s="83">
        <f t="shared" si="30"/>
        <v>4</v>
      </c>
      <c r="AU20" s="15">
        <f t="shared" si="21"/>
        <v>74.72</v>
      </c>
      <c r="AV20" s="52">
        <v>425</v>
      </c>
      <c r="AW20" s="16">
        <f t="shared" si="6"/>
        <v>1.8586547712761307E-2</v>
      </c>
      <c r="AX20" s="17">
        <f>IF(AND(AS20&lt;&gt;"", AV20&lt;&gt;""), SUM(AV$4:AV20), "")</f>
        <v>5993</v>
      </c>
      <c r="AY20" s="16">
        <f t="shared" si="7"/>
        <v>0.26209218927665529</v>
      </c>
      <c r="AZ20" s="14"/>
      <c r="BA20" s="27">
        <v>33</v>
      </c>
      <c r="BB20" s="20">
        <v>61</v>
      </c>
      <c r="BC20" s="8"/>
      <c r="BD20" s="49">
        <v>59</v>
      </c>
      <c r="BE20" s="83">
        <f t="shared" si="31"/>
        <v>3</v>
      </c>
      <c r="BF20" s="15">
        <f t="shared" si="22"/>
        <v>80.81</v>
      </c>
      <c r="BG20" s="52">
        <v>467</v>
      </c>
      <c r="BH20" s="16">
        <f t="shared" si="8"/>
        <v>1.8043427864925431E-2</v>
      </c>
      <c r="BI20" s="17">
        <f>IF(AND(BD20&lt;&gt;"", BG20&lt;&gt;""), SUM(BG$4:BG20), "")</f>
        <v>5200</v>
      </c>
      <c r="BJ20" s="16">
        <f t="shared" si="9"/>
        <v>0.20091183061587203</v>
      </c>
      <c r="BK20" s="14"/>
      <c r="BL20" s="27">
        <v>33</v>
      </c>
      <c r="BM20" s="20">
        <v>59</v>
      </c>
      <c r="BN20" s="8"/>
      <c r="BO20" s="49">
        <v>58</v>
      </c>
      <c r="BP20" s="83">
        <f t="shared" si="32"/>
        <v>3</v>
      </c>
      <c r="BQ20" s="15">
        <f t="shared" si="23"/>
        <v>77.099999999999994</v>
      </c>
      <c r="BR20" s="52">
        <v>936</v>
      </c>
      <c r="BS20" s="16">
        <f t="shared" si="10"/>
        <v>2.4172305149527399E-2</v>
      </c>
      <c r="BT20" s="17">
        <f>IF(AND(BO20&lt;&gt;"", BR20&lt;&gt;""), SUM(BR$4:BR20), "")</f>
        <v>9334</v>
      </c>
      <c r="BU20" s="16">
        <f t="shared" si="11"/>
        <v>0.2410515985744538</v>
      </c>
      <c r="BV20" s="14"/>
      <c r="BW20" s="27">
        <v>33</v>
      </c>
      <c r="BX20" s="20">
        <v>58</v>
      </c>
      <c r="BY20" s="8"/>
      <c r="BZ20" s="49">
        <v>57</v>
      </c>
      <c r="CA20" s="83">
        <f t="shared" si="33"/>
        <v>4</v>
      </c>
      <c r="CB20" s="15">
        <f t="shared" si="24"/>
        <v>74.14</v>
      </c>
      <c r="CC20" s="52">
        <v>973</v>
      </c>
      <c r="CD20" s="16">
        <f t="shared" si="12"/>
        <v>2.027843774748864E-2</v>
      </c>
      <c r="CE20" s="17">
        <f>IF(AND(BZ20&lt;&gt;"", CC20&lt;&gt;""), SUM(CC$4:CC20), "")</f>
        <v>12894</v>
      </c>
      <c r="CF20" s="16">
        <f t="shared" si="13"/>
        <v>0.26872577216456173</v>
      </c>
      <c r="CG20" s="14"/>
      <c r="CH20" s="27">
        <v>33</v>
      </c>
      <c r="CI20" s="20">
        <v>59</v>
      </c>
      <c r="CJ20" s="8"/>
      <c r="CK20" s="49">
        <v>58</v>
      </c>
      <c r="CL20" s="83">
        <f t="shared" si="34"/>
        <v>3</v>
      </c>
      <c r="CM20" s="15">
        <f t="shared" si="25"/>
        <v>76.58</v>
      </c>
      <c r="CN20" s="52">
        <v>2087</v>
      </c>
      <c r="CO20" s="16">
        <f t="shared" si="14"/>
        <v>2.4957845517274369E-2</v>
      </c>
      <c r="CP20" s="17">
        <f>IF(AND(CK20&lt;&gt;"", CN20&lt;&gt;""), SUM(CN$4:CN20), "")</f>
        <v>20624</v>
      </c>
      <c r="CQ20" s="16">
        <f t="shared" si="15"/>
        <v>0.2466366104208273</v>
      </c>
      <c r="CR20" s="14"/>
      <c r="CS20" s="27">
        <v>33</v>
      </c>
      <c r="CT20" s="20">
        <v>62</v>
      </c>
      <c r="CU20" s="8"/>
      <c r="CV20" s="49">
        <v>61</v>
      </c>
      <c r="CW20" s="83">
        <f t="shared" si="35"/>
        <v>3</v>
      </c>
      <c r="CX20" s="15">
        <f t="shared" si="26"/>
        <v>83.75</v>
      </c>
      <c r="CY20" s="52">
        <v>1201</v>
      </c>
      <c r="CZ20" s="16">
        <f t="shared" si="16"/>
        <v>1.6144209054737069E-2</v>
      </c>
      <c r="DA20" s="17">
        <f>IF(AND(CV20&lt;&gt;"", CY20&lt;&gt;""), SUM(CY$4:CY20), "")</f>
        <v>12690</v>
      </c>
      <c r="DB20" s="16">
        <f t="shared" si="17"/>
        <v>0.17058285837186793</v>
      </c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</row>
    <row r="21" spans="1:180" ht="16" customHeight="1" x14ac:dyDescent="0.2">
      <c r="A21" s="139"/>
      <c r="B21" s="7" t="s">
        <v>9</v>
      </c>
      <c r="C21" s="44">
        <v>23.237715406416999</v>
      </c>
      <c r="D21" s="44">
        <v>10.552720309122501</v>
      </c>
      <c r="E21" s="1"/>
      <c r="F21" s="27">
        <v>50</v>
      </c>
      <c r="G21" s="27">
        <v>5</v>
      </c>
      <c r="H21" s="1"/>
      <c r="I21" s="85">
        <v>20</v>
      </c>
      <c r="J21" s="85">
        <v>5</v>
      </c>
      <c r="K21" s="70"/>
      <c r="L21" s="70"/>
      <c r="M21" s="70"/>
      <c r="N21"/>
      <c r="O21" s="38">
        <v>117</v>
      </c>
      <c r="P21" s="83">
        <f t="shared" si="27"/>
        <v>3</v>
      </c>
      <c r="Q21" s="15">
        <f t="shared" si="18"/>
        <v>76.12</v>
      </c>
      <c r="R21" s="43">
        <v>5514</v>
      </c>
      <c r="S21" s="16">
        <f t="shared" si="0"/>
        <v>1.9215891270256143E-2</v>
      </c>
      <c r="T21" s="17">
        <f>IF(AND(O21&lt;&gt;"", R21&lt;&gt;""), SUM(R$4:R21), "")</f>
        <v>71280</v>
      </c>
      <c r="U21" s="16">
        <f t="shared" si="1"/>
        <v>0.24840564558285416</v>
      </c>
      <c r="W21" s="38">
        <v>143</v>
      </c>
      <c r="X21" s="83">
        <f t="shared" si="28"/>
        <v>1</v>
      </c>
      <c r="Y21" s="15">
        <f t="shared" si="19"/>
        <v>98.43</v>
      </c>
      <c r="Z21" s="43">
        <v>398</v>
      </c>
      <c r="AA21" s="16">
        <f t="shared" si="2"/>
        <v>1.3916132573890119E-3</v>
      </c>
      <c r="AB21" s="17">
        <f>IF(AND(W21&lt;&gt;"", Z21&lt;&gt;""), SUM(Z$4:Z21), "")</f>
        <v>4696</v>
      </c>
      <c r="AC21" s="16">
        <f t="shared" si="3"/>
        <v>1.6419637830901508E-2</v>
      </c>
      <c r="AD21" s="1"/>
      <c r="AE21" s="19">
        <v>32</v>
      </c>
      <c r="AF21" s="20">
        <v>55</v>
      </c>
      <c r="AG21" s="8"/>
      <c r="AH21" s="49">
        <v>53</v>
      </c>
      <c r="AI21" s="83">
        <f t="shared" si="29"/>
        <v>5</v>
      </c>
      <c r="AJ21" s="15">
        <f t="shared" si="20"/>
        <v>58.54</v>
      </c>
      <c r="AK21" s="52">
        <v>2656</v>
      </c>
      <c r="AL21" s="16">
        <f t="shared" si="4"/>
        <v>2.7637014453242875E-2</v>
      </c>
      <c r="AM21" s="17">
        <f>IF(AND(AH21&lt;&gt;"", AK21&lt;&gt;""), SUM(AK$4:AK21), "")</f>
        <v>41168</v>
      </c>
      <c r="AN21" s="16">
        <f t="shared" si="5"/>
        <v>0.42837372402526458</v>
      </c>
      <c r="AO21" s="14"/>
      <c r="AP21" s="27">
        <v>32</v>
      </c>
      <c r="AQ21" s="20">
        <v>59</v>
      </c>
      <c r="AR21" s="8"/>
      <c r="AS21" s="49">
        <v>56</v>
      </c>
      <c r="AT21" s="83">
        <f t="shared" si="30"/>
        <v>4</v>
      </c>
      <c r="AU21" s="15">
        <f t="shared" si="21"/>
        <v>72.83</v>
      </c>
      <c r="AV21" s="52">
        <v>438</v>
      </c>
      <c r="AW21" s="16">
        <f t="shared" si="6"/>
        <v>1.9155077407504592E-2</v>
      </c>
      <c r="AX21" s="17">
        <f>IF(AND(AS21&lt;&gt;"", AV21&lt;&gt;""), SUM(AV$4:AV21), "")</f>
        <v>6431</v>
      </c>
      <c r="AY21" s="16">
        <f t="shared" si="7"/>
        <v>0.28124726668415989</v>
      </c>
      <c r="AZ21" s="14"/>
      <c r="BA21" s="27">
        <v>32</v>
      </c>
      <c r="BB21" s="20">
        <v>60</v>
      </c>
      <c r="BC21" s="8"/>
      <c r="BD21" s="49">
        <v>58</v>
      </c>
      <c r="BE21" s="83">
        <f t="shared" si="31"/>
        <v>3</v>
      </c>
      <c r="BF21" s="15">
        <f t="shared" si="22"/>
        <v>79.040000000000006</v>
      </c>
      <c r="BG21" s="52">
        <v>450</v>
      </c>
      <c r="BH21" s="16">
        <f t="shared" si="8"/>
        <v>1.738660072637354E-2</v>
      </c>
      <c r="BI21" s="17">
        <f>IF(AND(BD21&lt;&gt;"", BG21&lt;&gt;""), SUM(BG$4:BG21), "")</f>
        <v>5650</v>
      </c>
      <c r="BJ21" s="16">
        <f t="shared" si="9"/>
        <v>0.21829843134224558</v>
      </c>
      <c r="BK21" s="14"/>
      <c r="BL21" s="27">
        <v>32</v>
      </c>
      <c r="BM21" s="20">
        <v>58</v>
      </c>
      <c r="BN21" s="8"/>
      <c r="BO21" s="49">
        <v>57</v>
      </c>
      <c r="BP21" s="83">
        <f t="shared" si="32"/>
        <v>4</v>
      </c>
      <c r="BQ21" s="15">
        <f t="shared" si="23"/>
        <v>74.680000000000007</v>
      </c>
      <c r="BR21" s="52">
        <v>937</v>
      </c>
      <c r="BS21" s="16">
        <f t="shared" si="10"/>
        <v>2.4198130261866638E-2</v>
      </c>
      <c r="BT21" s="17">
        <f>IF(AND(BO21&lt;&gt;"", BR21&lt;&gt;""), SUM(BR$4:BR21), "")</f>
        <v>10271</v>
      </c>
      <c r="BU21" s="16">
        <f t="shared" si="11"/>
        <v>0.26524972883632042</v>
      </c>
      <c r="BV21" s="14"/>
      <c r="BW21" s="27">
        <v>32</v>
      </c>
      <c r="BX21" s="20">
        <v>57</v>
      </c>
      <c r="BY21" s="8"/>
      <c r="BZ21" s="49">
        <v>56</v>
      </c>
      <c r="CA21" s="83">
        <f t="shared" si="33"/>
        <v>4</v>
      </c>
      <c r="CB21" s="15">
        <f t="shared" si="24"/>
        <v>71.83</v>
      </c>
      <c r="CC21" s="52">
        <v>1241</v>
      </c>
      <c r="CD21" s="16">
        <f t="shared" si="12"/>
        <v>2.5863865616272769E-2</v>
      </c>
      <c r="CE21" s="17">
        <f>IF(AND(BZ21&lt;&gt;"", CC21&lt;&gt;""), SUM(CC$4:CC21), "")</f>
        <v>14135</v>
      </c>
      <c r="CF21" s="16">
        <f t="shared" si="13"/>
        <v>0.29458963778083447</v>
      </c>
      <c r="CG21" s="14"/>
      <c r="CH21" s="27">
        <v>32</v>
      </c>
      <c r="CI21" s="20">
        <v>58</v>
      </c>
      <c r="CJ21" s="8"/>
      <c r="CK21" s="49">
        <v>57</v>
      </c>
      <c r="CL21" s="83">
        <f t="shared" si="34"/>
        <v>4</v>
      </c>
      <c r="CM21" s="15">
        <f t="shared" si="25"/>
        <v>74.180000000000007</v>
      </c>
      <c r="CN21" s="52">
        <v>1929</v>
      </c>
      <c r="CO21" s="16">
        <f t="shared" si="14"/>
        <v>2.3068367993685796E-2</v>
      </c>
      <c r="CP21" s="17">
        <f>IF(AND(CK21&lt;&gt;"", CN21&lt;&gt;""), SUM(CN$4:CN21), "")</f>
        <v>22553</v>
      </c>
      <c r="CQ21" s="16">
        <f t="shared" si="15"/>
        <v>0.26970497841451307</v>
      </c>
      <c r="CR21" s="14"/>
      <c r="CS21" s="27">
        <v>32</v>
      </c>
      <c r="CT21" s="20">
        <v>61</v>
      </c>
      <c r="CU21" s="8"/>
      <c r="CV21" s="49">
        <v>60</v>
      </c>
      <c r="CW21" s="83">
        <f t="shared" si="35"/>
        <v>3</v>
      </c>
      <c r="CX21" s="15">
        <f t="shared" si="26"/>
        <v>82.15</v>
      </c>
      <c r="CY21" s="52">
        <v>1174</v>
      </c>
      <c r="CZ21" s="16">
        <f t="shared" si="16"/>
        <v>1.578126680288203E-2</v>
      </c>
      <c r="DA21" s="17">
        <f>IF(AND(CV21&lt;&gt;"", CY21&lt;&gt;""), SUM(CY$4:CY21), "")</f>
        <v>13864</v>
      </c>
      <c r="DB21" s="16">
        <f t="shared" si="17"/>
        <v>0.18636412517474998</v>
      </c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</row>
    <row r="22" spans="1:180" ht="16" customHeight="1" x14ac:dyDescent="0.2">
      <c r="A22" s="139"/>
      <c r="B22" s="7" t="s">
        <v>10</v>
      </c>
      <c r="C22" s="44">
        <v>20.663565974836001</v>
      </c>
      <c r="D22" s="44">
        <v>10.6156997714731</v>
      </c>
      <c r="E22" s="1"/>
      <c r="F22" s="27">
        <v>40</v>
      </c>
      <c r="G22" s="27">
        <v>6</v>
      </c>
      <c r="H22" s="1"/>
      <c r="I22" s="85">
        <v>15</v>
      </c>
      <c r="J22" s="85">
        <v>6</v>
      </c>
      <c r="K22" s="70"/>
      <c r="L22" s="70"/>
      <c r="M22" s="70"/>
      <c r="N22"/>
      <c r="O22" s="38">
        <v>116</v>
      </c>
      <c r="P22" s="83">
        <f t="shared" si="27"/>
        <v>4</v>
      </c>
      <c r="Q22" s="15">
        <f t="shared" si="18"/>
        <v>74.37</v>
      </c>
      <c r="R22" s="43">
        <v>4553</v>
      </c>
      <c r="S22" s="16">
        <f t="shared" si="0"/>
        <v>1.5866875762327932E-2</v>
      </c>
      <c r="T22" s="17">
        <f>IF(AND(O22&lt;&gt;"", R22&lt;&gt;""), SUM(R$4:R22), "")</f>
        <v>75833</v>
      </c>
      <c r="U22" s="16">
        <f t="shared" si="1"/>
        <v>0.26427252134518209</v>
      </c>
      <c r="W22" s="38">
        <v>142</v>
      </c>
      <c r="X22" s="83">
        <f t="shared" si="28"/>
        <v>1</v>
      </c>
      <c r="Y22" s="15">
        <f t="shared" si="19"/>
        <v>98.03</v>
      </c>
      <c r="Z22" s="43">
        <v>1866</v>
      </c>
      <c r="AA22" s="16">
        <f t="shared" si="2"/>
        <v>6.5244983374067745E-3</v>
      </c>
      <c r="AB22" s="17">
        <f>IF(AND(W22&lt;&gt;"", Z22&lt;&gt;""), SUM(Z$4:Z22), "")</f>
        <v>6562</v>
      </c>
      <c r="AC22" s="16">
        <f t="shared" si="3"/>
        <v>2.2944136168308281E-2</v>
      </c>
      <c r="AD22" s="1"/>
      <c r="AE22" s="19">
        <v>31</v>
      </c>
      <c r="AF22" s="20">
        <v>54</v>
      </c>
      <c r="AG22" s="8"/>
      <c r="AH22" s="49">
        <v>52</v>
      </c>
      <c r="AI22" s="83">
        <f t="shared" si="29"/>
        <v>5</v>
      </c>
      <c r="AJ22" s="15">
        <f t="shared" si="20"/>
        <v>54.39</v>
      </c>
      <c r="AK22" s="52">
        <v>5323</v>
      </c>
      <c r="AL22" s="16">
        <f t="shared" si="4"/>
        <v>5.5388489433212285E-2</v>
      </c>
      <c r="AM22" s="17">
        <f>IF(AND(AH22&lt;&gt;"", AK22&lt;&gt;""), SUM(AK$4:AK22), "")</f>
        <v>46491</v>
      </c>
      <c r="AN22" s="16">
        <f t="shared" si="5"/>
        <v>0.48376221345847686</v>
      </c>
      <c r="AO22" s="14"/>
      <c r="AP22" s="27">
        <v>31</v>
      </c>
      <c r="AQ22" s="20">
        <v>58</v>
      </c>
      <c r="AR22" s="8"/>
      <c r="AS22" s="49">
        <v>55</v>
      </c>
      <c r="AT22" s="83">
        <f t="shared" si="30"/>
        <v>4</v>
      </c>
      <c r="AU22" s="15">
        <f t="shared" si="21"/>
        <v>70</v>
      </c>
      <c r="AV22" s="52">
        <v>858</v>
      </c>
      <c r="AW22" s="16">
        <f t="shared" si="6"/>
        <v>3.7522959853056939E-2</v>
      </c>
      <c r="AX22" s="17">
        <f>IF(AND(AS22&lt;&gt;"", AV22&lt;&gt;""), SUM(AV$4:AV22), "")</f>
        <v>7289</v>
      </c>
      <c r="AY22" s="16">
        <f t="shared" si="7"/>
        <v>0.31877022653721682</v>
      </c>
      <c r="AZ22" s="14"/>
      <c r="BA22" s="27">
        <v>31</v>
      </c>
      <c r="BB22" s="20">
        <v>59</v>
      </c>
      <c r="BC22" s="8"/>
      <c r="BD22" s="49">
        <v>57</v>
      </c>
      <c r="BE22" s="83">
        <f t="shared" si="31"/>
        <v>3</v>
      </c>
      <c r="BF22" s="15">
        <f t="shared" si="22"/>
        <v>77.010000000000005</v>
      </c>
      <c r="BG22" s="52">
        <v>602</v>
      </c>
      <c r="BH22" s="16">
        <f t="shared" si="8"/>
        <v>2.3259408082837493E-2</v>
      </c>
      <c r="BI22" s="17">
        <f>IF(AND(BD22&lt;&gt;"", BG22&lt;&gt;""), SUM(BG$4:BG22), "")</f>
        <v>6252</v>
      </c>
      <c r="BJ22" s="16">
        <f t="shared" si="9"/>
        <v>0.24155783942508308</v>
      </c>
      <c r="BK22" s="14"/>
      <c r="BL22" s="27">
        <v>31</v>
      </c>
      <c r="BM22" s="20">
        <v>57</v>
      </c>
      <c r="BN22" s="8"/>
      <c r="BO22" s="49">
        <v>56</v>
      </c>
      <c r="BP22" s="83">
        <f t="shared" si="32"/>
        <v>4</v>
      </c>
      <c r="BQ22" s="15">
        <f t="shared" si="23"/>
        <v>72.239999999999995</v>
      </c>
      <c r="BR22" s="52">
        <v>959</v>
      </c>
      <c r="BS22" s="16">
        <f t="shared" si="10"/>
        <v>2.476628273332989E-2</v>
      </c>
      <c r="BT22" s="17">
        <f>IF(AND(BO22&lt;&gt;"", BR22&lt;&gt;""), SUM(BR$4:BR22), "")</f>
        <v>11230</v>
      </c>
      <c r="BU22" s="16">
        <f t="shared" si="11"/>
        <v>0.29001601156965034</v>
      </c>
      <c r="BV22" s="14"/>
      <c r="BW22" s="27">
        <v>31</v>
      </c>
      <c r="BX22" s="20">
        <v>56</v>
      </c>
      <c r="BY22" s="8"/>
      <c r="BZ22" s="49">
        <v>55</v>
      </c>
      <c r="CA22" s="83">
        <f t="shared" si="33"/>
        <v>4</v>
      </c>
      <c r="CB22" s="15">
        <f t="shared" si="24"/>
        <v>69.400000000000006</v>
      </c>
      <c r="CC22" s="52">
        <v>1094</v>
      </c>
      <c r="CD22" s="16">
        <f t="shared" si="12"/>
        <v>2.2800216747947147E-2</v>
      </c>
      <c r="CE22" s="17">
        <f>IF(AND(BZ22&lt;&gt;"", CC22&lt;&gt;""), SUM(CC$4:CC22), "")</f>
        <v>15229</v>
      </c>
      <c r="CF22" s="16">
        <f t="shared" si="13"/>
        <v>0.3173898545287816</v>
      </c>
      <c r="CG22" s="14"/>
      <c r="CH22" s="27">
        <v>31</v>
      </c>
      <c r="CI22" s="20">
        <v>57</v>
      </c>
      <c r="CJ22" s="8"/>
      <c r="CK22" s="49">
        <v>56</v>
      </c>
      <c r="CL22" s="83">
        <f t="shared" si="34"/>
        <v>4</v>
      </c>
      <c r="CM22" s="15">
        <f t="shared" si="25"/>
        <v>71.86</v>
      </c>
      <c r="CN22" s="52">
        <v>1948</v>
      </c>
      <c r="CO22" s="16">
        <f t="shared" si="14"/>
        <v>2.3295583645256576E-2</v>
      </c>
      <c r="CP22" s="17">
        <f>IF(AND(CK22&lt;&gt;"", CN22&lt;&gt;""), SUM(CN$4:CN22), "")</f>
        <v>24501</v>
      </c>
      <c r="CQ22" s="16">
        <f t="shared" si="15"/>
        <v>0.29300056205976965</v>
      </c>
      <c r="CR22" s="14"/>
      <c r="CS22" s="27">
        <v>31</v>
      </c>
      <c r="CT22" s="20">
        <v>60</v>
      </c>
      <c r="CU22" s="8"/>
      <c r="CV22" s="49">
        <v>59</v>
      </c>
      <c r="CW22" s="83">
        <f t="shared" si="35"/>
        <v>3</v>
      </c>
      <c r="CX22" s="15">
        <f t="shared" si="26"/>
        <v>80.52</v>
      </c>
      <c r="CY22" s="52">
        <v>1261</v>
      </c>
      <c r="CZ22" s="16">
        <f t="shared" si="16"/>
        <v>1.6950747392192708E-2</v>
      </c>
      <c r="DA22" s="17">
        <f>IF(AND(CV22&lt;&gt;"", CY22&lt;&gt;""), SUM(CY$4:CY22), "")</f>
        <v>15125</v>
      </c>
      <c r="DB22" s="16">
        <f t="shared" si="17"/>
        <v>0.20331487256694269</v>
      </c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</row>
    <row r="23" spans="1:180" ht="16" customHeight="1" x14ac:dyDescent="0.2">
      <c r="A23" s="139"/>
      <c r="B23" s="7" t="s">
        <v>29</v>
      </c>
      <c r="C23" s="44">
        <v>16.745185966763302</v>
      </c>
      <c r="D23" s="44">
        <v>10.267124003619299</v>
      </c>
      <c r="E23" s="1"/>
      <c r="F23" s="27">
        <v>30</v>
      </c>
      <c r="G23" s="27">
        <v>7</v>
      </c>
      <c r="H23" s="1"/>
      <c r="I23" s="85">
        <v>10</v>
      </c>
      <c r="J23" s="85">
        <v>7</v>
      </c>
      <c r="K23" s="70"/>
      <c r="L23" s="70"/>
      <c r="M23" s="70"/>
      <c r="N23"/>
      <c r="O23" s="38">
        <v>115</v>
      </c>
      <c r="P23" s="83">
        <f t="shared" si="27"/>
        <v>4</v>
      </c>
      <c r="Q23" s="15">
        <f t="shared" si="18"/>
        <v>72.72</v>
      </c>
      <c r="R23" s="43">
        <v>4902</v>
      </c>
      <c r="S23" s="16">
        <f t="shared" si="0"/>
        <v>1.7083115525352847E-2</v>
      </c>
      <c r="T23" s="17">
        <f>IF(AND(O23&lt;&gt;"", R23&lt;&gt;""), SUM(R$4:R23), "")</f>
        <v>80735</v>
      </c>
      <c r="U23" s="16">
        <f t="shared" si="1"/>
        <v>0.28135563687053494</v>
      </c>
      <c r="W23" s="38">
        <v>141</v>
      </c>
      <c r="X23" s="83">
        <f t="shared" si="28"/>
        <v>1</v>
      </c>
      <c r="Y23" s="15">
        <f t="shared" si="19"/>
        <v>97.59</v>
      </c>
      <c r="Z23" s="43">
        <v>651</v>
      </c>
      <c r="AA23" s="16">
        <f t="shared" si="2"/>
        <v>2.2762317350759967E-3</v>
      </c>
      <c r="AB23" s="17">
        <f>IF(AND(W23&lt;&gt;"", Z23&lt;&gt;""), SUM(Z$4:Z23), "")</f>
        <v>7213</v>
      </c>
      <c r="AC23" s="16">
        <f t="shared" si="3"/>
        <v>2.5220367903384278E-2</v>
      </c>
      <c r="AD23" s="1"/>
      <c r="AE23" s="19">
        <v>30</v>
      </c>
      <c r="AF23" s="20">
        <v>53</v>
      </c>
      <c r="AG23" s="8"/>
      <c r="AH23" s="49">
        <v>51</v>
      </c>
      <c r="AI23" s="83">
        <f t="shared" si="29"/>
        <v>5</v>
      </c>
      <c r="AJ23" s="15">
        <f t="shared" si="20"/>
        <v>50.37</v>
      </c>
      <c r="AK23" s="52">
        <v>2416</v>
      </c>
      <c r="AL23" s="16">
        <f t="shared" si="4"/>
        <v>2.513969387011852E-2</v>
      </c>
      <c r="AM23" s="17">
        <f>IF(AND(AH23&lt;&gt;"", AK23&lt;&gt;""), SUM(AK$4:AK23), "")</f>
        <v>48907</v>
      </c>
      <c r="AN23" s="16">
        <f t="shared" si="5"/>
        <v>0.50890190732859542</v>
      </c>
      <c r="AO23" s="14"/>
      <c r="AP23" s="27">
        <v>30</v>
      </c>
      <c r="AQ23" s="20">
        <v>57</v>
      </c>
      <c r="AR23" s="8"/>
      <c r="AS23" s="49">
        <v>54</v>
      </c>
      <c r="AT23" s="83">
        <f t="shared" si="30"/>
        <v>4</v>
      </c>
      <c r="AU23" s="15">
        <f t="shared" si="21"/>
        <v>67.150000000000006</v>
      </c>
      <c r="AV23" s="52">
        <v>447</v>
      </c>
      <c r="AW23" s="16">
        <f t="shared" si="6"/>
        <v>1.9548674888480715E-2</v>
      </c>
      <c r="AX23" s="17">
        <f>IF(AND(AS23&lt;&gt;"", AV23&lt;&gt;""), SUM(AV$4:AV23), "")</f>
        <v>7736</v>
      </c>
      <c r="AY23" s="16">
        <f t="shared" si="7"/>
        <v>0.33831890142569754</v>
      </c>
      <c r="AZ23" s="14"/>
      <c r="BA23" s="27">
        <v>30</v>
      </c>
      <c r="BB23" s="20">
        <v>58</v>
      </c>
      <c r="BC23" s="8"/>
      <c r="BD23" s="49">
        <v>56</v>
      </c>
      <c r="BE23" s="83">
        <f t="shared" si="31"/>
        <v>4</v>
      </c>
      <c r="BF23" s="15">
        <f t="shared" si="22"/>
        <v>74.78</v>
      </c>
      <c r="BG23" s="52">
        <v>552</v>
      </c>
      <c r="BH23" s="16">
        <f t="shared" si="8"/>
        <v>2.1327563557684878E-2</v>
      </c>
      <c r="BI23" s="17">
        <f>IF(AND(BD23&lt;&gt;"", BG23&lt;&gt;""), SUM(BG$4:BG23), "")</f>
        <v>6804</v>
      </c>
      <c r="BJ23" s="16">
        <f t="shared" si="9"/>
        <v>0.26288540298276797</v>
      </c>
      <c r="BK23" s="14"/>
      <c r="BL23" s="27">
        <v>30</v>
      </c>
      <c r="BM23" s="20">
        <v>56</v>
      </c>
      <c r="BN23" s="8"/>
      <c r="BO23" s="49">
        <v>55</v>
      </c>
      <c r="BP23" s="83">
        <f t="shared" si="32"/>
        <v>4</v>
      </c>
      <c r="BQ23" s="15">
        <f t="shared" si="23"/>
        <v>69.63</v>
      </c>
      <c r="BR23" s="52">
        <v>1057</v>
      </c>
      <c r="BS23" s="16">
        <f t="shared" si="10"/>
        <v>2.7297143742575282E-2</v>
      </c>
      <c r="BT23" s="17">
        <f>IF(AND(BO23&lt;&gt;"", BR23&lt;&gt;""), SUM(BR$4:BR23), "")</f>
        <v>12287</v>
      </c>
      <c r="BU23" s="16">
        <f t="shared" si="11"/>
        <v>0.31731315531222559</v>
      </c>
      <c r="BV23" s="14"/>
      <c r="BW23" s="27">
        <v>30</v>
      </c>
      <c r="BX23" s="20">
        <v>55</v>
      </c>
      <c r="BY23" s="8"/>
      <c r="BZ23" s="49">
        <v>54</v>
      </c>
      <c r="CA23" s="83">
        <f t="shared" si="33"/>
        <v>4</v>
      </c>
      <c r="CB23" s="15">
        <f t="shared" si="24"/>
        <v>67</v>
      </c>
      <c r="CC23" s="52">
        <v>1213</v>
      </c>
      <c r="CD23" s="16">
        <f t="shared" si="12"/>
        <v>2.5280313450877414E-2</v>
      </c>
      <c r="CE23" s="17">
        <f>IF(AND(BZ23&lt;&gt;"", CC23&lt;&gt;""), SUM(CC$4:CC23), "")</f>
        <v>16442</v>
      </c>
      <c r="CF23" s="16">
        <f t="shared" si="13"/>
        <v>0.34267016797965905</v>
      </c>
      <c r="CG23" s="14"/>
      <c r="CH23" s="27">
        <v>30</v>
      </c>
      <c r="CI23" s="20">
        <v>56</v>
      </c>
      <c r="CJ23" s="8"/>
      <c r="CK23" s="49">
        <v>55</v>
      </c>
      <c r="CL23" s="83">
        <f t="shared" si="34"/>
        <v>4</v>
      </c>
      <c r="CM23" s="15">
        <f t="shared" si="25"/>
        <v>68.19</v>
      </c>
      <c r="CN23" s="52">
        <v>4200</v>
      </c>
      <c r="CO23" s="16">
        <f t="shared" si="14"/>
        <v>5.0226617715645593E-2</v>
      </c>
      <c r="CP23" s="17">
        <f>IF(AND(CK23&lt;&gt;"", CN23&lt;&gt;""), SUM(CN$4:CN23), "")</f>
        <v>28701</v>
      </c>
      <c r="CQ23" s="16">
        <f t="shared" si="15"/>
        <v>0.34322717977541528</v>
      </c>
      <c r="CR23" s="14"/>
      <c r="CS23" s="27">
        <v>30</v>
      </c>
      <c r="CT23" s="20">
        <v>59</v>
      </c>
      <c r="CU23" s="8"/>
      <c r="CV23" s="49">
        <v>58</v>
      </c>
      <c r="CW23" s="83">
        <f t="shared" si="35"/>
        <v>3</v>
      </c>
      <c r="CX23" s="15">
        <f t="shared" si="26"/>
        <v>78.67</v>
      </c>
      <c r="CY23" s="52">
        <v>1480</v>
      </c>
      <c r="CZ23" s="16">
        <f t="shared" si="16"/>
        <v>1.9894612323905797E-2</v>
      </c>
      <c r="DA23" s="17">
        <f>IF(AND(CV23&lt;&gt;"", CY23&lt;&gt;""), SUM(CY$4:CY23), "")</f>
        <v>16605</v>
      </c>
      <c r="DB23" s="16">
        <f t="shared" si="17"/>
        <v>0.22320948489084849</v>
      </c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</row>
    <row r="24" spans="1:180" ht="16" customHeight="1" x14ac:dyDescent="0.2">
      <c r="A24" s="139"/>
      <c r="B24" s="7" t="s">
        <v>31</v>
      </c>
      <c r="C24" s="44">
        <v>16.338200659444102</v>
      </c>
      <c r="D24" s="44">
        <v>10.874875474818101</v>
      </c>
      <c r="E24" s="1"/>
      <c r="F24" s="27">
        <v>20</v>
      </c>
      <c r="G24" s="27">
        <v>8</v>
      </c>
      <c r="H24" s="1"/>
      <c r="I24" s="85">
        <v>5</v>
      </c>
      <c r="J24" s="85">
        <v>8</v>
      </c>
      <c r="K24" s="70"/>
      <c r="L24" s="70"/>
      <c r="M24" s="70"/>
      <c r="N24"/>
      <c r="O24" s="38">
        <v>114</v>
      </c>
      <c r="P24" s="83">
        <f t="shared" si="27"/>
        <v>4</v>
      </c>
      <c r="Q24" s="15">
        <f t="shared" si="18"/>
        <v>70.86</v>
      </c>
      <c r="R24" s="43">
        <v>5746</v>
      </c>
      <c r="S24" s="16">
        <f t="shared" si="0"/>
        <v>2.0024394493814254E-2</v>
      </c>
      <c r="T24" s="17">
        <f>IF(AND(O24&lt;&gt;"", R24&lt;&gt;""), SUM(R$4:R24), "")</f>
        <v>86481</v>
      </c>
      <c r="U24" s="16">
        <f t="shared" si="1"/>
        <v>0.30138003136434921</v>
      </c>
      <c r="W24" s="38">
        <v>140</v>
      </c>
      <c r="X24" s="83">
        <f t="shared" si="28"/>
        <v>1</v>
      </c>
      <c r="Y24" s="15">
        <f t="shared" si="19"/>
        <v>97.4</v>
      </c>
      <c r="Z24" s="43">
        <v>433</v>
      </c>
      <c r="AA24" s="16">
        <f t="shared" si="2"/>
        <v>1.5139913076619149E-3</v>
      </c>
      <c r="AB24" s="17">
        <f>IF(AND(W24&lt;&gt;"", Z24&lt;&gt;""), SUM(Z$4:Z24), "")</f>
        <v>7646</v>
      </c>
      <c r="AC24" s="16">
        <f t="shared" si="3"/>
        <v>2.6734359211046194E-2</v>
      </c>
      <c r="AD24" s="1"/>
      <c r="AE24" s="19">
        <v>29</v>
      </c>
      <c r="AF24" s="20">
        <v>52</v>
      </c>
      <c r="AG24" s="8"/>
      <c r="AH24" s="49">
        <v>50</v>
      </c>
      <c r="AI24" s="83">
        <f t="shared" si="29"/>
        <v>5</v>
      </c>
      <c r="AJ24" s="15">
        <f t="shared" si="20"/>
        <v>47.77</v>
      </c>
      <c r="AK24" s="52">
        <v>2578</v>
      </c>
      <c r="AL24" s="16">
        <f t="shared" si="4"/>
        <v>2.682538526372746E-2</v>
      </c>
      <c r="AM24" s="17">
        <f>IF(AND(AH24&lt;&gt;"", AK24&lt;&gt;""), SUM(AK$4:AK24), "")</f>
        <v>51485</v>
      </c>
      <c r="AN24" s="16">
        <f t="shared" si="5"/>
        <v>0.53572729259232277</v>
      </c>
      <c r="AO24" s="14"/>
      <c r="AP24" s="27">
        <v>29</v>
      </c>
      <c r="AQ24" s="20">
        <v>56</v>
      </c>
      <c r="AR24" s="8"/>
      <c r="AS24" s="49">
        <v>53</v>
      </c>
      <c r="AT24" s="83">
        <f t="shared" si="30"/>
        <v>4</v>
      </c>
      <c r="AU24" s="15">
        <f t="shared" si="21"/>
        <v>65.13</v>
      </c>
      <c r="AV24" s="52">
        <v>475</v>
      </c>
      <c r="AW24" s="16">
        <f t="shared" si="6"/>
        <v>2.0773200384850872E-2</v>
      </c>
      <c r="AX24" s="17">
        <f>IF(AND(AS24&lt;&gt;"", AV24&lt;&gt;""), SUM(AV$4:AV24), "")</f>
        <v>8211</v>
      </c>
      <c r="AY24" s="16">
        <f t="shared" si="7"/>
        <v>0.3590921018105484</v>
      </c>
      <c r="AZ24" s="14"/>
      <c r="BA24" s="27">
        <v>29</v>
      </c>
      <c r="BB24" s="20">
        <v>57</v>
      </c>
      <c r="BC24" s="8"/>
      <c r="BD24" s="49">
        <v>55</v>
      </c>
      <c r="BE24" s="83">
        <f t="shared" si="31"/>
        <v>4</v>
      </c>
      <c r="BF24" s="15">
        <f t="shared" si="22"/>
        <v>72.41</v>
      </c>
      <c r="BG24" s="52">
        <v>673</v>
      </c>
      <c r="BH24" s="16">
        <f t="shared" si="8"/>
        <v>2.6002627308554207E-2</v>
      </c>
      <c r="BI24" s="17">
        <f>IF(AND(BD24&lt;&gt;"", BG24&lt;&gt;""), SUM(BG$4:BG24), "")</f>
        <v>7477</v>
      </c>
      <c r="BJ24" s="16">
        <f t="shared" si="9"/>
        <v>0.28888803029132215</v>
      </c>
      <c r="BK24" s="14"/>
      <c r="BL24" s="27">
        <v>29</v>
      </c>
      <c r="BM24" s="20">
        <v>55</v>
      </c>
      <c r="BN24" s="8"/>
      <c r="BO24" s="49">
        <v>54</v>
      </c>
      <c r="BP24" s="83">
        <f t="shared" si="32"/>
        <v>4</v>
      </c>
      <c r="BQ24" s="15">
        <f t="shared" si="23"/>
        <v>66.989999999999995</v>
      </c>
      <c r="BR24" s="52">
        <v>992</v>
      </c>
      <c r="BS24" s="16">
        <f t="shared" si="10"/>
        <v>2.5618511440524766E-2</v>
      </c>
      <c r="BT24" s="17">
        <f>IF(AND(BO24&lt;&gt;"", BR24&lt;&gt;""), SUM(BR$4:BR24), "")</f>
        <v>13279</v>
      </c>
      <c r="BU24" s="16">
        <f t="shared" si="11"/>
        <v>0.34293166675275039</v>
      </c>
      <c r="BV24" s="14"/>
      <c r="BW24" s="27">
        <v>29</v>
      </c>
      <c r="BX24" s="20">
        <v>54</v>
      </c>
      <c r="BY24" s="8"/>
      <c r="BZ24" s="49">
        <v>53</v>
      </c>
      <c r="CA24" s="83">
        <f t="shared" si="33"/>
        <v>4</v>
      </c>
      <c r="CB24" s="15">
        <f t="shared" si="24"/>
        <v>64.349999999999994</v>
      </c>
      <c r="CC24" s="52">
        <v>1328</v>
      </c>
      <c r="CD24" s="16">
        <f t="shared" si="12"/>
        <v>2.7677045558751199E-2</v>
      </c>
      <c r="CE24" s="17">
        <f>IF(AND(BZ24&lt;&gt;"", CC24&lt;&gt;""), SUM(CC$4:CC24), "")</f>
        <v>17770</v>
      </c>
      <c r="CF24" s="16">
        <f t="shared" si="13"/>
        <v>0.37034721353841021</v>
      </c>
      <c r="CG24" s="14"/>
      <c r="CH24" s="27">
        <v>29</v>
      </c>
      <c r="CI24" s="20">
        <v>55</v>
      </c>
      <c r="CJ24" s="8"/>
      <c r="CK24" s="49">
        <v>54</v>
      </c>
      <c r="CL24" s="83">
        <f t="shared" si="34"/>
        <v>4</v>
      </c>
      <c r="CM24" s="15">
        <f t="shared" si="25"/>
        <v>64.3</v>
      </c>
      <c r="CN24" s="52">
        <v>2305</v>
      </c>
      <c r="CO24" s="16">
        <f t="shared" si="14"/>
        <v>2.7564846151086449E-2</v>
      </c>
      <c r="CP24" s="17">
        <f>IF(AND(CK24&lt;&gt;"", CN24&lt;&gt;""), SUM(CN$4:CN24), "")</f>
        <v>31006</v>
      </c>
      <c r="CQ24" s="16">
        <f t="shared" si="15"/>
        <v>0.37079202592650173</v>
      </c>
      <c r="CR24" s="14"/>
      <c r="CS24" s="27">
        <v>29</v>
      </c>
      <c r="CT24" s="20">
        <v>58</v>
      </c>
      <c r="CU24" s="8"/>
      <c r="CV24" s="49">
        <v>57</v>
      </c>
      <c r="CW24" s="83">
        <f t="shared" si="35"/>
        <v>3</v>
      </c>
      <c r="CX24" s="15">
        <f t="shared" si="26"/>
        <v>76.75</v>
      </c>
      <c r="CY24" s="52">
        <v>1384</v>
      </c>
      <c r="CZ24" s="16">
        <f t="shared" si="16"/>
        <v>1.8604150983976771E-2</v>
      </c>
      <c r="DA24" s="17">
        <f>IF(AND(CV24&lt;&gt;"", CY24&lt;&gt;""), SUM(CY$4:CY24), "")</f>
        <v>17989</v>
      </c>
      <c r="DB24" s="16">
        <f t="shared" si="17"/>
        <v>0.24181363587482524</v>
      </c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</row>
    <row r="25" spans="1:180" ht="16" customHeight="1" x14ac:dyDescent="0.2">
      <c r="A25" s="139"/>
      <c r="B25" s="7" t="s">
        <v>32</v>
      </c>
      <c r="C25" s="44">
        <v>27.71</v>
      </c>
      <c r="D25" s="44">
        <v>12.28</v>
      </c>
      <c r="E25" s="1"/>
      <c r="F25" s="27">
        <v>0</v>
      </c>
      <c r="G25" s="27">
        <v>9</v>
      </c>
      <c r="H25" s="1"/>
      <c r="I25" s="85">
        <v>0</v>
      </c>
      <c r="J25" s="85">
        <v>9</v>
      </c>
      <c r="K25" s="70"/>
      <c r="L25" s="70"/>
      <c r="M25" s="70"/>
      <c r="N25"/>
      <c r="O25" s="38">
        <v>113</v>
      </c>
      <c r="P25" s="83">
        <f t="shared" si="27"/>
        <v>4</v>
      </c>
      <c r="Q25" s="15">
        <f t="shared" si="18"/>
        <v>69.069999999999993</v>
      </c>
      <c r="R25" s="43">
        <v>4546</v>
      </c>
      <c r="S25" s="16">
        <f t="shared" si="0"/>
        <v>1.5842481268513679E-2</v>
      </c>
      <c r="T25" s="17">
        <f>IF(AND(O25&lt;&gt;"", R25&lt;&gt;""), SUM(R$4:R25), "")</f>
        <v>91027</v>
      </c>
      <c r="U25" s="16">
        <f t="shared" si="1"/>
        <v>0.31722251263286289</v>
      </c>
      <c r="W25" s="38">
        <v>139</v>
      </c>
      <c r="X25" s="83">
        <f t="shared" si="28"/>
        <v>1</v>
      </c>
      <c r="Y25" s="15">
        <f t="shared" si="19"/>
        <v>97.12</v>
      </c>
      <c r="Z25" s="43">
        <v>1187</v>
      </c>
      <c r="AA25" s="16">
        <f t="shared" si="2"/>
        <v>4.1503641621124547E-3</v>
      </c>
      <c r="AB25" s="17">
        <f>IF(AND(W25&lt;&gt;"", Z25&lt;&gt;""), SUM(Z$4:Z25), "")</f>
        <v>8833</v>
      </c>
      <c r="AC25" s="16">
        <f t="shared" si="3"/>
        <v>3.0884723373158646E-2</v>
      </c>
      <c r="AD25" s="1"/>
      <c r="AE25" s="19">
        <v>28</v>
      </c>
      <c r="AF25" s="20">
        <v>52</v>
      </c>
      <c r="AG25" s="8"/>
      <c r="AH25" s="49">
        <v>49</v>
      </c>
      <c r="AI25" s="83">
        <f t="shared" si="29"/>
        <v>5</v>
      </c>
      <c r="AJ25" s="15">
        <f t="shared" si="20"/>
        <v>45.23</v>
      </c>
      <c r="AK25" s="52">
        <v>2298</v>
      </c>
      <c r="AL25" s="16">
        <f t="shared" si="4"/>
        <v>2.391184458341571E-2</v>
      </c>
      <c r="AM25" s="17">
        <f>IF(AND(AH25&lt;&gt;"", AK25&lt;&gt;""), SUM(AK$4:AK25), "")</f>
        <v>53783</v>
      </c>
      <c r="AN25" s="16">
        <f t="shared" si="5"/>
        <v>0.55963913717573854</v>
      </c>
      <c r="AO25" s="14"/>
      <c r="AP25" s="27">
        <v>28</v>
      </c>
      <c r="AQ25" s="20">
        <v>55</v>
      </c>
      <c r="AR25" s="8"/>
      <c r="AS25" s="49">
        <v>52</v>
      </c>
      <c r="AT25" s="83">
        <f t="shared" si="30"/>
        <v>4</v>
      </c>
      <c r="AU25" s="15">
        <f t="shared" si="21"/>
        <v>62.85</v>
      </c>
      <c r="AV25" s="52">
        <v>567</v>
      </c>
      <c r="AW25" s="16">
        <f t="shared" si="6"/>
        <v>2.479664130149567E-2</v>
      </c>
      <c r="AX25" s="17">
        <f>IF(AND(AS25&lt;&gt;"", AV25&lt;&gt;""), SUM(AV$4:AV25), "")</f>
        <v>8778</v>
      </c>
      <c r="AY25" s="16">
        <f t="shared" si="7"/>
        <v>0.38388874311204407</v>
      </c>
      <c r="AZ25" s="14"/>
      <c r="BA25" s="27">
        <v>28</v>
      </c>
      <c r="BB25" s="20">
        <v>56</v>
      </c>
      <c r="BC25" s="8"/>
      <c r="BD25" s="49">
        <v>54</v>
      </c>
      <c r="BE25" s="83">
        <f t="shared" si="31"/>
        <v>4</v>
      </c>
      <c r="BF25" s="15">
        <f t="shared" si="22"/>
        <v>69.81</v>
      </c>
      <c r="BG25" s="52">
        <v>674</v>
      </c>
      <c r="BH25" s="16">
        <f t="shared" si="8"/>
        <v>2.6041264199057258E-2</v>
      </c>
      <c r="BI25" s="17">
        <f>IF(AND(BD25&lt;&gt;"", BG25&lt;&gt;""), SUM(BG$4:BG25), "")</f>
        <v>8151</v>
      </c>
      <c r="BJ25" s="16">
        <f t="shared" si="9"/>
        <v>0.31492929449037943</v>
      </c>
      <c r="BK25" s="14"/>
      <c r="BL25" s="27">
        <v>28</v>
      </c>
      <c r="BM25" s="20">
        <v>54</v>
      </c>
      <c r="BN25" s="8"/>
      <c r="BO25" s="49">
        <v>53</v>
      </c>
      <c r="BP25" s="83">
        <f t="shared" si="32"/>
        <v>4</v>
      </c>
      <c r="BQ25" s="15">
        <f t="shared" si="23"/>
        <v>64.290000000000006</v>
      </c>
      <c r="BR25" s="52">
        <v>1094</v>
      </c>
      <c r="BS25" s="16">
        <f t="shared" si="10"/>
        <v>2.8252672899127113E-2</v>
      </c>
      <c r="BT25" s="17">
        <f>IF(AND(BO25&lt;&gt;"", BR25&lt;&gt;""), SUM(BR$4:BR25), "")</f>
        <v>14373</v>
      </c>
      <c r="BU25" s="16">
        <f t="shared" si="11"/>
        <v>0.37118433965187747</v>
      </c>
      <c r="BV25" s="14"/>
      <c r="BW25" s="27">
        <v>28</v>
      </c>
      <c r="BX25" s="20">
        <v>53</v>
      </c>
      <c r="BY25" s="8"/>
      <c r="BZ25" s="49">
        <v>52</v>
      </c>
      <c r="CA25" s="83">
        <f t="shared" si="33"/>
        <v>4</v>
      </c>
      <c r="CB25" s="15">
        <f t="shared" si="24"/>
        <v>60.17</v>
      </c>
      <c r="CC25" s="52">
        <v>2686</v>
      </c>
      <c r="CD25" s="16">
        <f t="shared" si="12"/>
        <v>5.5979325580425995E-2</v>
      </c>
      <c r="CE25" s="17">
        <f>IF(AND(BZ25&lt;&gt;"", CC25&lt;&gt;""), SUM(CC$4:CC25), "")</f>
        <v>20456</v>
      </c>
      <c r="CF25" s="16">
        <f t="shared" si="13"/>
        <v>0.42632653911883622</v>
      </c>
      <c r="CG25" s="14"/>
      <c r="CH25" s="27">
        <v>28</v>
      </c>
      <c r="CI25" s="20">
        <v>55</v>
      </c>
      <c r="CJ25" s="8"/>
      <c r="CK25" s="49">
        <v>53</v>
      </c>
      <c r="CL25" s="83">
        <f t="shared" si="34"/>
        <v>4</v>
      </c>
      <c r="CM25" s="15">
        <f t="shared" si="25"/>
        <v>61.58</v>
      </c>
      <c r="CN25" s="52">
        <v>2236</v>
      </c>
      <c r="CO25" s="16">
        <f t="shared" si="14"/>
        <v>2.6739694574329415E-2</v>
      </c>
      <c r="CP25" s="17">
        <f>IF(AND(CK25&lt;&gt;"", CN25&lt;&gt;""), SUM(CN$4:CN25), "")</f>
        <v>33242</v>
      </c>
      <c r="CQ25" s="16">
        <f t="shared" si="15"/>
        <v>0.39753172050083113</v>
      </c>
      <c r="CR25" s="14"/>
      <c r="CS25" s="27">
        <v>28</v>
      </c>
      <c r="CT25" s="20">
        <v>57</v>
      </c>
      <c r="CU25" s="8"/>
      <c r="CV25" s="49">
        <v>56</v>
      </c>
      <c r="CW25" s="83">
        <f t="shared" si="35"/>
        <v>4</v>
      </c>
      <c r="CX25" s="15">
        <f t="shared" si="26"/>
        <v>74.739999999999995</v>
      </c>
      <c r="CY25" s="52">
        <v>1612</v>
      </c>
      <c r="CZ25" s="16">
        <f t="shared" si="16"/>
        <v>2.1668996666308206E-2</v>
      </c>
      <c r="DA25" s="17">
        <f>IF(AND(CV25&lt;&gt;"", CY25&lt;&gt;""), SUM(CY$4:CY25), "")</f>
        <v>19601</v>
      </c>
      <c r="DB25" s="16">
        <f t="shared" si="17"/>
        <v>0.26348263254113347</v>
      </c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</row>
    <row r="26" spans="1:180" ht="16" customHeight="1" x14ac:dyDescent="0.2">
      <c r="A26" s="139"/>
      <c r="B26" s="7" t="s">
        <v>33</v>
      </c>
      <c r="C26" s="44">
        <v>14.0083761660003</v>
      </c>
      <c r="D26" s="44">
        <v>10.080785728314501</v>
      </c>
      <c r="E26" s="1"/>
      <c r="F26" s="1"/>
      <c r="G26" s="1"/>
      <c r="H26" s="1"/>
      <c r="I26" s="1"/>
      <c r="J26" s="1"/>
      <c r="K26" s="1"/>
      <c r="L26" s="1"/>
      <c r="M26" s="1"/>
      <c r="N26"/>
      <c r="O26" s="38">
        <v>112</v>
      </c>
      <c r="P26" s="83">
        <f t="shared" si="27"/>
        <v>4</v>
      </c>
      <c r="Q26" s="15">
        <f t="shared" si="18"/>
        <v>67.349999999999994</v>
      </c>
      <c r="R26" s="43">
        <v>5300</v>
      </c>
      <c r="S26" s="16">
        <f t="shared" si="0"/>
        <v>1.847011674507754E-2</v>
      </c>
      <c r="T26" s="17">
        <f>IF(AND(O26&lt;&gt;"", R26&lt;&gt;""), SUM(R$4:R26), "")</f>
        <v>96327</v>
      </c>
      <c r="U26" s="16">
        <f t="shared" si="1"/>
        <v>0.33569262937794042</v>
      </c>
      <c r="W26" s="38">
        <v>138</v>
      </c>
      <c r="X26" s="83">
        <f t="shared" si="28"/>
        <v>1</v>
      </c>
      <c r="Y26" s="15">
        <f t="shared" si="19"/>
        <v>96.39</v>
      </c>
      <c r="Z26" s="43">
        <v>2967</v>
      </c>
      <c r="AA26" s="16">
        <f t="shared" si="2"/>
        <v>1.0374162147420096E-2</v>
      </c>
      <c r="AB26" s="17">
        <f>IF(AND(W26&lt;&gt;"", Z26&lt;&gt;""), SUM(Z$4:Z26), "")</f>
        <v>11800</v>
      </c>
      <c r="AC26" s="16">
        <f t="shared" si="3"/>
        <v>4.1258885520578742E-2</v>
      </c>
      <c r="AD26" s="1"/>
      <c r="AE26" s="19">
        <v>27</v>
      </c>
      <c r="AF26" s="20">
        <v>51</v>
      </c>
      <c r="AG26" s="8"/>
      <c r="AH26" s="49">
        <v>48</v>
      </c>
      <c r="AI26" s="83">
        <f t="shared" si="29"/>
        <v>5</v>
      </c>
      <c r="AJ26" s="15">
        <f t="shared" si="20"/>
        <v>42.82</v>
      </c>
      <c r="AK26" s="52">
        <v>2343</v>
      </c>
      <c r="AL26" s="16">
        <f t="shared" si="4"/>
        <v>2.4380092192751526E-2</v>
      </c>
      <c r="AM26" s="17">
        <f>IF(AND(AH26&lt;&gt;"", AK26&lt;&gt;""), SUM(AK$4:AK26), "")</f>
        <v>56126</v>
      </c>
      <c r="AN26" s="16">
        <f t="shared" si="5"/>
        <v>0.58401922936849004</v>
      </c>
      <c r="AO26" s="14"/>
      <c r="AP26" s="27">
        <v>27</v>
      </c>
      <c r="AQ26" s="20">
        <v>55</v>
      </c>
      <c r="AR26" s="8"/>
      <c r="AS26" s="49">
        <v>51</v>
      </c>
      <c r="AT26" s="83">
        <f t="shared" si="30"/>
        <v>4</v>
      </c>
      <c r="AU26" s="15">
        <f t="shared" si="21"/>
        <v>59.46</v>
      </c>
      <c r="AV26" s="52">
        <v>982</v>
      </c>
      <c r="AW26" s="16">
        <f t="shared" si="6"/>
        <v>4.2945858479839061E-2</v>
      </c>
      <c r="AX26" s="17">
        <f>IF(AND(AS26&lt;&gt;"", AV26&lt;&gt;""), SUM(AV$4:AV26), "")</f>
        <v>9760</v>
      </c>
      <c r="AY26" s="16">
        <f t="shared" si="7"/>
        <v>0.42683460159188313</v>
      </c>
      <c r="AZ26" s="14"/>
      <c r="BA26" s="27">
        <v>27</v>
      </c>
      <c r="BB26" s="20">
        <v>55</v>
      </c>
      <c r="BC26" s="8"/>
      <c r="BD26" s="49">
        <v>53</v>
      </c>
      <c r="BE26" s="83">
        <f t="shared" si="31"/>
        <v>4</v>
      </c>
      <c r="BF26" s="15">
        <f t="shared" si="22"/>
        <v>67.16</v>
      </c>
      <c r="BG26" s="52">
        <v>699</v>
      </c>
      <c r="BH26" s="16">
        <f t="shared" si="8"/>
        <v>2.7007186461633567E-2</v>
      </c>
      <c r="BI26" s="17">
        <f>IF(AND(BD26&lt;&gt;"", BG26&lt;&gt;""), SUM(BG$4:BG26), "")</f>
        <v>8850</v>
      </c>
      <c r="BJ26" s="16">
        <f t="shared" si="9"/>
        <v>0.34193648095201296</v>
      </c>
      <c r="BK26" s="14"/>
      <c r="BL26" s="27">
        <v>27</v>
      </c>
      <c r="BM26" s="20">
        <v>53</v>
      </c>
      <c r="BN26" s="8"/>
      <c r="BO26" s="49">
        <v>52</v>
      </c>
      <c r="BP26" s="83">
        <f t="shared" si="32"/>
        <v>4</v>
      </c>
      <c r="BQ26" s="15">
        <f t="shared" si="23"/>
        <v>60.08</v>
      </c>
      <c r="BR26" s="52">
        <v>2171</v>
      </c>
      <c r="BS26" s="16">
        <f t="shared" si="10"/>
        <v>5.6066318888487163E-2</v>
      </c>
      <c r="BT26" s="17">
        <f>IF(AND(BO26&lt;&gt;"", BR26&lt;&gt;""), SUM(BR$4:BR26), "")</f>
        <v>16544</v>
      </c>
      <c r="BU26" s="16">
        <f t="shared" si="11"/>
        <v>0.42725065854036465</v>
      </c>
      <c r="BV26" s="14"/>
      <c r="BW26" s="27">
        <v>27</v>
      </c>
      <c r="BX26" s="20">
        <v>52</v>
      </c>
      <c r="BY26" s="8"/>
      <c r="BZ26" s="49">
        <v>51</v>
      </c>
      <c r="CA26" s="83">
        <f t="shared" si="33"/>
        <v>5</v>
      </c>
      <c r="CB26" s="15">
        <f t="shared" si="24"/>
        <v>56.03</v>
      </c>
      <c r="CC26" s="52">
        <v>1279</v>
      </c>
      <c r="CD26" s="16">
        <f t="shared" si="12"/>
        <v>2.6655829269309324E-2</v>
      </c>
      <c r="CE26" s="17">
        <f>IF(AND(BZ26&lt;&gt;"", CC26&lt;&gt;""), SUM(CC$4:CC26), "")</f>
        <v>21735</v>
      </c>
      <c r="CF26" s="16">
        <f t="shared" si="13"/>
        <v>0.45298236838814554</v>
      </c>
      <c r="CG26" s="14"/>
      <c r="CH26" s="27">
        <v>27</v>
      </c>
      <c r="CI26" s="20">
        <v>54</v>
      </c>
      <c r="CJ26" s="8"/>
      <c r="CK26" s="49">
        <v>52</v>
      </c>
      <c r="CL26" s="83">
        <f t="shared" si="34"/>
        <v>4</v>
      </c>
      <c r="CM26" s="15">
        <f t="shared" si="25"/>
        <v>58.86</v>
      </c>
      <c r="CN26" s="52">
        <v>2319</v>
      </c>
      <c r="CO26" s="16">
        <f t="shared" si="14"/>
        <v>2.7732268210138602E-2</v>
      </c>
      <c r="CP26" s="17">
        <f>IF(AND(CK26&lt;&gt;"", CN26&lt;&gt;""), SUM(CN$4:CN26), "")</f>
        <v>35561</v>
      </c>
      <c r="CQ26" s="16">
        <f t="shared" si="15"/>
        <v>0.42526398871096971</v>
      </c>
      <c r="CR26" s="14"/>
      <c r="CS26" s="27">
        <v>27</v>
      </c>
      <c r="CT26" s="20">
        <v>56</v>
      </c>
      <c r="CU26" s="8"/>
      <c r="CV26" s="49">
        <v>55</v>
      </c>
      <c r="CW26" s="83">
        <f t="shared" si="35"/>
        <v>4</v>
      </c>
      <c r="CX26" s="15">
        <f t="shared" si="26"/>
        <v>72.510000000000005</v>
      </c>
      <c r="CY26" s="52">
        <v>1693</v>
      </c>
      <c r="CZ26" s="16">
        <f t="shared" si="16"/>
        <v>2.2757823421873321E-2</v>
      </c>
      <c r="DA26" s="17">
        <f>IF(AND(CV26&lt;&gt;"", CY26&lt;&gt;""), SUM(CY$4:CY26), "")</f>
        <v>21294</v>
      </c>
      <c r="DB26" s="16">
        <f t="shared" si="17"/>
        <v>0.28624045596300679</v>
      </c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</row>
    <row r="27" spans="1:180" ht="16" customHeight="1" thickBot="1" x14ac:dyDescent="0.25">
      <c r="A27" s="1"/>
      <c r="B27" s="1"/>
      <c r="C27" s="1"/>
      <c r="D27" s="1"/>
      <c r="E27" s="1"/>
      <c r="F27" s="117" t="s">
        <v>5</v>
      </c>
      <c r="G27" s="118"/>
      <c r="H27" s="36"/>
      <c r="I27" s="117" t="s">
        <v>20</v>
      </c>
      <c r="J27" s="118"/>
      <c r="K27" s="36"/>
      <c r="L27" s="117" t="s">
        <v>6</v>
      </c>
      <c r="M27" s="118"/>
      <c r="N27"/>
      <c r="O27" s="38">
        <v>111</v>
      </c>
      <c r="P27" s="83">
        <f t="shared" si="27"/>
        <v>4</v>
      </c>
      <c r="Q27" s="15">
        <f t="shared" si="18"/>
        <v>65.489999999999995</v>
      </c>
      <c r="R27" s="43">
        <v>5411</v>
      </c>
      <c r="S27" s="16">
        <f t="shared" si="0"/>
        <v>1.8856943718417844E-2</v>
      </c>
      <c r="T27" s="17">
        <f>IF(AND(O27&lt;&gt;"", R27&lt;&gt;""), SUM(R$4:R27), "")</f>
        <v>101738</v>
      </c>
      <c r="U27" s="16">
        <f t="shared" si="1"/>
        <v>0.35454957309635826</v>
      </c>
      <c r="W27" s="38">
        <v>137</v>
      </c>
      <c r="X27" s="83">
        <f t="shared" si="28"/>
        <v>2</v>
      </c>
      <c r="Y27" s="15">
        <f t="shared" si="19"/>
        <v>95.81</v>
      </c>
      <c r="Z27" s="43">
        <v>392</v>
      </c>
      <c r="AA27" s="16">
        <f t="shared" si="2"/>
        <v>1.3706341630565142E-3</v>
      </c>
      <c r="AB27" s="17">
        <f>IF(AND(W27&lt;&gt;"", Z27&lt;&gt;""), SUM(Z$4:Z27), "")</f>
        <v>12192</v>
      </c>
      <c r="AC27" s="16">
        <f t="shared" si="3"/>
        <v>4.2629519683635257E-2</v>
      </c>
      <c r="AD27" s="1"/>
      <c r="AE27" s="19">
        <v>26</v>
      </c>
      <c r="AF27" s="20">
        <v>50</v>
      </c>
      <c r="AG27" s="8"/>
      <c r="AH27" s="49">
        <v>47</v>
      </c>
      <c r="AI27" s="83">
        <f t="shared" si="29"/>
        <v>5</v>
      </c>
      <c r="AJ27" s="15">
        <f t="shared" si="20"/>
        <v>40.4</v>
      </c>
      <c r="AK27" s="52">
        <v>2307</v>
      </c>
      <c r="AL27" s="16">
        <f t="shared" si="4"/>
        <v>2.4005494105282875E-2</v>
      </c>
      <c r="AM27" s="17">
        <f>IF(AND(AH27&lt;&gt;"", AK27&lt;&gt;""), SUM(AK$4:AK27), "")</f>
        <v>58433</v>
      </c>
      <c r="AN27" s="16">
        <f t="shared" si="5"/>
        <v>0.6080247234737729</v>
      </c>
      <c r="AO27" s="14"/>
      <c r="AP27" s="27">
        <v>26</v>
      </c>
      <c r="AQ27" s="20">
        <v>54</v>
      </c>
      <c r="AR27" s="8"/>
      <c r="AS27" s="49">
        <v>50</v>
      </c>
      <c r="AT27" s="83">
        <f t="shared" si="30"/>
        <v>5</v>
      </c>
      <c r="AU27" s="15">
        <f t="shared" si="21"/>
        <v>56.2</v>
      </c>
      <c r="AV27" s="52">
        <v>509</v>
      </c>
      <c r="AW27" s="16">
        <f t="shared" si="6"/>
        <v>2.2260124201871775E-2</v>
      </c>
      <c r="AX27" s="17">
        <f>IF(AND(AS27&lt;&gt;"", AV27&lt;&gt;""), SUM(AV$4:AV27), "")</f>
        <v>10269</v>
      </c>
      <c r="AY27" s="16">
        <f t="shared" si="7"/>
        <v>0.44909472579375492</v>
      </c>
      <c r="AZ27" s="14"/>
      <c r="BA27" s="27">
        <v>26</v>
      </c>
      <c r="BB27" s="20">
        <v>54</v>
      </c>
      <c r="BC27" s="8"/>
      <c r="BD27" s="49">
        <v>52</v>
      </c>
      <c r="BE27" s="83">
        <f t="shared" si="31"/>
        <v>4</v>
      </c>
      <c r="BF27" s="15">
        <f t="shared" si="22"/>
        <v>62.81</v>
      </c>
      <c r="BG27" s="52">
        <v>1552</v>
      </c>
      <c r="BH27" s="16">
        <f t="shared" si="8"/>
        <v>5.9964454060737193E-2</v>
      </c>
      <c r="BI27" s="17">
        <f>IF(AND(BD27&lt;&gt;"", BG27&lt;&gt;""), SUM(BG$4:BG27), "")</f>
        <v>10402</v>
      </c>
      <c r="BJ27" s="16">
        <f t="shared" si="9"/>
        <v>0.40190093501275015</v>
      </c>
      <c r="BK27" s="14"/>
      <c r="BL27" s="27">
        <v>26</v>
      </c>
      <c r="BM27" s="20">
        <v>52</v>
      </c>
      <c r="BN27" s="8"/>
      <c r="BO27" s="49">
        <v>51</v>
      </c>
      <c r="BP27" s="83">
        <f t="shared" si="32"/>
        <v>5</v>
      </c>
      <c r="BQ27" s="15">
        <f t="shared" si="23"/>
        <v>55.75</v>
      </c>
      <c r="BR27" s="52">
        <v>1183</v>
      </c>
      <c r="BS27" s="16">
        <f t="shared" si="10"/>
        <v>3.0551107897319352E-2</v>
      </c>
      <c r="BT27" s="17">
        <f>IF(AND(BO27&lt;&gt;"", BR27&lt;&gt;""), SUM(BR$4:BR27), "")</f>
        <v>17727</v>
      </c>
      <c r="BU27" s="16">
        <f t="shared" si="11"/>
        <v>0.457801766437684</v>
      </c>
      <c r="BV27" s="14"/>
      <c r="BW27" s="27">
        <v>26</v>
      </c>
      <c r="BX27" s="20">
        <v>52</v>
      </c>
      <c r="BY27" s="8"/>
      <c r="BZ27" s="49">
        <v>50</v>
      </c>
      <c r="CA27" s="83">
        <f t="shared" si="33"/>
        <v>5</v>
      </c>
      <c r="CB27" s="15">
        <f t="shared" si="24"/>
        <v>53.21</v>
      </c>
      <c r="CC27" s="52">
        <v>1436</v>
      </c>
      <c r="CD27" s="16">
        <f t="shared" si="12"/>
        <v>2.9927889625276146E-2</v>
      </c>
      <c r="CE27" s="17">
        <f>IF(AND(BZ27&lt;&gt;"", CC27&lt;&gt;""), SUM(CC$4:CC27), "")</f>
        <v>23171</v>
      </c>
      <c r="CF27" s="16">
        <f t="shared" si="13"/>
        <v>0.48291025801342169</v>
      </c>
      <c r="CG27" s="14"/>
      <c r="CH27" s="27">
        <v>26</v>
      </c>
      <c r="CI27" s="20">
        <v>53</v>
      </c>
      <c r="CJ27" s="8"/>
      <c r="CK27" s="49">
        <v>51</v>
      </c>
      <c r="CL27" s="83">
        <f t="shared" si="34"/>
        <v>5</v>
      </c>
      <c r="CM27" s="15">
        <f t="shared" si="25"/>
        <v>55.94</v>
      </c>
      <c r="CN27" s="52">
        <v>2568</v>
      </c>
      <c r="CO27" s="16">
        <f t="shared" si="14"/>
        <v>3.0709989117566162E-2</v>
      </c>
      <c r="CP27" s="17">
        <f>IF(AND(CK27&lt;&gt;"", CN27&lt;&gt;""), SUM(CN$4:CN27), "")</f>
        <v>38129</v>
      </c>
      <c r="CQ27" s="16">
        <f t="shared" si="15"/>
        <v>0.45597397782853588</v>
      </c>
      <c r="CR27" s="14"/>
      <c r="CS27" s="27">
        <v>26</v>
      </c>
      <c r="CT27" s="20">
        <v>55</v>
      </c>
      <c r="CU27" s="8"/>
      <c r="CV27" s="49">
        <v>54</v>
      </c>
      <c r="CW27" s="83">
        <f t="shared" si="35"/>
        <v>4</v>
      </c>
      <c r="CX27" s="15">
        <f t="shared" si="26"/>
        <v>70.16</v>
      </c>
      <c r="CY27" s="52">
        <v>1809</v>
      </c>
      <c r="CZ27" s="16">
        <f t="shared" si="16"/>
        <v>2.4317130874287558E-2</v>
      </c>
      <c r="DA27" s="17">
        <f>IF(AND(CV27&lt;&gt;"", CY27&lt;&gt;""), SUM(CY$4:CY27), "")</f>
        <v>23103</v>
      </c>
      <c r="DB27" s="16">
        <f t="shared" si="17"/>
        <v>0.31055758683729434</v>
      </c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</row>
    <row r="28" spans="1:180" ht="16" customHeight="1" x14ac:dyDescent="0.2">
      <c r="A28" s="78" t="s">
        <v>15</v>
      </c>
      <c r="B28" s="78" t="s">
        <v>14</v>
      </c>
      <c r="C28" s="1"/>
      <c r="D28" s="1"/>
      <c r="E28" s="1"/>
      <c r="F28" s="30" t="s">
        <v>30</v>
      </c>
      <c r="G28" s="30" t="s">
        <v>14</v>
      </c>
      <c r="H28" s="36"/>
      <c r="I28" s="30" t="s">
        <v>30</v>
      </c>
      <c r="J28" s="30" t="s">
        <v>14</v>
      </c>
      <c r="K28" s="36"/>
      <c r="L28" s="30" t="s">
        <v>30</v>
      </c>
      <c r="M28" s="30" t="s">
        <v>14</v>
      </c>
      <c r="N28"/>
      <c r="O28" s="38">
        <v>110</v>
      </c>
      <c r="P28" s="83">
        <f t="shared" si="27"/>
        <v>4</v>
      </c>
      <c r="Q28" s="15">
        <f t="shared" si="18"/>
        <v>63.64</v>
      </c>
      <c r="R28" s="43">
        <v>5188</v>
      </c>
      <c r="S28" s="16">
        <f t="shared" si="0"/>
        <v>1.8079804844049484E-2</v>
      </c>
      <c r="T28" s="17">
        <f>IF(AND(O28&lt;&gt;"", R28&lt;&gt;""), SUM(R$4:R28), "")</f>
        <v>106926</v>
      </c>
      <c r="U28" s="16">
        <f t="shared" si="1"/>
        <v>0.37262937794040774</v>
      </c>
      <c r="W28" s="38">
        <v>136</v>
      </c>
      <c r="X28" s="83">
        <f t="shared" si="28"/>
        <v>2</v>
      </c>
      <c r="Y28" s="15">
        <f t="shared" si="19"/>
        <v>95.58</v>
      </c>
      <c r="Z28" s="43">
        <v>925</v>
      </c>
      <c r="AA28" s="16">
        <f t="shared" si="2"/>
        <v>3.2342770429267236E-3</v>
      </c>
      <c r="AB28" s="17">
        <f>IF(AND(W28&lt;&gt;"", Z28&lt;&gt;""), SUM(Z$4:Z28), "")</f>
        <v>13117</v>
      </c>
      <c r="AC28" s="16">
        <f t="shared" si="3"/>
        <v>4.5863796726561983E-2</v>
      </c>
      <c r="AD28" s="1"/>
      <c r="AE28" s="19">
        <v>25</v>
      </c>
      <c r="AF28" s="20">
        <v>49</v>
      </c>
      <c r="AG28" s="8"/>
      <c r="AH28" s="49">
        <v>46</v>
      </c>
      <c r="AI28" s="83">
        <f t="shared" si="29"/>
        <v>6</v>
      </c>
      <c r="AJ28" s="15">
        <f t="shared" si="20"/>
        <v>36.909999999999997</v>
      </c>
      <c r="AK28" s="52">
        <v>4400</v>
      </c>
      <c r="AL28" s="16">
        <f t="shared" si="4"/>
        <v>4.5784210690613197E-2</v>
      </c>
      <c r="AM28" s="17">
        <f>IF(AND(AH28&lt;&gt;"", AK28&lt;&gt;""), SUM(AK$4:AK28), "")</f>
        <v>62833</v>
      </c>
      <c r="AN28" s="16">
        <f t="shared" si="5"/>
        <v>0.65380893416438612</v>
      </c>
      <c r="AO28" s="14"/>
      <c r="AP28" s="27">
        <v>25</v>
      </c>
      <c r="AQ28" s="20">
        <v>53</v>
      </c>
      <c r="AR28" s="8"/>
      <c r="AS28" s="49">
        <v>49</v>
      </c>
      <c r="AT28" s="83">
        <f t="shared" si="30"/>
        <v>5</v>
      </c>
      <c r="AU28" s="15">
        <f t="shared" si="21"/>
        <v>53.9</v>
      </c>
      <c r="AV28" s="52">
        <v>543</v>
      </c>
      <c r="AW28" s="16">
        <f t="shared" si="6"/>
        <v>2.3747048018892679E-2</v>
      </c>
      <c r="AX28" s="17">
        <f>IF(AND(AS28&lt;&gt;"", AV28&lt;&gt;""), SUM(AV$4:AV28), "")</f>
        <v>10812</v>
      </c>
      <c r="AY28" s="16">
        <f t="shared" si="7"/>
        <v>0.47284177381264758</v>
      </c>
      <c r="AZ28" s="14"/>
      <c r="BA28" s="27">
        <v>25</v>
      </c>
      <c r="BB28" s="20">
        <v>53</v>
      </c>
      <c r="BC28" s="8"/>
      <c r="BD28" s="49">
        <v>51</v>
      </c>
      <c r="BE28" s="83">
        <f t="shared" si="31"/>
        <v>5</v>
      </c>
      <c r="BF28" s="15">
        <f t="shared" si="22"/>
        <v>58.23</v>
      </c>
      <c r="BG28" s="52">
        <v>820</v>
      </c>
      <c r="BH28" s="16">
        <f t="shared" si="8"/>
        <v>3.1682250212502899E-2</v>
      </c>
      <c r="BI28" s="17">
        <f>IF(AND(BD28&lt;&gt;"", BG28&lt;&gt;""), SUM(BG$4:BG28), "")</f>
        <v>11222</v>
      </c>
      <c r="BJ28" s="16">
        <f t="shared" si="9"/>
        <v>0.43358318522525308</v>
      </c>
      <c r="BK28" s="14"/>
      <c r="BL28" s="27">
        <v>25</v>
      </c>
      <c r="BM28" s="20">
        <v>52</v>
      </c>
      <c r="BN28" s="8"/>
      <c r="BO28" s="49">
        <v>50</v>
      </c>
      <c r="BP28" s="83">
        <f t="shared" si="32"/>
        <v>5</v>
      </c>
      <c r="BQ28" s="15">
        <f t="shared" si="23"/>
        <v>52.69</v>
      </c>
      <c r="BR28" s="52">
        <v>1182</v>
      </c>
      <c r="BS28" s="16">
        <f t="shared" si="10"/>
        <v>3.0525282784980113E-2</v>
      </c>
      <c r="BT28" s="17">
        <f>IF(AND(BO28&lt;&gt;"", BR28&lt;&gt;""), SUM(BR$4:BR28), "")</f>
        <v>18909</v>
      </c>
      <c r="BU28" s="16">
        <f t="shared" si="11"/>
        <v>0.48832704922266412</v>
      </c>
      <c r="BV28" s="14"/>
      <c r="BW28" s="27">
        <v>25</v>
      </c>
      <c r="BX28" s="20">
        <v>51</v>
      </c>
      <c r="BY28" s="8"/>
      <c r="BZ28" s="49">
        <v>49</v>
      </c>
      <c r="CA28" s="83">
        <f t="shared" si="33"/>
        <v>5</v>
      </c>
      <c r="CB28" s="15">
        <f t="shared" si="24"/>
        <v>50.04</v>
      </c>
      <c r="CC28" s="52">
        <v>1598</v>
      </c>
      <c r="CD28" s="16">
        <f t="shared" si="12"/>
        <v>3.3304155725063567E-2</v>
      </c>
      <c r="CE28" s="17">
        <f>IF(AND(BZ28&lt;&gt;"", CC28&lt;&gt;""), SUM(CC$4:CC28), "")</f>
        <v>24769</v>
      </c>
      <c r="CF28" s="16">
        <f t="shared" si="13"/>
        <v>0.51621441373848531</v>
      </c>
      <c r="CG28" s="14"/>
      <c r="CH28" s="27">
        <v>25</v>
      </c>
      <c r="CI28" s="20">
        <v>52</v>
      </c>
      <c r="CJ28" s="8"/>
      <c r="CK28" s="49">
        <v>50</v>
      </c>
      <c r="CL28" s="83">
        <f t="shared" si="34"/>
        <v>5</v>
      </c>
      <c r="CM28" s="15">
        <f t="shared" si="25"/>
        <v>52.96</v>
      </c>
      <c r="CN28" s="52">
        <v>2418</v>
      </c>
      <c r="CO28" s="16">
        <f t="shared" si="14"/>
        <v>2.891618134200739E-2</v>
      </c>
      <c r="CP28" s="17">
        <f>IF(AND(CK28&lt;&gt;"", CN28&lt;&gt;""), SUM(CN$4:CN28), "")</f>
        <v>40547</v>
      </c>
      <c r="CQ28" s="16">
        <f t="shared" si="15"/>
        <v>0.48489015917054329</v>
      </c>
      <c r="CR28" s="14"/>
      <c r="CS28" s="27">
        <v>25</v>
      </c>
      <c r="CT28" s="20">
        <v>54</v>
      </c>
      <c r="CU28" s="8"/>
      <c r="CV28" s="49">
        <v>53</v>
      </c>
      <c r="CW28" s="83">
        <f t="shared" si="35"/>
        <v>4</v>
      </c>
      <c r="CX28" s="15">
        <f t="shared" si="26"/>
        <v>67.55</v>
      </c>
      <c r="CY28" s="52">
        <v>2077</v>
      </c>
      <c r="CZ28" s="16">
        <f t="shared" si="16"/>
        <v>2.791966878158942E-2</v>
      </c>
      <c r="DA28" s="17">
        <f>IF(AND(CV28&lt;&gt;"", CY28&lt;&gt;""), SUM(CY$4:CY28), "")</f>
        <v>25180</v>
      </c>
      <c r="DB28" s="16">
        <f t="shared" si="17"/>
        <v>0.33847725561888375</v>
      </c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</row>
    <row r="29" spans="1:180" ht="16" customHeight="1" x14ac:dyDescent="0.2">
      <c r="A29" s="82">
        <v>0.04</v>
      </c>
      <c r="B29" s="79">
        <v>1</v>
      </c>
      <c r="C29" s="1"/>
      <c r="D29" s="1"/>
      <c r="E29" s="1"/>
      <c r="F29" s="86"/>
      <c r="G29" s="85">
        <v>1</v>
      </c>
      <c r="H29" s="36"/>
      <c r="I29" s="86"/>
      <c r="J29" s="85">
        <v>1</v>
      </c>
      <c r="K29" s="36"/>
      <c r="L29" s="86"/>
      <c r="M29" s="85">
        <v>1</v>
      </c>
      <c r="N29"/>
      <c r="O29" s="38">
        <v>109</v>
      </c>
      <c r="P29" s="83">
        <f t="shared" si="27"/>
        <v>4</v>
      </c>
      <c r="Q29" s="15">
        <f t="shared" si="18"/>
        <v>61.83</v>
      </c>
      <c r="R29" s="43">
        <v>5188</v>
      </c>
      <c r="S29" s="16">
        <f t="shared" si="0"/>
        <v>1.8079804844049484E-2</v>
      </c>
      <c r="T29" s="17">
        <f>IF(AND(O29&lt;&gt;"", R29&lt;&gt;""), SUM(R$4:R29), "")</f>
        <v>112114</v>
      </c>
      <c r="U29" s="16">
        <f t="shared" si="1"/>
        <v>0.39070918278445721</v>
      </c>
      <c r="W29" s="38">
        <v>135</v>
      </c>
      <c r="X29" s="83">
        <f t="shared" si="28"/>
        <v>2</v>
      </c>
      <c r="Y29" s="15">
        <f t="shared" si="19"/>
        <v>95.03</v>
      </c>
      <c r="Z29" s="43">
        <v>2181</v>
      </c>
      <c r="AA29" s="16">
        <f t="shared" si="2"/>
        <v>7.6259007898629013E-3</v>
      </c>
      <c r="AB29" s="17">
        <f>IF(AND(W29&lt;&gt;"", Z29&lt;&gt;""), SUM(Z$4:Z29), "")</f>
        <v>15298</v>
      </c>
      <c r="AC29" s="16">
        <f t="shared" si="3"/>
        <v>5.3489697516424885E-2</v>
      </c>
      <c r="AD29" s="1"/>
      <c r="AE29" s="19">
        <v>24</v>
      </c>
      <c r="AF29" s="20">
        <v>48</v>
      </c>
      <c r="AG29" s="8"/>
      <c r="AH29" s="49">
        <v>45</v>
      </c>
      <c r="AI29" s="83">
        <f t="shared" si="29"/>
        <v>6</v>
      </c>
      <c r="AJ29" s="15">
        <f t="shared" si="20"/>
        <v>33.54</v>
      </c>
      <c r="AK29" s="52">
        <v>2078</v>
      </c>
      <c r="AL29" s="16">
        <f t="shared" si="4"/>
        <v>2.162263404888505E-2</v>
      </c>
      <c r="AM29" s="17">
        <f>IF(AND(AH29&lt;&gt;"", AK29&lt;&gt;""), SUM(AK$4:AK29), "")</f>
        <v>64911</v>
      </c>
      <c r="AN29" s="16">
        <f t="shared" si="5"/>
        <v>0.67543156821327122</v>
      </c>
      <c r="AO29" s="14"/>
      <c r="AP29" s="27">
        <v>24</v>
      </c>
      <c r="AQ29" s="20">
        <v>52</v>
      </c>
      <c r="AR29" s="8"/>
      <c r="AS29" s="49">
        <v>48</v>
      </c>
      <c r="AT29" s="83">
        <f t="shared" si="30"/>
        <v>5</v>
      </c>
      <c r="AU29" s="15">
        <f t="shared" si="21"/>
        <v>51.36</v>
      </c>
      <c r="AV29" s="52">
        <v>619</v>
      </c>
      <c r="AW29" s="16">
        <f t="shared" si="6"/>
        <v>2.7070760080468818E-2</v>
      </c>
      <c r="AX29" s="17">
        <f>IF(AND(AS29&lt;&gt;"", AV29&lt;&gt;""), SUM(AV$4:AV29), "")</f>
        <v>11431</v>
      </c>
      <c r="AY29" s="16">
        <f t="shared" si="7"/>
        <v>0.49991253389311641</v>
      </c>
      <c r="AZ29" s="14"/>
      <c r="BA29" s="27">
        <v>24</v>
      </c>
      <c r="BB29" s="20">
        <v>52</v>
      </c>
      <c r="BC29" s="8"/>
      <c r="BD29" s="49">
        <v>50</v>
      </c>
      <c r="BE29" s="83">
        <f t="shared" si="31"/>
        <v>5</v>
      </c>
      <c r="BF29" s="15">
        <f t="shared" si="22"/>
        <v>55.01</v>
      </c>
      <c r="BG29" s="52">
        <v>843</v>
      </c>
      <c r="BH29" s="16">
        <f t="shared" si="8"/>
        <v>3.2570898694073099E-2</v>
      </c>
      <c r="BI29" s="17">
        <f>IF(AND(BD29&lt;&gt;"", BG29&lt;&gt;""), SUM(BG$4:BG29), "")</f>
        <v>12065</v>
      </c>
      <c r="BJ29" s="16">
        <f t="shared" si="9"/>
        <v>0.46615408391932617</v>
      </c>
      <c r="BK29" s="14"/>
      <c r="BL29" s="27">
        <v>24</v>
      </c>
      <c r="BM29" s="20">
        <v>51</v>
      </c>
      <c r="BN29" s="8"/>
      <c r="BO29" s="49">
        <v>49</v>
      </c>
      <c r="BP29" s="83">
        <f t="shared" si="32"/>
        <v>5</v>
      </c>
      <c r="BQ29" s="15">
        <f t="shared" si="23"/>
        <v>49.48</v>
      </c>
      <c r="BR29" s="52">
        <v>1303</v>
      </c>
      <c r="BS29" s="16">
        <f t="shared" si="10"/>
        <v>3.3650121378027996E-2</v>
      </c>
      <c r="BT29" s="17">
        <f>IF(AND(BO29&lt;&gt;"", BR29&lt;&gt;""), SUM(BR$4:BR29), "")</f>
        <v>20212</v>
      </c>
      <c r="BU29" s="16">
        <f t="shared" si="11"/>
        <v>0.52197717060069215</v>
      </c>
      <c r="BV29" s="14"/>
      <c r="BW29" s="27">
        <v>24</v>
      </c>
      <c r="BX29" s="20">
        <v>50</v>
      </c>
      <c r="BY29" s="8"/>
      <c r="BZ29" s="49">
        <v>48</v>
      </c>
      <c r="CA29" s="83">
        <f t="shared" si="33"/>
        <v>5</v>
      </c>
      <c r="CB29" s="15">
        <f t="shared" si="24"/>
        <v>46.87</v>
      </c>
      <c r="CC29" s="52">
        <v>1443</v>
      </c>
      <c r="CD29" s="16">
        <f t="shared" si="12"/>
        <v>3.0073777666624984E-2</v>
      </c>
      <c r="CE29" s="17">
        <f>IF(AND(BZ29&lt;&gt;"", CC29&lt;&gt;""), SUM(CC$4:CC29), "")</f>
        <v>26212</v>
      </c>
      <c r="CF29" s="16">
        <f t="shared" si="13"/>
        <v>0.5462881914051102</v>
      </c>
      <c r="CG29" s="14"/>
      <c r="CH29" s="27">
        <v>24</v>
      </c>
      <c r="CI29" s="20">
        <v>51</v>
      </c>
      <c r="CJ29" s="8"/>
      <c r="CK29" s="49">
        <v>49</v>
      </c>
      <c r="CL29" s="83">
        <f t="shared" si="34"/>
        <v>5</v>
      </c>
      <c r="CM29" s="15">
        <f t="shared" si="25"/>
        <v>49.89</v>
      </c>
      <c r="CN29" s="52">
        <v>2706</v>
      </c>
      <c r="CO29" s="16">
        <f t="shared" si="14"/>
        <v>3.2360292271080233E-2</v>
      </c>
      <c r="CP29" s="17">
        <f>IF(AND(CK29&lt;&gt;"", CN29&lt;&gt;""), SUM(CN$4:CN29), "")</f>
        <v>43253</v>
      </c>
      <c r="CQ29" s="16">
        <f t="shared" si="15"/>
        <v>0.51725045144162352</v>
      </c>
      <c r="CR29" s="14"/>
      <c r="CS29" s="27">
        <v>24</v>
      </c>
      <c r="CT29" s="20">
        <v>53</v>
      </c>
      <c r="CU29" s="8"/>
      <c r="CV29" s="49">
        <v>52</v>
      </c>
      <c r="CW29" s="83">
        <f t="shared" si="35"/>
        <v>4</v>
      </c>
      <c r="CX29" s="15">
        <f t="shared" si="26"/>
        <v>64.81</v>
      </c>
      <c r="CY29" s="52">
        <v>2004</v>
      </c>
      <c r="CZ29" s="16">
        <f t="shared" si="16"/>
        <v>2.6938380471018389E-2</v>
      </c>
      <c r="DA29" s="17">
        <f>IF(AND(CV29&lt;&gt;"", CY29&lt;&gt;""), SUM(CY$4:CY29), "")</f>
        <v>27184</v>
      </c>
      <c r="DB29" s="16">
        <f t="shared" si="17"/>
        <v>0.36541563608990213</v>
      </c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</row>
    <row r="30" spans="1:180" ht="16" customHeight="1" x14ac:dyDescent="0.2">
      <c r="A30" s="82">
        <v>0.11</v>
      </c>
      <c r="B30" s="80">
        <v>2</v>
      </c>
      <c r="C30" s="1"/>
      <c r="D30" s="1"/>
      <c r="E30" s="1"/>
      <c r="F30" s="86"/>
      <c r="G30" s="85">
        <v>2</v>
      </c>
      <c r="H30" s="36"/>
      <c r="I30" s="86"/>
      <c r="J30" s="85">
        <v>2</v>
      </c>
      <c r="K30" s="36"/>
      <c r="L30" s="86"/>
      <c r="M30" s="85">
        <v>2</v>
      </c>
      <c r="N30"/>
      <c r="O30" s="38">
        <v>108</v>
      </c>
      <c r="P30" s="83">
        <f t="shared" si="27"/>
        <v>4</v>
      </c>
      <c r="Q30" s="15">
        <f t="shared" si="18"/>
        <v>60.09</v>
      </c>
      <c r="R30" s="43">
        <v>4818</v>
      </c>
      <c r="S30" s="16">
        <f t="shared" si="0"/>
        <v>1.6790381599581808E-2</v>
      </c>
      <c r="T30" s="17">
        <f>IF(AND(O30&lt;&gt;"", R30&lt;&gt;""), SUM(R$4:R30), "")</f>
        <v>116932</v>
      </c>
      <c r="U30" s="16">
        <f t="shared" si="1"/>
        <v>0.407499564384039</v>
      </c>
      <c r="W30" s="38">
        <v>134</v>
      </c>
      <c r="X30" s="83">
        <f t="shared" si="28"/>
        <v>2</v>
      </c>
      <c r="Y30" s="15">
        <f t="shared" si="19"/>
        <v>94.05</v>
      </c>
      <c r="Z30" s="43">
        <v>3412</v>
      </c>
      <c r="AA30" s="16">
        <f t="shared" si="2"/>
        <v>1.1930111643747006E-2</v>
      </c>
      <c r="AB30" s="17">
        <f>IF(AND(W30&lt;&gt;"", Z30&lt;&gt;""), SUM(Z$4:Z30), "")</f>
        <v>18710</v>
      </c>
      <c r="AC30" s="16">
        <f t="shared" si="3"/>
        <v>6.5419809160171885E-2</v>
      </c>
      <c r="AD30" s="1"/>
      <c r="AE30" s="19">
        <v>23</v>
      </c>
      <c r="AF30" s="20">
        <v>47</v>
      </c>
      <c r="AG30" s="8"/>
      <c r="AH30" s="49">
        <v>44</v>
      </c>
      <c r="AI30" s="83">
        <f t="shared" si="29"/>
        <v>6</v>
      </c>
      <c r="AJ30" s="15">
        <f t="shared" si="20"/>
        <v>31.38</v>
      </c>
      <c r="AK30" s="52">
        <v>2068</v>
      </c>
      <c r="AL30" s="16">
        <f t="shared" si="4"/>
        <v>2.1518579024588202E-2</v>
      </c>
      <c r="AM30" s="17">
        <f>IF(AND(AH30&lt;&gt;"", AK30&lt;&gt;""), SUM(AK$4:AK30), "")</f>
        <v>66979</v>
      </c>
      <c r="AN30" s="16">
        <f t="shared" si="5"/>
        <v>0.69695014723785942</v>
      </c>
      <c r="AO30" s="14"/>
      <c r="AP30" s="27">
        <v>23</v>
      </c>
      <c r="AQ30" s="20">
        <v>51</v>
      </c>
      <c r="AR30" s="8"/>
      <c r="AS30" s="49">
        <v>47</v>
      </c>
      <c r="AT30" s="83">
        <f t="shared" si="30"/>
        <v>5</v>
      </c>
      <c r="AU30" s="15">
        <f t="shared" si="21"/>
        <v>48.76</v>
      </c>
      <c r="AV30" s="52">
        <v>569</v>
      </c>
      <c r="AW30" s="16">
        <f t="shared" si="6"/>
        <v>2.4884107408379253E-2</v>
      </c>
      <c r="AX30" s="17">
        <f>IF(AND(AS30&lt;&gt;"", AV30&lt;&gt;""), SUM(AV$4:AV30), "")</f>
        <v>12000</v>
      </c>
      <c r="AY30" s="16">
        <f t="shared" si="7"/>
        <v>0.52479664130149573</v>
      </c>
      <c r="AZ30" s="14"/>
      <c r="BA30" s="27">
        <v>23</v>
      </c>
      <c r="BB30" s="20">
        <v>52</v>
      </c>
      <c r="BC30" s="8"/>
      <c r="BD30" s="49">
        <v>49</v>
      </c>
      <c r="BE30" s="83">
        <f t="shared" si="31"/>
        <v>5</v>
      </c>
      <c r="BF30" s="15">
        <f t="shared" si="22"/>
        <v>51.8</v>
      </c>
      <c r="BG30" s="52">
        <v>821</v>
      </c>
      <c r="BH30" s="16">
        <f t="shared" si="8"/>
        <v>3.1720887103005947E-2</v>
      </c>
      <c r="BI30" s="17">
        <f>IF(AND(BD30&lt;&gt;"", BG30&lt;&gt;""), SUM(BG$4:BG30), "")</f>
        <v>12886</v>
      </c>
      <c r="BJ30" s="16">
        <f t="shared" si="9"/>
        <v>0.49787497102233214</v>
      </c>
      <c r="BK30" s="14"/>
      <c r="BL30" s="27">
        <v>23</v>
      </c>
      <c r="BM30" s="20">
        <v>50</v>
      </c>
      <c r="BN30" s="8"/>
      <c r="BO30" s="49">
        <v>48</v>
      </c>
      <c r="BP30" s="83">
        <f t="shared" si="32"/>
        <v>5</v>
      </c>
      <c r="BQ30" s="15">
        <f t="shared" si="23"/>
        <v>46.22</v>
      </c>
      <c r="BR30" s="52">
        <v>1227</v>
      </c>
      <c r="BS30" s="16">
        <f t="shared" si="10"/>
        <v>3.1687412840245857E-2</v>
      </c>
      <c r="BT30" s="17">
        <f>IF(AND(BO30&lt;&gt;"", BR30&lt;&gt;""), SUM(BR$4:BR30), "")</f>
        <v>21439</v>
      </c>
      <c r="BU30" s="16">
        <f t="shared" si="11"/>
        <v>0.55366458344093794</v>
      </c>
      <c r="BV30" s="14"/>
      <c r="BW30" s="27">
        <v>23</v>
      </c>
      <c r="BX30" s="20">
        <v>49</v>
      </c>
      <c r="BY30" s="8"/>
      <c r="BZ30" s="49">
        <v>47</v>
      </c>
      <c r="CA30" s="83">
        <f t="shared" si="33"/>
        <v>5</v>
      </c>
      <c r="CB30" s="15">
        <f t="shared" si="24"/>
        <v>43.57</v>
      </c>
      <c r="CC30" s="52">
        <v>1729</v>
      </c>
      <c r="CD30" s="16">
        <f t="shared" si="12"/>
        <v>3.6034346213163267E-2</v>
      </c>
      <c r="CE30" s="17">
        <f>IF(AND(BZ30&lt;&gt;"", CC30&lt;&gt;""), SUM(CC$4:CC30), "")</f>
        <v>27941</v>
      </c>
      <c r="CF30" s="16">
        <f t="shared" si="13"/>
        <v>0.58232253761827357</v>
      </c>
      <c r="CG30" s="14"/>
      <c r="CH30" s="27">
        <v>23</v>
      </c>
      <c r="CI30" s="20">
        <v>50</v>
      </c>
      <c r="CJ30" s="8"/>
      <c r="CK30" s="49">
        <v>48</v>
      </c>
      <c r="CL30" s="83">
        <f t="shared" si="34"/>
        <v>5</v>
      </c>
      <c r="CM30" s="15">
        <f t="shared" si="25"/>
        <v>46.78</v>
      </c>
      <c r="CN30" s="52">
        <v>2496</v>
      </c>
      <c r="CO30" s="16">
        <f t="shared" si="14"/>
        <v>2.984896138529795E-2</v>
      </c>
      <c r="CP30" s="17">
        <f>IF(AND(CK30&lt;&gt;"", CN30&lt;&gt;""), SUM(CN$4:CN30), "")</f>
        <v>45749</v>
      </c>
      <c r="CQ30" s="16">
        <f t="shared" si="15"/>
        <v>0.54709941282692143</v>
      </c>
      <c r="CR30" s="14"/>
      <c r="CS30" s="27">
        <v>23</v>
      </c>
      <c r="CT30" s="20">
        <v>52</v>
      </c>
      <c r="CU30" s="8"/>
      <c r="CV30" s="49">
        <v>51</v>
      </c>
      <c r="CW30" s="83">
        <f t="shared" si="35"/>
        <v>4</v>
      </c>
      <c r="CX30" s="15">
        <f t="shared" si="26"/>
        <v>61.85</v>
      </c>
      <c r="CY30" s="52">
        <v>2398</v>
      </c>
      <c r="CZ30" s="16">
        <f t="shared" si="16"/>
        <v>3.2234648886977094E-2</v>
      </c>
      <c r="DA30" s="17">
        <f>IF(AND(CV30&lt;&gt;"", CY30&lt;&gt;""), SUM(CY$4:CY30), "")</f>
        <v>29582</v>
      </c>
      <c r="DB30" s="16">
        <f t="shared" si="17"/>
        <v>0.39765028497687921</v>
      </c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</row>
    <row r="31" spans="1:180" ht="16" customHeight="1" x14ac:dyDescent="0.2">
      <c r="A31" s="82">
        <v>0.23</v>
      </c>
      <c r="B31" s="80">
        <v>3</v>
      </c>
      <c r="C31" s="1"/>
      <c r="D31" s="1"/>
      <c r="E31" s="1"/>
      <c r="F31" s="86"/>
      <c r="G31" s="85">
        <v>3</v>
      </c>
      <c r="H31" s="36"/>
      <c r="I31" s="86"/>
      <c r="J31" s="85">
        <v>3</v>
      </c>
      <c r="K31" s="36"/>
      <c r="L31" s="86"/>
      <c r="M31" s="85">
        <v>3</v>
      </c>
      <c r="N31"/>
      <c r="O31" s="38">
        <v>107</v>
      </c>
      <c r="P31" s="83">
        <f t="shared" si="27"/>
        <v>5</v>
      </c>
      <c r="Q31" s="15">
        <f t="shared" si="18"/>
        <v>58.36</v>
      </c>
      <c r="R31" s="43">
        <v>5083</v>
      </c>
      <c r="S31" s="16">
        <f t="shared" si="0"/>
        <v>1.7713887436835687E-2</v>
      </c>
      <c r="T31" s="17">
        <f>IF(AND(O31&lt;&gt;"", R31&lt;&gt;""), SUM(R$4:R31), "")</f>
        <v>122015</v>
      </c>
      <c r="U31" s="16">
        <f t="shared" si="1"/>
        <v>0.42521345182087472</v>
      </c>
      <c r="W31" s="38">
        <v>133</v>
      </c>
      <c r="X31" s="83">
        <f t="shared" si="28"/>
        <v>2</v>
      </c>
      <c r="Y31" s="15">
        <f t="shared" si="19"/>
        <v>93.27</v>
      </c>
      <c r="Z31" s="43">
        <v>1053</v>
      </c>
      <c r="AA31" s="16">
        <f t="shared" si="2"/>
        <v>3.6818310553533404E-3</v>
      </c>
      <c r="AB31" s="17">
        <f>IF(AND(W31&lt;&gt;"", Z31&lt;&gt;""), SUM(Z$4:Z31), "")</f>
        <v>19763</v>
      </c>
      <c r="AC31" s="16">
        <f t="shared" si="3"/>
        <v>6.9101640215525229E-2</v>
      </c>
      <c r="AD31" s="1"/>
      <c r="AE31" s="19">
        <v>22</v>
      </c>
      <c r="AF31" s="20">
        <v>46</v>
      </c>
      <c r="AG31" s="8"/>
      <c r="AH31" s="49">
        <v>43</v>
      </c>
      <c r="AI31" s="83">
        <f t="shared" si="29"/>
        <v>6</v>
      </c>
      <c r="AJ31" s="15">
        <f t="shared" si="20"/>
        <v>29.24</v>
      </c>
      <c r="AK31" s="52">
        <v>2044</v>
      </c>
      <c r="AL31" s="16">
        <f t="shared" si="4"/>
        <v>2.1268846966275765E-2</v>
      </c>
      <c r="AM31" s="17">
        <f>IF(AND(AH31&lt;&gt;"", AK31&lt;&gt;""), SUM(AK$4:AK31), "")</f>
        <v>69023</v>
      </c>
      <c r="AN31" s="16">
        <f t="shared" si="5"/>
        <v>0.71821899420413515</v>
      </c>
      <c r="AO31" s="14"/>
      <c r="AP31" s="27">
        <v>22</v>
      </c>
      <c r="AQ31" s="20">
        <v>51</v>
      </c>
      <c r="AR31" s="8"/>
      <c r="AS31" s="49">
        <v>46</v>
      </c>
      <c r="AT31" s="83">
        <f t="shared" si="30"/>
        <v>5</v>
      </c>
      <c r="AU31" s="15">
        <f t="shared" si="21"/>
        <v>44.69</v>
      </c>
      <c r="AV31" s="52">
        <v>1296</v>
      </c>
      <c r="AW31" s="16">
        <f t="shared" si="6"/>
        <v>5.6678037260561531E-2</v>
      </c>
      <c r="AX31" s="17">
        <f>IF(AND(AS31&lt;&gt;"", AV31&lt;&gt;""), SUM(AV$4:AV31), "")</f>
        <v>13296</v>
      </c>
      <c r="AY31" s="16">
        <f t="shared" si="7"/>
        <v>0.58147467856205726</v>
      </c>
      <c r="AZ31" s="14"/>
      <c r="BA31" s="27">
        <v>22</v>
      </c>
      <c r="BB31" s="20">
        <v>51</v>
      </c>
      <c r="BC31" s="8"/>
      <c r="BD31" s="49">
        <v>48</v>
      </c>
      <c r="BE31" s="83">
        <f t="shared" si="31"/>
        <v>5</v>
      </c>
      <c r="BF31" s="15">
        <f t="shared" si="22"/>
        <v>48.36</v>
      </c>
      <c r="BG31" s="52">
        <v>961</v>
      </c>
      <c r="BH31" s="16">
        <f t="shared" si="8"/>
        <v>3.7130051773433273E-2</v>
      </c>
      <c r="BI31" s="17">
        <f>IF(AND(BD31&lt;&gt;"", BG31&lt;&gt;""), SUM(BG$4:BG31), "")</f>
        <v>13847</v>
      </c>
      <c r="BJ31" s="16">
        <f t="shared" si="9"/>
        <v>0.53500502279576545</v>
      </c>
      <c r="BK31" s="14"/>
      <c r="BL31" s="27">
        <v>22</v>
      </c>
      <c r="BM31" s="20">
        <v>49</v>
      </c>
      <c r="BN31" s="8"/>
      <c r="BO31" s="49">
        <v>47</v>
      </c>
      <c r="BP31" s="83">
        <f t="shared" si="32"/>
        <v>5</v>
      </c>
      <c r="BQ31" s="15">
        <f t="shared" si="23"/>
        <v>42.84</v>
      </c>
      <c r="BR31" s="52">
        <v>1390</v>
      </c>
      <c r="BS31" s="16">
        <f t="shared" si="10"/>
        <v>3.5896906151541758E-2</v>
      </c>
      <c r="BT31" s="17">
        <f>IF(AND(BO31&lt;&gt;"", BR31&lt;&gt;""), SUM(BR$4:BR31), "")</f>
        <v>22829</v>
      </c>
      <c r="BU31" s="16">
        <f t="shared" si="11"/>
        <v>0.58956148959247978</v>
      </c>
      <c r="BV31" s="14"/>
      <c r="BW31" s="27">
        <v>22</v>
      </c>
      <c r="BX31" s="20">
        <v>48</v>
      </c>
      <c r="BY31" s="8"/>
      <c r="BZ31" s="49">
        <v>46</v>
      </c>
      <c r="CA31" s="83">
        <f t="shared" si="33"/>
        <v>5</v>
      </c>
      <c r="CB31" s="15">
        <f t="shared" si="24"/>
        <v>40.04</v>
      </c>
      <c r="CC31" s="52">
        <v>1662</v>
      </c>
      <c r="CD31" s="16">
        <f t="shared" si="12"/>
        <v>3.4637989245967241E-2</v>
      </c>
      <c r="CE31" s="17">
        <f>IF(AND(BZ31&lt;&gt;"", CC31&lt;&gt;""), SUM(CC$4:CC31), "")</f>
        <v>29603</v>
      </c>
      <c r="CF31" s="16">
        <f t="shared" si="13"/>
        <v>0.61696052686424074</v>
      </c>
      <c r="CG31" s="14"/>
      <c r="CH31" s="27">
        <v>22</v>
      </c>
      <c r="CI31" s="20">
        <v>49</v>
      </c>
      <c r="CJ31" s="8"/>
      <c r="CK31" s="49">
        <v>47</v>
      </c>
      <c r="CL31" s="83">
        <f t="shared" si="34"/>
        <v>5</v>
      </c>
      <c r="CM31" s="15">
        <f t="shared" si="25"/>
        <v>43.63</v>
      </c>
      <c r="CN31" s="52">
        <v>2781</v>
      </c>
      <c r="CO31" s="16">
        <f t="shared" si="14"/>
        <v>3.3257196158859616E-2</v>
      </c>
      <c r="CP31" s="17">
        <f>IF(AND(CK31&lt;&gt;"", CN31&lt;&gt;""), SUM(CN$4:CN31), "")</f>
        <v>48530</v>
      </c>
      <c r="CQ31" s="16">
        <f t="shared" si="15"/>
        <v>0.58035660898578112</v>
      </c>
      <c r="CR31" s="14"/>
      <c r="CS31" s="27">
        <v>22</v>
      </c>
      <c r="CT31" s="20">
        <v>51</v>
      </c>
      <c r="CU31" s="8"/>
      <c r="CV31" s="49">
        <v>50</v>
      </c>
      <c r="CW31" s="83">
        <f t="shared" si="35"/>
        <v>4</v>
      </c>
      <c r="CX31" s="15">
        <f t="shared" si="26"/>
        <v>58.59</v>
      </c>
      <c r="CY31" s="52">
        <v>2449</v>
      </c>
      <c r="CZ31" s="16">
        <f t="shared" si="16"/>
        <v>3.2920206473814391E-2</v>
      </c>
      <c r="DA31" s="17">
        <f>IF(AND(CV31&lt;&gt;"", CY31&lt;&gt;""), SUM(CY$4:CY31), "")</f>
        <v>32031</v>
      </c>
      <c r="DB31" s="16">
        <f t="shared" si="17"/>
        <v>0.43057049145069365</v>
      </c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</row>
    <row r="32" spans="1:180" ht="16" customHeight="1" x14ac:dyDescent="0.2">
      <c r="A32" s="82">
        <v>0.4</v>
      </c>
      <c r="B32" s="80">
        <v>4</v>
      </c>
      <c r="C32" s="1"/>
      <c r="D32" s="1"/>
      <c r="E32" s="1"/>
      <c r="F32" s="86"/>
      <c r="G32" s="85">
        <v>4</v>
      </c>
      <c r="H32" s="36"/>
      <c r="I32" s="86"/>
      <c r="J32" s="85">
        <v>4</v>
      </c>
      <c r="K32" s="36"/>
      <c r="L32" s="86"/>
      <c r="M32" s="85">
        <v>4</v>
      </c>
      <c r="N32"/>
      <c r="O32" s="38">
        <v>106</v>
      </c>
      <c r="P32" s="83">
        <f t="shared" si="27"/>
        <v>5</v>
      </c>
      <c r="Q32" s="15">
        <f t="shared" si="18"/>
        <v>56.56</v>
      </c>
      <c r="R32" s="43">
        <v>5299</v>
      </c>
      <c r="S32" s="16">
        <f t="shared" si="0"/>
        <v>1.8466631817389789E-2</v>
      </c>
      <c r="T32" s="17">
        <f>IF(AND(O32&lt;&gt;"", R32&lt;&gt;""), SUM(R$4:R32), "")</f>
        <v>127314</v>
      </c>
      <c r="U32" s="16">
        <f t="shared" si="1"/>
        <v>0.4436800836382645</v>
      </c>
      <c r="W32" s="38">
        <v>132</v>
      </c>
      <c r="X32" s="83">
        <f t="shared" si="28"/>
        <v>2</v>
      </c>
      <c r="Y32" s="15">
        <f t="shared" si="19"/>
        <v>92.75</v>
      </c>
      <c r="Z32" s="43">
        <v>1954</v>
      </c>
      <c r="AA32" s="16">
        <f t="shared" si="2"/>
        <v>6.8321917209500736E-3</v>
      </c>
      <c r="AB32" s="17">
        <f>IF(AND(W32&lt;&gt;"", Z32&lt;&gt;""), SUM(Z$4:Z32), "")</f>
        <v>21717</v>
      </c>
      <c r="AC32" s="16">
        <f t="shared" si="3"/>
        <v>7.5933831936475307E-2</v>
      </c>
      <c r="AD32" s="1"/>
      <c r="AE32" s="19">
        <v>21</v>
      </c>
      <c r="AF32" s="20">
        <v>46</v>
      </c>
      <c r="AG32" s="8"/>
      <c r="AH32" s="49">
        <v>42</v>
      </c>
      <c r="AI32" s="83">
        <f t="shared" si="29"/>
        <v>6</v>
      </c>
      <c r="AJ32" s="15">
        <f t="shared" si="20"/>
        <v>27.08</v>
      </c>
      <c r="AK32" s="52">
        <v>2119</v>
      </c>
      <c r="AL32" s="16">
        <f t="shared" si="4"/>
        <v>2.2049259648502129E-2</v>
      </c>
      <c r="AM32" s="17">
        <f>IF(AND(AH32&lt;&gt;"", AK32&lt;&gt;""), SUM(AK$4:AK32), "")</f>
        <v>71142</v>
      </c>
      <c r="AN32" s="16">
        <f t="shared" si="5"/>
        <v>0.74026825385263728</v>
      </c>
      <c r="AO32" s="14"/>
      <c r="AP32" s="27">
        <v>21</v>
      </c>
      <c r="AQ32" s="20">
        <v>50</v>
      </c>
      <c r="AR32" s="8"/>
      <c r="AS32" s="49">
        <v>45</v>
      </c>
      <c r="AT32" s="83">
        <f t="shared" si="30"/>
        <v>5</v>
      </c>
      <c r="AU32" s="15">
        <f t="shared" si="21"/>
        <v>40.32</v>
      </c>
      <c r="AV32" s="52">
        <v>703</v>
      </c>
      <c r="AW32" s="16">
        <f t="shared" si="6"/>
        <v>3.0744336569579287E-2</v>
      </c>
      <c r="AX32" s="17">
        <f>IF(AND(AS32&lt;&gt;"", AV32&lt;&gt;""), SUM(AV$4:AV32), "")</f>
        <v>13999</v>
      </c>
      <c r="AY32" s="16">
        <f t="shared" si="7"/>
        <v>0.61221901513163646</v>
      </c>
      <c r="AZ32" s="14"/>
      <c r="BA32" s="27">
        <v>21</v>
      </c>
      <c r="BB32" s="20">
        <v>50</v>
      </c>
      <c r="BC32" s="8"/>
      <c r="BD32" s="49">
        <v>47</v>
      </c>
      <c r="BE32" s="83">
        <f t="shared" si="31"/>
        <v>5</v>
      </c>
      <c r="BF32" s="15">
        <f t="shared" si="22"/>
        <v>44.88</v>
      </c>
      <c r="BG32" s="52">
        <v>838</v>
      </c>
      <c r="BH32" s="16">
        <f t="shared" si="8"/>
        <v>3.2377714241557838E-2</v>
      </c>
      <c r="BI32" s="17">
        <f>IF(AND(BD32&lt;&gt;"", BG32&lt;&gt;""), SUM(BG$4:BG32), "")</f>
        <v>14685</v>
      </c>
      <c r="BJ32" s="16">
        <f t="shared" si="9"/>
        <v>0.56738273703732323</v>
      </c>
      <c r="BK32" s="14"/>
      <c r="BL32" s="27">
        <v>21</v>
      </c>
      <c r="BM32" s="20">
        <v>48</v>
      </c>
      <c r="BN32" s="8"/>
      <c r="BO32" s="49">
        <v>46</v>
      </c>
      <c r="BP32" s="83">
        <f t="shared" si="32"/>
        <v>5</v>
      </c>
      <c r="BQ32" s="15">
        <f t="shared" si="23"/>
        <v>39.29</v>
      </c>
      <c r="BR32" s="52">
        <v>1360</v>
      </c>
      <c r="BS32" s="16">
        <f t="shared" si="10"/>
        <v>3.5122152781364602E-2</v>
      </c>
      <c r="BT32" s="17">
        <f>IF(AND(BO32&lt;&gt;"", BR32&lt;&gt;""), SUM(BR$4:BR32), "")</f>
        <v>24189</v>
      </c>
      <c r="BU32" s="16">
        <f t="shared" si="11"/>
        <v>0.62468364237384433</v>
      </c>
      <c r="BV32" s="14"/>
      <c r="BW32" s="27">
        <v>21</v>
      </c>
      <c r="BX32" s="20">
        <v>47</v>
      </c>
      <c r="BY32" s="8"/>
      <c r="BZ32" s="49">
        <v>45</v>
      </c>
      <c r="CA32" s="83">
        <f t="shared" si="33"/>
        <v>6</v>
      </c>
      <c r="CB32" s="15">
        <f t="shared" si="24"/>
        <v>36.619999999999997</v>
      </c>
      <c r="CC32" s="52">
        <v>1612</v>
      </c>
      <c r="CD32" s="16">
        <f t="shared" si="12"/>
        <v>3.3595931807761242E-2</v>
      </c>
      <c r="CE32" s="17">
        <f>IF(AND(BZ32&lt;&gt;"", CC32&lt;&gt;""), SUM(CC$4:CC32), "")</f>
        <v>31215</v>
      </c>
      <c r="CF32" s="16">
        <f t="shared" si="13"/>
        <v>0.65055645867200196</v>
      </c>
      <c r="CG32" s="14"/>
      <c r="CH32" s="27">
        <v>21</v>
      </c>
      <c r="CI32" s="20">
        <v>48</v>
      </c>
      <c r="CJ32" s="8"/>
      <c r="CK32" s="49">
        <v>46</v>
      </c>
      <c r="CL32" s="83">
        <f t="shared" si="34"/>
        <v>5</v>
      </c>
      <c r="CM32" s="15">
        <f t="shared" si="25"/>
        <v>40.24</v>
      </c>
      <c r="CN32" s="52">
        <v>2886</v>
      </c>
      <c r="CO32" s="16">
        <f t="shared" si="14"/>
        <v>3.4512861601750759E-2</v>
      </c>
      <c r="CP32" s="17">
        <f>IF(AND(CK32&lt;&gt;"", CN32&lt;&gt;""), SUM(CN$4:CN32), "")</f>
        <v>51416</v>
      </c>
      <c r="CQ32" s="16">
        <f t="shared" si="15"/>
        <v>0.61486947058753183</v>
      </c>
      <c r="CR32" s="14"/>
      <c r="CS32" s="27">
        <v>21</v>
      </c>
      <c r="CT32" s="20">
        <v>50</v>
      </c>
      <c r="CU32" s="8"/>
      <c r="CV32" s="49">
        <v>49</v>
      </c>
      <c r="CW32" s="83">
        <f t="shared" si="35"/>
        <v>5</v>
      </c>
      <c r="CX32" s="15">
        <f t="shared" si="26"/>
        <v>55.27</v>
      </c>
      <c r="CY32" s="52">
        <v>2494</v>
      </c>
      <c r="CZ32" s="16">
        <f t="shared" si="16"/>
        <v>3.3525110226906116E-2</v>
      </c>
      <c r="DA32" s="17">
        <f>IF(AND(CV32&lt;&gt;"", CY32&lt;&gt;""), SUM(CY$4:CY32), "")</f>
        <v>34525</v>
      </c>
      <c r="DB32" s="16">
        <f t="shared" si="17"/>
        <v>0.46409560167759972</v>
      </c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</row>
    <row r="33" spans="1:180" ht="16" customHeight="1" x14ac:dyDescent="0.2">
      <c r="A33" s="82">
        <v>0.6</v>
      </c>
      <c r="B33" s="80">
        <v>5</v>
      </c>
      <c r="C33" s="1"/>
      <c r="D33" s="1"/>
      <c r="E33" s="1"/>
      <c r="F33" s="86"/>
      <c r="G33" s="85">
        <v>5</v>
      </c>
      <c r="H33" s="36"/>
      <c r="I33" s="86"/>
      <c r="J33" s="85">
        <v>5</v>
      </c>
      <c r="K33" s="36"/>
      <c r="L33" s="86"/>
      <c r="M33" s="85">
        <v>5</v>
      </c>
      <c r="N33"/>
      <c r="O33" s="38">
        <v>105</v>
      </c>
      <c r="P33" s="83">
        <f t="shared" si="27"/>
        <v>5</v>
      </c>
      <c r="Q33" s="15">
        <f t="shared" si="18"/>
        <v>54.79</v>
      </c>
      <c r="R33" s="43">
        <v>4852</v>
      </c>
      <c r="S33" s="16">
        <f t="shared" si="0"/>
        <v>1.6908869140965326E-2</v>
      </c>
      <c r="T33" s="17">
        <f>IF(AND(O33&lt;&gt;"", R33&lt;&gt;""), SUM(R$4:R33), "")</f>
        <v>132166</v>
      </c>
      <c r="U33" s="16">
        <f t="shared" si="1"/>
        <v>0.46058895277922984</v>
      </c>
      <c r="W33" s="38">
        <v>131</v>
      </c>
      <c r="X33" s="83">
        <f t="shared" si="28"/>
        <v>2</v>
      </c>
      <c r="Y33" s="15">
        <f t="shared" si="19"/>
        <v>91.84</v>
      </c>
      <c r="Z33" s="43">
        <v>3269</v>
      </c>
      <c r="AA33" s="16">
        <f t="shared" si="2"/>
        <v>1.1430109895489145E-2</v>
      </c>
      <c r="AB33" s="17">
        <f>IF(AND(W33&lt;&gt;"", Z33&lt;&gt;""), SUM(Z$4:Z33), "")</f>
        <v>24986</v>
      </c>
      <c r="AC33" s="16">
        <f t="shared" si="3"/>
        <v>8.7363941831964442E-2</v>
      </c>
      <c r="AD33" s="1"/>
      <c r="AE33" s="19">
        <v>20</v>
      </c>
      <c r="AF33" s="20">
        <v>45</v>
      </c>
      <c r="AG33" s="8"/>
      <c r="AH33" s="49">
        <v>41</v>
      </c>
      <c r="AI33" s="83">
        <f t="shared" si="29"/>
        <v>6</v>
      </c>
      <c r="AJ33" s="15">
        <f t="shared" si="20"/>
        <v>24.84</v>
      </c>
      <c r="AK33" s="52">
        <v>2176</v>
      </c>
      <c r="AL33" s="16">
        <f t="shared" si="4"/>
        <v>2.2642373286994161E-2</v>
      </c>
      <c r="AM33" s="17">
        <f>IF(AND(AH33&lt;&gt;"", AK33&lt;&gt;""), SUM(AK$4:AK33), "")</f>
        <v>73318</v>
      </c>
      <c r="AN33" s="16">
        <f t="shared" si="5"/>
        <v>0.76291062713963143</v>
      </c>
      <c r="AO33" s="14"/>
      <c r="AP33" s="27">
        <v>20</v>
      </c>
      <c r="AQ33" s="20">
        <v>49</v>
      </c>
      <c r="AR33" s="8"/>
      <c r="AS33" s="49">
        <v>44</v>
      </c>
      <c r="AT33" s="83">
        <f t="shared" si="30"/>
        <v>6</v>
      </c>
      <c r="AU33" s="15">
        <f t="shared" si="21"/>
        <v>37.33</v>
      </c>
      <c r="AV33" s="52">
        <v>662</v>
      </c>
      <c r="AW33" s="16">
        <f t="shared" si="6"/>
        <v>2.8951281378465844E-2</v>
      </c>
      <c r="AX33" s="17">
        <f>IF(AND(AS33&lt;&gt;"", AV33&lt;&gt;""), SUM(AV$4:AV33), "")</f>
        <v>14661</v>
      </c>
      <c r="AY33" s="16">
        <f t="shared" si="7"/>
        <v>0.64117029651010238</v>
      </c>
      <c r="AZ33" s="14"/>
      <c r="BA33" s="27">
        <v>20</v>
      </c>
      <c r="BB33" s="20">
        <v>49</v>
      </c>
      <c r="BC33" s="8"/>
      <c r="BD33" s="49">
        <v>46</v>
      </c>
      <c r="BE33" s="83">
        <f t="shared" si="31"/>
        <v>5</v>
      </c>
      <c r="BF33" s="15">
        <f t="shared" si="22"/>
        <v>41.56</v>
      </c>
      <c r="BG33" s="52">
        <v>881</v>
      </c>
      <c r="BH33" s="16">
        <f t="shared" si="8"/>
        <v>3.4039100533189086E-2</v>
      </c>
      <c r="BI33" s="17">
        <f>IF(AND(BD33&lt;&gt;"", BG33&lt;&gt;""), SUM(BG$4:BG33), "")</f>
        <v>15566</v>
      </c>
      <c r="BJ33" s="16">
        <f t="shared" si="9"/>
        <v>0.60142183757051237</v>
      </c>
      <c r="BK33" s="14"/>
      <c r="BL33" s="27">
        <v>20</v>
      </c>
      <c r="BM33" s="20">
        <v>47</v>
      </c>
      <c r="BN33" s="8"/>
      <c r="BO33" s="49">
        <v>45</v>
      </c>
      <c r="BP33" s="83">
        <f t="shared" si="32"/>
        <v>6</v>
      </c>
      <c r="BQ33" s="15">
        <f t="shared" si="23"/>
        <v>35.99</v>
      </c>
      <c r="BR33" s="52">
        <v>1192</v>
      </c>
      <c r="BS33" s="16">
        <f t="shared" si="10"/>
        <v>3.0783533908372501E-2</v>
      </c>
      <c r="BT33" s="17">
        <f>IF(AND(BO33&lt;&gt;"", BR33&lt;&gt;""), SUM(BR$4:BR33), "")</f>
        <v>25381</v>
      </c>
      <c r="BU33" s="16">
        <f t="shared" si="11"/>
        <v>0.65546717628221685</v>
      </c>
      <c r="BV33" s="14"/>
      <c r="BW33" s="27">
        <v>20</v>
      </c>
      <c r="BX33" s="20">
        <v>46</v>
      </c>
      <c r="BY33" s="8"/>
      <c r="BZ33" s="49">
        <v>44</v>
      </c>
      <c r="CA33" s="83">
        <f t="shared" si="33"/>
        <v>6</v>
      </c>
      <c r="CB33" s="15">
        <f t="shared" si="24"/>
        <v>33.07</v>
      </c>
      <c r="CC33" s="52">
        <v>1802</v>
      </c>
      <c r="CD33" s="16">
        <f t="shared" si="12"/>
        <v>3.7555750072944018E-2</v>
      </c>
      <c r="CE33" s="17">
        <f>IF(AND(BZ33&lt;&gt;"", CC33&lt;&gt;""), SUM(CC$4:CC33), "")</f>
        <v>33017</v>
      </c>
      <c r="CF33" s="16">
        <f t="shared" si="13"/>
        <v>0.68811220874494605</v>
      </c>
      <c r="CG33" s="14"/>
      <c r="CH33" s="27">
        <v>20</v>
      </c>
      <c r="CI33" s="20">
        <v>47</v>
      </c>
      <c r="CJ33" s="8"/>
      <c r="CK33" s="49">
        <v>45</v>
      </c>
      <c r="CL33" s="83">
        <f t="shared" si="34"/>
        <v>6</v>
      </c>
      <c r="CM33" s="15">
        <f t="shared" si="25"/>
        <v>36.92</v>
      </c>
      <c r="CN33" s="52">
        <v>2657</v>
      </c>
      <c r="CO33" s="16">
        <f t="shared" si="14"/>
        <v>3.17743150643977E-2</v>
      </c>
      <c r="CP33" s="17">
        <f>IF(AND(CK33&lt;&gt;"", CN33&lt;&gt;""), SUM(CN$4:CN33), "")</f>
        <v>54073</v>
      </c>
      <c r="CQ33" s="16">
        <f t="shared" si="15"/>
        <v>0.64664378565192959</v>
      </c>
      <c r="CR33" s="14"/>
      <c r="CS33" s="27">
        <v>20</v>
      </c>
      <c r="CT33" s="20">
        <v>49</v>
      </c>
      <c r="CU33" s="8"/>
      <c r="CV33" s="49">
        <v>48</v>
      </c>
      <c r="CW33" s="83">
        <f t="shared" si="35"/>
        <v>5</v>
      </c>
      <c r="CX33" s="15">
        <f t="shared" si="26"/>
        <v>51.7</v>
      </c>
      <c r="CY33" s="52">
        <v>2820</v>
      </c>
      <c r="CZ33" s="16">
        <f t="shared" si="16"/>
        <v>3.7907301860415098E-2</v>
      </c>
      <c r="DA33" s="17">
        <f>IF(AND(CV33&lt;&gt;"", CY33&lt;&gt;""), SUM(CY$4:CY33), "")</f>
        <v>37345</v>
      </c>
      <c r="DB33" s="16">
        <f t="shared" si="17"/>
        <v>0.5020029035380148</v>
      </c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</row>
    <row r="34" spans="1:180" ht="16" customHeight="1" x14ac:dyDescent="0.2">
      <c r="A34" s="82">
        <v>0.77</v>
      </c>
      <c r="B34" s="80">
        <v>6</v>
      </c>
      <c r="C34" s="1"/>
      <c r="D34" s="1"/>
      <c r="E34" s="1"/>
      <c r="F34" s="86"/>
      <c r="G34" s="85">
        <v>6</v>
      </c>
      <c r="H34" s="36"/>
      <c r="I34" s="86"/>
      <c r="J34" s="85">
        <v>6</v>
      </c>
      <c r="K34" s="36"/>
      <c r="L34" s="86"/>
      <c r="M34" s="85">
        <v>6</v>
      </c>
      <c r="N34"/>
      <c r="O34" s="38">
        <v>104</v>
      </c>
      <c r="P34" s="83">
        <f t="shared" si="27"/>
        <v>5</v>
      </c>
      <c r="Q34" s="15">
        <f t="shared" si="18"/>
        <v>53.1</v>
      </c>
      <c r="R34" s="43">
        <v>4824</v>
      </c>
      <c r="S34" s="16">
        <f t="shared" si="0"/>
        <v>1.6811291165708311E-2</v>
      </c>
      <c r="T34" s="17">
        <f>IF(AND(O34&lt;&gt;"", R34&lt;&gt;""), SUM(R$4:R34), "")</f>
        <v>136990</v>
      </c>
      <c r="U34" s="16">
        <f t="shared" si="1"/>
        <v>0.47740024394493813</v>
      </c>
      <c r="W34" s="38">
        <v>130</v>
      </c>
      <c r="X34" s="83">
        <f t="shared" si="28"/>
        <v>2</v>
      </c>
      <c r="Y34" s="15">
        <f t="shared" si="19"/>
        <v>90.72</v>
      </c>
      <c r="Z34" s="43">
        <v>3116</v>
      </c>
      <c r="AA34" s="16">
        <f t="shared" si="2"/>
        <v>1.0895142990010454E-2</v>
      </c>
      <c r="AB34" s="17">
        <f>IF(AND(W34&lt;&gt;"", Z34&lt;&gt;""), SUM(Z$4:Z34), "")</f>
        <v>28102</v>
      </c>
      <c r="AC34" s="16">
        <f t="shared" si="3"/>
        <v>9.8259084821974901E-2</v>
      </c>
      <c r="AD34" s="1"/>
      <c r="AE34" s="19">
        <v>19</v>
      </c>
      <c r="AF34" s="20">
        <v>44</v>
      </c>
      <c r="AG34" s="8"/>
      <c r="AH34" s="49">
        <v>40</v>
      </c>
      <c r="AI34" s="83">
        <f t="shared" si="29"/>
        <v>6</v>
      </c>
      <c r="AJ34" s="15">
        <f t="shared" si="20"/>
        <v>21.56</v>
      </c>
      <c r="AK34" s="52">
        <v>4128</v>
      </c>
      <c r="AL34" s="16">
        <f t="shared" si="4"/>
        <v>4.2953914029738929E-2</v>
      </c>
      <c r="AM34" s="17">
        <f>IF(AND(AH34&lt;&gt;"", AK34&lt;&gt;""), SUM(AK$4:AK34), "")</f>
        <v>77446</v>
      </c>
      <c r="AN34" s="16">
        <f t="shared" si="5"/>
        <v>0.80586454116937034</v>
      </c>
      <c r="AO34" s="14"/>
      <c r="AP34" s="27">
        <v>19</v>
      </c>
      <c r="AQ34" s="20">
        <v>48</v>
      </c>
      <c r="AR34" s="8"/>
      <c r="AS34" s="49">
        <v>43</v>
      </c>
      <c r="AT34" s="83">
        <f t="shared" si="30"/>
        <v>6</v>
      </c>
      <c r="AU34" s="15">
        <f t="shared" si="21"/>
        <v>34.36</v>
      </c>
      <c r="AV34" s="52">
        <v>696</v>
      </c>
      <c r="AW34" s="16">
        <f t="shared" si="6"/>
        <v>3.0438205195486748E-2</v>
      </c>
      <c r="AX34" s="17">
        <f>IF(AND(AS34&lt;&gt;"", AV34&lt;&gt;""), SUM(AV$4:AV34), "")</f>
        <v>15357</v>
      </c>
      <c r="AY34" s="16">
        <f t="shared" si="7"/>
        <v>0.67160850170558906</v>
      </c>
      <c r="AZ34" s="14"/>
      <c r="BA34" s="27">
        <v>19</v>
      </c>
      <c r="BB34" s="20">
        <v>48</v>
      </c>
      <c r="BC34" s="8"/>
      <c r="BD34" s="49">
        <v>45</v>
      </c>
      <c r="BE34" s="83">
        <f t="shared" si="31"/>
        <v>6</v>
      </c>
      <c r="BF34" s="15">
        <f t="shared" si="22"/>
        <v>38.21</v>
      </c>
      <c r="BG34" s="52">
        <v>855</v>
      </c>
      <c r="BH34" s="16">
        <f t="shared" si="8"/>
        <v>3.3034541380109729E-2</v>
      </c>
      <c r="BI34" s="17">
        <f>IF(AND(BD34&lt;&gt;"", BG34&lt;&gt;""), SUM(BG$4:BG34), "")</f>
        <v>16421</v>
      </c>
      <c r="BJ34" s="16">
        <f t="shared" si="9"/>
        <v>0.63445637895062201</v>
      </c>
      <c r="BK34" s="14"/>
      <c r="BL34" s="27">
        <v>19</v>
      </c>
      <c r="BM34" s="20">
        <v>46</v>
      </c>
      <c r="BN34" s="8"/>
      <c r="BO34" s="49">
        <v>44</v>
      </c>
      <c r="BP34" s="83">
        <f t="shared" si="32"/>
        <v>6</v>
      </c>
      <c r="BQ34" s="15">
        <f t="shared" si="23"/>
        <v>32.520000000000003</v>
      </c>
      <c r="BR34" s="52">
        <v>1495</v>
      </c>
      <c r="BS34" s="16">
        <f t="shared" si="10"/>
        <v>3.8608542947161817E-2</v>
      </c>
      <c r="BT34" s="17">
        <f>IF(AND(BO34&lt;&gt;"", BR34&lt;&gt;""), SUM(BR$4:BR34), "")</f>
        <v>26876</v>
      </c>
      <c r="BU34" s="16">
        <f t="shared" si="11"/>
        <v>0.69407571922937861</v>
      </c>
      <c r="BV34" s="14"/>
      <c r="BW34" s="27">
        <v>19</v>
      </c>
      <c r="BX34" s="20">
        <v>45</v>
      </c>
      <c r="BY34" s="8"/>
      <c r="BZ34" s="49">
        <v>43</v>
      </c>
      <c r="CA34" s="83">
        <f t="shared" si="33"/>
        <v>6</v>
      </c>
      <c r="CB34" s="15">
        <f t="shared" si="24"/>
        <v>29.58</v>
      </c>
      <c r="CC34" s="52">
        <v>1545</v>
      </c>
      <c r="CD34" s="16">
        <f t="shared" si="12"/>
        <v>3.2199574840565209E-2</v>
      </c>
      <c r="CE34" s="17">
        <f>IF(AND(BZ34&lt;&gt;"", CC34&lt;&gt;""), SUM(CC$4:CC34), "")</f>
        <v>34562</v>
      </c>
      <c r="CF34" s="16">
        <f t="shared" si="13"/>
        <v>0.72031178358551118</v>
      </c>
      <c r="CG34" s="14"/>
      <c r="CH34" s="27">
        <v>19</v>
      </c>
      <c r="CI34" s="20">
        <v>46</v>
      </c>
      <c r="CJ34" s="8"/>
      <c r="CK34" s="49">
        <v>44</v>
      </c>
      <c r="CL34" s="83">
        <f t="shared" si="34"/>
        <v>6</v>
      </c>
      <c r="CM34" s="15">
        <f t="shared" si="25"/>
        <v>33.42</v>
      </c>
      <c r="CN34" s="52">
        <v>3210</v>
      </c>
      <c r="CO34" s="16">
        <f t="shared" si="14"/>
        <v>3.8387486396957701E-2</v>
      </c>
      <c r="CP34" s="17">
        <f>IF(AND(CK34&lt;&gt;"", CN34&lt;&gt;""), SUM(CN$4:CN34), "")</f>
        <v>57283</v>
      </c>
      <c r="CQ34" s="16">
        <f t="shared" si="15"/>
        <v>0.68503127204888725</v>
      </c>
      <c r="CR34" s="14"/>
      <c r="CS34" s="27">
        <v>19</v>
      </c>
      <c r="CT34" s="20">
        <v>48</v>
      </c>
      <c r="CU34" s="8"/>
      <c r="CV34" s="49">
        <v>47</v>
      </c>
      <c r="CW34" s="83">
        <f t="shared" si="35"/>
        <v>5</v>
      </c>
      <c r="CX34" s="15">
        <f t="shared" si="26"/>
        <v>45.94</v>
      </c>
      <c r="CY34" s="52">
        <v>5743</v>
      </c>
      <c r="CZ34" s="16">
        <f t="shared" si="16"/>
        <v>7.7199161200129041E-2</v>
      </c>
      <c r="DA34" s="17">
        <f>IF(AND(CV34&lt;&gt;"", CY34&lt;&gt;""), SUM(CY$4:CY34), "")</f>
        <v>43088</v>
      </c>
      <c r="DB34" s="16">
        <f t="shared" si="17"/>
        <v>0.57920206473814384</v>
      </c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</row>
    <row r="35" spans="1:180" ht="16" customHeight="1" x14ac:dyDescent="0.2">
      <c r="A35" s="82">
        <v>0.89</v>
      </c>
      <c r="B35" s="80">
        <v>7</v>
      </c>
      <c r="C35" s="1"/>
      <c r="D35" s="1"/>
      <c r="E35" s="1"/>
      <c r="F35" s="86"/>
      <c r="G35" s="85">
        <v>7</v>
      </c>
      <c r="H35" s="36"/>
      <c r="I35" s="86"/>
      <c r="J35" s="85">
        <v>7</v>
      </c>
      <c r="K35" s="36"/>
      <c r="L35" s="86"/>
      <c r="M35" s="85">
        <v>7</v>
      </c>
      <c r="N35"/>
      <c r="O35" s="38">
        <v>103</v>
      </c>
      <c r="P35" s="83">
        <f t="shared" si="27"/>
        <v>5</v>
      </c>
      <c r="Q35" s="15">
        <f t="shared" si="18"/>
        <v>51.37</v>
      </c>
      <c r="R35" s="43">
        <v>5099</v>
      </c>
      <c r="S35" s="16">
        <f t="shared" si="0"/>
        <v>1.7769646279839693E-2</v>
      </c>
      <c r="T35" s="17">
        <f>IF(AND(O35&lt;&gt;"", R35&lt;&gt;""), SUM(R$4:R35), "")</f>
        <v>142089</v>
      </c>
      <c r="U35" s="16">
        <f t="shared" si="1"/>
        <v>0.49516989022477781</v>
      </c>
      <c r="W35" s="38">
        <v>129</v>
      </c>
      <c r="X35" s="83">
        <f t="shared" si="28"/>
        <v>2</v>
      </c>
      <c r="Y35" s="15">
        <f t="shared" si="19"/>
        <v>89.85</v>
      </c>
      <c r="Z35" s="43">
        <v>1841</v>
      </c>
      <c r="AA35" s="16">
        <f t="shared" si="2"/>
        <v>6.4370854443547001E-3</v>
      </c>
      <c r="AB35" s="17">
        <f>IF(AND(W35&lt;&gt;"", Z35&lt;&gt;""), SUM(Z$4:Z35), "")</f>
        <v>29943</v>
      </c>
      <c r="AC35" s="16">
        <f t="shared" si="3"/>
        <v>0.1046961702663296</v>
      </c>
      <c r="AD35" s="1"/>
      <c r="AE35" s="19">
        <v>18</v>
      </c>
      <c r="AF35" s="20">
        <v>43</v>
      </c>
      <c r="AG35" s="8"/>
      <c r="AH35" s="49">
        <v>39</v>
      </c>
      <c r="AI35" s="83">
        <f t="shared" si="29"/>
        <v>7</v>
      </c>
      <c r="AJ35" s="15">
        <f t="shared" si="20"/>
        <v>18.28</v>
      </c>
      <c r="AK35" s="52">
        <v>2186</v>
      </c>
      <c r="AL35" s="16">
        <f t="shared" si="4"/>
        <v>2.2746428311291009E-2</v>
      </c>
      <c r="AM35" s="17">
        <f>IF(AND(AH35&lt;&gt;"", AK35&lt;&gt;""), SUM(AK$4:AK35), "")</f>
        <v>79632</v>
      </c>
      <c r="AN35" s="16">
        <f t="shared" si="5"/>
        <v>0.82861096948066137</v>
      </c>
      <c r="AO35" s="14"/>
      <c r="AP35" s="27">
        <v>18</v>
      </c>
      <c r="AQ35" s="20">
        <v>47</v>
      </c>
      <c r="AR35" s="8"/>
      <c r="AS35" s="49">
        <v>42</v>
      </c>
      <c r="AT35" s="83">
        <f t="shared" si="30"/>
        <v>6</v>
      </c>
      <c r="AU35" s="15">
        <f t="shared" si="21"/>
        <v>26.57</v>
      </c>
      <c r="AV35" s="52">
        <v>2869</v>
      </c>
      <c r="AW35" s="16">
        <f t="shared" si="6"/>
        <v>0.12547013032449925</v>
      </c>
      <c r="AX35" s="17">
        <f>IF(AND(AS35&lt;&gt;"", AV35&lt;&gt;""), SUM(AV$4:AV35), "")</f>
        <v>18226</v>
      </c>
      <c r="AY35" s="16">
        <f t="shared" si="7"/>
        <v>0.79707863203008833</v>
      </c>
      <c r="AZ35" s="14"/>
      <c r="BA35" s="27">
        <v>18</v>
      </c>
      <c r="BB35" s="20">
        <v>47</v>
      </c>
      <c r="BC35" s="8"/>
      <c r="BD35" s="49">
        <v>44</v>
      </c>
      <c r="BE35" s="83">
        <f t="shared" si="31"/>
        <v>6</v>
      </c>
      <c r="BF35" s="15">
        <f t="shared" si="22"/>
        <v>34.799999999999997</v>
      </c>
      <c r="BG35" s="52">
        <v>910</v>
      </c>
      <c r="BH35" s="16">
        <f t="shared" si="8"/>
        <v>3.5159570357777607E-2</v>
      </c>
      <c r="BI35" s="17">
        <f>IF(AND(BD35&lt;&gt;"", BG35&lt;&gt;""), SUM(BG$4:BG35), "")</f>
        <v>17331</v>
      </c>
      <c r="BJ35" s="16">
        <f t="shared" si="9"/>
        <v>0.66961594930839963</v>
      </c>
      <c r="BK35" s="14"/>
      <c r="BL35" s="27">
        <v>18</v>
      </c>
      <c r="BM35" s="20">
        <v>45</v>
      </c>
      <c r="BN35" s="8"/>
      <c r="BO35" s="49">
        <v>43</v>
      </c>
      <c r="BP35" s="83">
        <f t="shared" si="32"/>
        <v>6</v>
      </c>
      <c r="BQ35" s="15">
        <f t="shared" si="23"/>
        <v>29.04</v>
      </c>
      <c r="BR35" s="52">
        <v>1204</v>
      </c>
      <c r="BS35" s="16">
        <f t="shared" si="10"/>
        <v>3.1093435256443366E-2</v>
      </c>
      <c r="BT35" s="17">
        <f>IF(AND(BO35&lt;&gt;"", BR35&lt;&gt;""), SUM(BR$4:BR35), "")</f>
        <v>28080</v>
      </c>
      <c r="BU35" s="16">
        <f t="shared" si="11"/>
        <v>0.72516915448582198</v>
      </c>
      <c r="BV35" s="14"/>
      <c r="BW35" s="27">
        <v>18</v>
      </c>
      <c r="BX35" s="20">
        <v>44</v>
      </c>
      <c r="BY35" s="8"/>
      <c r="BZ35" s="49">
        <v>42</v>
      </c>
      <c r="CA35" s="83">
        <f t="shared" si="33"/>
        <v>6</v>
      </c>
      <c r="CB35" s="15">
        <f t="shared" si="24"/>
        <v>26.18</v>
      </c>
      <c r="CC35" s="52">
        <v>1718</v>
      </c>
      <c r="CD35" s="16">
        <f t="shared" si="12"/>
        <v>3.580509357675795E-2</v>
      </c>
      <c r="CE35" s="17">
        <f>IF(AND(BZ35&lt;&gt;"", CC35&lt;&gt;""), SUM(CC$4:CC35), "")</f>
        <v>36280</v>
      </c>
      <c r="CF35" s="16">
        <f t="shared" si="13"/>
        <v>0.75611687716226916</v>
      </c>
      <c r="CG35" s="14"/>
      <c r="CH35" s="27">
        <v>18</v>
      </c>
      <c r="CI35" s="20">
        <v>45</v>
      </c>
      <c r="CJ35" s="8"/>
      <c r="CK35" s="49">
        <v>43</v>
      </c>
      <c r="CL35" s="83">
        <f t="shared" si="34"/>
        <v>6</v>
      </c>
      <c r="CM35" s="15">
        <f t="shared" si="25"/>
        <v>29.93</v>
      </c>
      <c r="CN35" s="52">
        <v>2627</v>
      </c>
      <c r="CO35" s="16">
        <f t="shared" si="14"/>
        <v>3.1415553509285946E-2</v>
      </c>
      <c r="CP35" s="17">
        <f>IF(AND(CK35&lt;&gt;"", CN35&lt;&gt;""), SUM(CN$4:CN35), "")</f>
        <v>59910</v>
      </c>
      <c r="CQ35" s="16">
        <f t="shared" si="15"/>
        <v>0.71644682555817318</v>
      </c>
      <c r="CR35" s="14"/>
      <c r="CS35" s="27">
        <v>18</v>
      </c>
      <c r="CT35" s="20">
        <v>47</v>
      </c>
      <c r="CU35" s="8"/>
      <c r="CV35" s="49">
        <v>46</v>
      </c>
      <c r="CW35" s="83">
        <f t="shared" si="35"/>
        <v>5</v>
      </c>
      <c r="CX35" s="15">
        <f t="shared" si="26"/>
        <v>40.119999999999997</v>
      </c>
      <c r="CY35" s="52">
        <v>2913</v>
      </c>
      <c r="CZ35" s="16">
        <f t="shared" si="16"/>
        <v>3.915743628347134E-2</v>
      </c>
      <c r="DA35" s="17">
        <f>IF(AND(CV35&lt;&gt;"", CY35&lt;&gt;""), SUM(CY$4:CY35), "")</f>
        <v>46001</v>
      </c>
      <c r="DB35" s="16">
        <f t="shared" si="17"/>
        <v>0.61835950102161519</v>
      </c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</row>
    <row r="36" spans="1:180" ht="16" customHeight="1" x14ac:dyDescent="0.2">
      <c r="A36" s="82">
        <v>0.96</v>
      </c>
      <c r="B36" s="80">
        <v>8</v>
      </c>
      <c r="C36" s="1"/>
      <c r="D36" s="1"/>
      <c r="E36" s="1"/>
      <c r="F36" s="86"/>
      <c r="G36" s="85">
        <v>8</v>
      </c>
      <c r="H36" s="36"/>
      <c r="I36" s="86"/>
      <c r="J36" s="85">
        <v>8</v>
      </c>
      <c r="K36" s="36"/>
      <c r="L36" s="86"/>
      <c r="M36" s="85">
        <v>8</v>
      </c>
      <c r="N36"/>
      <c r="O36" s="38">
        <v>102</v>
      </c>
      <c r="P36" s="83">
        <f t="shared" si="27"/>
        <v>5</v>
      </c>
      <c r="Q36" s="15">
        <f t="shared" si="18"/>
        <v>49.58</v>
      </c>
      <c r="R36" s="43">
        <v>5174</v>
      </c>
      <c r="S36" s="16">
        <f t="shared" si="0"/>
        <v>1.803101585642098E-2</v>
      </c>
      <c r="T36" s="17">
        <f>IF(AND(O36&lt;&gt;"", R36&lt;&gt;""), SUM(R$4:R36), "")</f>
        <v>147263</v>
      </c>
      <c r="U36" s="16">
        <f t="shared" si="1"/>
        <v>0.51320090608119884</v>
      </c>
      <c r="W36" s="38">
        <v>128</v>
      </c>
      <c r="X36" s="83">
        <f t="shared" si="28"/>
        <v>2</v>
      </c>
      <c r="Y36" s="15">
        <f t="shared" si="19"/>
        <v>88.79</v>
      </c>
      <c r="Z36" s="43">
        <v>4232</v>
      </c>
      <c r="AA36" s="16">
        <f t="shared" si="2"/>
        <v>1.4797254535855021E-2</v>
      </c>
      <c r="AB36" s="17">
        <f>IF(AND(W36&lt;&gt;"", Z36&lt;&gt;""), SUM(Z$4:Z36), "")</f>
        <v>34175</v>
      </c>
      <c r="AC36" s="16">
        <f t="shared" si="3"/>
        <v>0.11949342480218463</v>
      </c>
      <c r="AD36" s="1"/>
      <c r="AE36" s="19">
        <v>17</v>
      </c>
      <c r="AF36" s="20">
        <v>42</v>
      </c>
      <c r="AG36" s="8"/>
      <c r="AH36" s="49">
        <v>38</v>
      </c>
      <c r="AI36" s="83">
        <f t="shared" si="29"/>
        <v>7</v>
      </c>
      <c r="AJ36" s="15">
        <f t="shared" si="20"/>
        <v>16.13</v>
      </c>
      <c r="AK36" s="52">
        <v>1934</v>
      </c>
      <c r="AL36" s="16">
        <f t="shared" si="4"/>
        <v>2.0124241699010437E-2</v>
      </c>
      <c r="AM36" s="17">
        <f>IF(AND(AH36&lt;&gt;"", AK36&lt;&gt;""), SUM(AK$4:AK36), "")</f>
        <v>81566</v>
      </c>
      <c r="AN36" s="16">
        <f t="shared" si="5"/>
        <v>0.84873521117967177</v>
      </c>
      <c r="AO36" s="14"/>
      <c r="AP36" s="27">
        <v>17</v>
      </c>
      <c r="AQ36" s="20">
        <v>46</v>
      </c>
      <c r="AR36" s="8"/>
      <c r="AS36" s="49">
        <v>41</v>
      </c>
      <c r="AT36" s="83">
        <f t="shared" si="30"/>
        <v>7</v>
      </c>
      <c r="AU36" s="15">
        <f t="shared" si="21"/>
        <v>17.66</v>
      </c>
      <c r="AV36" s="52">
        <v>1206</v>
      </c>
      <c r="AW36" s="16">
        <f t="shared" si="6"/>
        <v>5.2742062450800313E-2</v>
      </c>
      <c r="AX36" s="17">
        <f>IF(AND(AS36&lt;&gt;"", AV36&lt;&gt;""), SUM(AV$4:AV36), "")</f>
        <v>19432</v>
      </c>
      <c r="AY36" s="16">
        <f t="shared" si="7"/>
        <v>0.84982069448088871</v>
      </c>
      <c r="AZ36" s="14"/>
      <c r="BA36" s="27">
        <v>17</v>
      </c>
      <c r="BB36" s="20">
        <v>46</v>
      </c>
      <c r="BC36" s="8"/>
      <c r="BD36" s="49">
        <v>43</v>
      </c>
      <c r="BE36" s="83">
        <f t="shared" si="31"/>
        <v>6</v>
      </c>
      <c r="BF36" s="15">
        <f t="shared" si="22"/>
        <v>29.34</v>
      </c>
      <c r="BG36" s="52">
        <v>1915</v>
      </c>
      <c r="BH36" s="16">
        <f t="shared" si="8"/>
        <v>7.3989645313345176E-2</v>
      </c>
      <c r="BI36" s="17">
        <f>IF(AND(BD36&lt;&gt;"", BG36&lt;&gt;""), SUM(BG$4:BG36), "")</f>
        <v>19246</v>
      </c>
      <c r="BJ36" s="16">
        <f t="shared" si="9"/>
        <v>0.7436055946217448</v>
      </c>
      <c r="BK36" s="14"/>
      <c r="BL36" s="27">
        <v>17</v>
      </c>
      <c r="BM36" s="20">
        <v>44</v>
      </c>
      <c r="BN36" s="8"/>
      <c r="BO36" s="49">
        <v>42</v>
      </c>
      <c r="BP36" s="83">
        <f t="shared" si="32"/>
        <v>6</v>
      </c>
      <c r="BQ36" s="15">
        <f t="shared" si="23"/>
        <v>25.57</v>
      </c>
      <c r="BR36" s="52">
        <v>1479</v>
      </c>
      <c r="BS36" s="16">
        <f t="shared" si="10"/>
        <v>3.8195341149734004E-2</v>
      </c>
      <c r="BT36" s="17">
        <f>IF(AND(BO36&lt;&gt;"", BR36&lt;&gt;""), SUM(BR$4:BR36), "")</f>
        <v>29559</v>
      </c>
      <c r="BU36" s="16">
        <f t="shared" si="11"/>
        <v>0.76336449563555597</v>
      </c>
      <c r="BV36" s="14"/>
      <c r="BW36" s="27">
        <v>17</v>
      </c>
      <c r="BX36" s="20">
        <v>43</v>
      </c>
      <c r="BY36" s="8"/>
      <c r="BZ36" s="49">
        <v>41</v>
      </c>
      <c r="CA36" s="83">
        <f t="shared" si="33"/>
        <v>6</v>
      </c>
      <c r="CB36" s="15">
        <f t="shared" si="24"/>
        <v>21.28</v>
      </c>
      <c r="CC36" s="52">
        <v>2987</v>
      </c>
      <c r="CD36" s="16">
        <f t="shared" si="12"/>
        <v>6.2252511358426077E-2</v>
      </c>
      <c r="CE36" s="17">
        <f>IF(AND(BZ36&lt;&gt;"", CC36&lt;&gt;""), SUM(CC$4:CC36), "")</f>
        <v>39267</v>
      </c>
      <c r="CF36" s="16">
        <f t="shared" si="13"/>
        <v>0.8183693885206953</v>
      </c>
      <c r="CG36" s="14"/>
      <c r="CH36" s="27">
        <v>17</v>
      </c>
      <c r="CI36" s="20">
        <v>44</v>
      </c>
      <c r="CJ36" s="8"/>
      <c r="CK36" s="49">
        <v>42</v>
      </c>
      <c r="CL36" s="83">
        <f t="shared" si="34"/>
        <v>6</v>
      </c>
      <c r="CM36" s="15">
        <f t="shared" si="25"/>
        <v>26.55</v>
      </c>
      <c r="CN36" s="52">
        <v>3021</v>
      </c>
      <c r="CO36" s="16">
        <f t="shared" si="14"/>
        <v>3.612728859975365E-2</v>
      </c>
      <c r="CP36" s="17">
        <f>IF(AND(CK36&lt;&gt;"", CN36&lt;&gt;""), SUM(CN$4:CN36), "")</f>
        <v>62931</v>
      </c>
      <c r="CQ36" s="16">
        <f t="shared" si="15"/>
        <v>0.75257411415792685</v>
      </c>
      <c r="CR36" s="14"/>
      <c r="CS36" s="27">
        <v>17</v>
      </c>
      <c r="CT36" s="20">
        <v>47</v>
      </c>
      <c r="CU36" s="8"/>
      <c r="CV36" s="49">
        <v>45</v>
      </c>
      <c r="CW36" s="83">
        <f t="shared" si="35"/>
        <v>6</v>
      </c>
      <c r="CX36" s="15">
        <f t="shared" si="26"/>
        <v>36.1</v>
      </c>
      <c r="CY36" s="52">
        <v>3068</v>
      </c>
      <c r="CZ36" s="16">
        <f t="shared" si="16"/>
        <v>4.1240993655231747E-2</v>
      </c>
      <c r="DA36" s="17">
        <f>IF(AND(CV36&lt;&gt;"", CY36&lt;&gt;""), SUM(CY$4:CY36), "")</f>
        <v>49069</v>
      </c>
      <c r="DB36" s="16">
        <f t="shared" si="17"/>
        <v>0.659600494676847</v>
      </c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</row>
    <row r="37" spans="1:180" ht="16" customHeight="1" x14ac:dyDescent="0.2">
      <c r="A37" s="82">
        <v>1</v>
      </c>
      <c r="B37" s="80">
        <v>9</v>
      </c>
      <c r="C37" s="1"/>
      <c r="D37" s="1"/>
      <c r="E37" s="1"/>
      <c r="F37" s="86"/>
      <c r="G37" s="85">
        <v>9</v>
      </c>
      <c r="H37" s="36"/>
      <c r="I37" s="86"/>
      <c r="J37" s="85">
        <v>9</v>
      </c>
      <c r="K37" s="36"/>
      <c r="L37" s="86"/>
      <c r="M37" s="85">
        <v>9</v>
      </c>
      <c r="N37"/>
      <c r="O37" s="38">
        <v>101</v>
      </c>
      <c r="P37" s="83">
        <f t="shared" si="27"/>
        <v>5</v>
      </c>
      <c r="Q37" s="15">
        <f t="shared" si="18"/>
        <v>47.91</v>
      </c>
      <c r="R37" s="43">
        <v>4439</v>
      </c>
      <c r="S37" s="16">
        <f t="shared" si="0"/>
        <v>1.5469594005924377E-2</v>
      </c>
      <c r="T37" s="17">
        <f>IF(AND(O37&lt;&gt;"", R37&lt;&gt;""), SUM(R$4:R37), "")</f>
        <v>151702</v>
      </c>
      <c r="U37" s="16">
        <f t="shared" si="1"/>
        <v>0.52867050008712324</v>
      </c>
      <c r="W37" s="38">
        <v>127</v>
      </c>
      <c r="X37" s="83">
        <f t="shared" si="28"/>
        <v>3</v>
      </c>
      <c r="Y37" s="15">
        <f t="shared" si="19"/>
        <v>87.43</v>
      </c>
      <c r="Z37" s="43">
        <v>3565</v>
      </c>
      <c r="AA37" s="16">
        <f t="shared" si="2"/>
        <v>1.2465078549225697E-2</v>
      </c>
      <c r="AB37" s="17">
        <f>IF(AND(W37&lt;&gt;"", Z37&lt;&gt;""), SUM(Z$4:Z37), "")</f>
        <v>37740</v>
      </c>
      <c r="AC37" s="16">
        <f t="shared" si="3"/>
        <v>0.13195850335141032</v>
      </c>
      <c r="AD37" s="1"/>
      <c r="AE37" s="19">
        <v>16</v>
      </c>
      <c r="AF37" s="20">
        <v>41</v>
      </c>
      <c r="AG37" s="8"/>
      <c r="AH37" s="49">
        <v>37</v>
      </c>
      <c r="AI37" s="83">
        <f t="shared" si="29"/>
        <v>7</v>
      </c>
      <c r="AJ37" s="15">
        <f t="shared" si="20"/>
        <v>13.51</v>
      </c>
      <c r="AK37" s="52">
        <v>3103</v>
      </c>
      <c r="AL37" s="16">
        <f t="shared" si="4"/>
        <v>3.228827403931199E-2</v>
      </c>
      <c r="AM37" s="17">
        <f>IF(AND(AH37&lt;&gt;"", AK37&lt;&gt;""), SUM(AK$4:AK37), "")</f>
        <v>84669</v>
      </c>
      <c r="AN37" s="16">
        <f t="shared" si="5"/>
        <v>0.88102348521898377</v>
      </c>
      <c r="AO37" s="14"/>
      <c r="AP37" s="27">
        <v>16</v>
      </c>
      <c r="AQ37" s="20">
        <v>46</v>
      </c>
      <c r="AR37" s="8"/>
      <c r="AS37" s="49">
        <v>40</v>
      </c>
      <c r="AT37" s="83">
        <f t="shared" si="30"/>
        <v>7</v>
      </c>
      <c r="AU37" s="15">
        <f t="shared" si="21"/>
        <v>12.24</v>
      </c>
      <c r="AV37" s="52">
        <v>1272</v>
      </c>
      <c r="AW37" s="16">
        <f t="shared" si="6"/>
        <v>5.562844397795854E-2</v>
      </c>
      <c r="AX37" s="17">
        <f>IF(AND(AS37&lt;&gt;"", AV37&lt;&gt;""), SUM(AV$4:AV37), "")</f>
        <v>20704</v>
      </c>
      <c r="AY37" s="16">
        <f t="shared" si="7"/>
        <v>0.90544913845884722</v>
      </c>
      <c r="AZ37" s="14"/>
      <c r="BA37" s="27">
        <v>16</v>
      </c>
      <c r="BB37" s="20">
        <v>45</v>
      </c>
      <c r="BC37" s="8"/>
      <c r="BD37" s="49">
        <v>42</v>
      </c>
      <c r="BE37" s="83">
        <f t="shared" si="31"/>
        <v>6</v>
      </c>
      <c r="BF37" s="15">
        <f t="shared" si="22"/>
        <v>24.03</v>
      </c>
      <c r="BG37" s="52">
        <v>835</v>
      </c>
      <c r="BH37" s="16">
        <f t="shared" si="8"/>
        <v>3.226180357004868E-2</v>
      </c>
      <c r="BI37" s="17">
        <f>IF(AND(BD37&lt;&gt;"", BG37&lt;&gt;""), SUM(BG$4:BG37), "")</f>
        <v>20081</v>
      </c>
      <c r="BJ37" s="16">
        <f t="shared" si="9"/>
        <v>0.77586739819179351</v>
      </c>
      <c r="BK37" s="14"/>
      <c r="BL37" s="27">
        <v>16</v>
      </c>
      <c r="BM37" s="20">
        <v>43</v>
      </c>
      <c r="BN37" s="8"/>
      <c r="BO37" s="49">
        <v>41</v>
      </c>
      <c r="BP37" s="83">
        <f t="shared" si="32"/>
        <v>6</v>
      </c>
      <c r="BQ37" s="15">
        <f t="shared" si="23"/>
        <v>22.05</v>
      </c>
      <c r="BR37" s="52">
        <v>1253</v>
      </c>
      <c r="BS37" s="16">
        <f t="shared" si="10"/>
        <v>3.2358865761066058E-2</v>
      </c>
      <c r="BT37" s="17">
        <f>IF(AND(BO37&lt;&gt;"", BR37&lt;&gt;""), SUM(BR$4:BR37), "")</f>
        <v>30812</v>
      </c>
      <c r="BU37" s="16">
        <f t="shared" si="11"/>
        <v>0.79572336139662203</v>
      </c>
      <c r="BV37" s="14"/>
      <c r="BW37" s="27">
        <v>16</v>
      </c>
      <c r="BX37" s="20">
        <v>42</v>
      </c>
      <c r="BY37" s="8"/>
      <c r="BZ37" s="49">
        <v>40</v>
      </c>
      <c r="CA37" s="83">
        <f t="shared" si="33"/>
        <v>7</v>
      </c>
      <c r="CB37" s="15">
        <f t="shared" si="24"/>
        <v>16.55</v>
      </c>
      <c r="CC37" s="52">
        <v>1545</v>
      </c>
      <c r="CD37" s="16">
        <f t="shared" si="12"/>
        <v>3.2199574840565209E-2</v>
      </c>
      <c r="CE37" s="17">
        <f>IF(AND(BZ37&lt;&gt;"", CC37&lt;&gt;""), SUM(CC$4:CC37), "")</f>
        <v>40812</v>
      </c>
      <c r="CF37" s="16">
        <f t="shared" si="13"/>
        <v>0.85056896336126042</v>
      </c>
      <c r="CG37" s="14"/>
      <c r="CH37" s="27">
        <v>16</v>
      </c>
      <c r="CI37" s="20">
        <v>43</v>
      </c>
      <c r="CJ37" s="8"/>
      <c r="CK37" s="49">
        <v>41</v>
      </c>
      <c r="CL37" s="83">
        <f t="shared" si="34"/>
        <v>6</v>
      </c>
      <c r="CM37" s="15">
        <f t="shared" si="25"/>
        <v>22.88</v>
      </c>
      <c r="CN37" s="52">
        <v>3112</v>
      </c>
      <c r="CO37" s="16">
        <f t="shared" si="14"/>
        <v>3.7215531983592641E-2</v>
      </c>
      <c r="CP37" s="17">
        <f>IF(AND(CK37&lt;&gt;"", CN37&lt;&gt;""), SUM(CN$4:CN37), "")</f>
        <v>66043</v>
      </c>
      <c r="CQ37" s="16">
        <f t="shared" si="15"/>
        <v>0.78978964614151947</v>
      </c>
      <c r="CR37" s="14"/>
      <c r="CS37" s="27">
        <v>16</v>
      </c>
      <c r="CT37" s="20">
        <v>46</v>
      </c>
      <c r="CU37" s="8"/>
      <c r="CV37" s="49">
        <v>44</v>
      </c>
      <c r="CW37" s="83">
        <f t="shared" si="35"/>
        <v>6</v>
      </c>
      <c r="CX37" s="15">
        <f t="shared" si="26"/>
        <v>31.87</v>
      </c>
      <c r="CY37" s="52">
        <v>3234</v>
      </c>
      <c r="CZ37" s="16">
        <f t="shared" si="16"/>
        <v>4.3472416388859014E-2</v>
      </c>
      <c r="DA37" s="17">
        <f>IF(AND(CV37&lt;&gt;"", CY37&lt;&gt;""), SUM(CY$4:CY37), "")</f>
        <v>52303</v>
      </c>
      <c r="DB37" s="16">
        <f t="shared" si="17"/>
        <v>0.70307291106570602</v>
      </c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</row>
    <row r="38" spans="1:180" ht="16" customHeight="1" x14ac:dyDescent="0.2">
      <c r="E38" s="1"/>
      <c r="F38" s="1"/>
      <c r="G38" s="1"/>
      <c r="H38" s="1"/>
      <c r="I38" s="1"/>
      <c r="J38" s="1"/>
      <c r="K38" s="1"/>
      <c r="L38" s="1"/>
      <c r="M38" s="1"/>
      <c r="N38"/>
      <c r="O38" s="38">
        <v>100</v>
      </c>
      <c r="P38" s="83">
        <f t="shared" si="27"/>
        <v>5</v>
      </c>
      <c r="Q38" s="15">
        <f t="shared" si="18"/>
        <v>46.33</v>
      </c>
      <c r="R38" s="43">
        <v>4617</v>
      </c>
      <c r="S38" s="16">
        <f t="shared" si="0"/>
        <v>1.6089911134343961E-2</v>
      </c>
      <c r="T38" s="17">
        <f>IF(AND(O38&lt;&gt;"", R38&lt;&gt;""), SUM(R$4:R38), "")</f>
        <v>156319</v>
      </c>
      <c r="U38" s="16">
        <f t="shared" si="1"/>
        <v>0.54476041122146712</v>
      </c>
      <c r="W38" s="38">
        <v>126</v>
      </c>
      <c r="X38" s="83">
        <f t="shared" si="28"/>
        <v>3</v>
      </c>
      <c r="Y38" s="15">
        <f t="shared" si="19"/>
        <v>86.44</v>
      </c>
      <c r="Z38" s="43">
        <v>2092</v>
      </c>
      <c r="AA38" s="16">
        <f t="shared" si="2"/>
        <v>7.3147108905975197E-3</v>
      </c>
      <c r="AB38" s="17">
        <f>IF(AND(W38&lt;&gt;"", Z38&lt;&gt;""), SUM(Z$4:Z38), "")</f>
        <v>39832</v>
      </c>
      <c r="AC38" s="16">
        <f t="shared" si="3"/>
        <v>0.13927321424200784</v>
      </c>
      <c r="AD38" s="1"/>
      <c r="AE38" s="19">
        <v>15</v>
      </c>
      <c r="AF38" s="20">
        <v>40</v>
      </c>
      <c r="AG38" s="8"/>
      <c r="AH38" s="49">
        <v>36</v>
      </c>
      <c r="AI38" s="83">
        <f t="shared" si="29"/>
        <v>7</v>
      </c>
      <c r="AJ38" s="15">
        <f t="shared" si="20"/>
        <v>9.17</v>
      </c>
      <c r="AK38" s="52">
        <v>5240</v>
      </c>
      <c r="AL38" s="16">
        <f t="shared" si="4"/>
        <v>5.4524832731548442E-2</v>
      </c>
      <c r="AM38" s="17">
        <f>IF(AND(AH38&lt;&gt;"", AK38&lt;&gt;""), SUM(AK$4:AK38), "")</f>
        <v>89909</v>
      </c>
      <c r="AN38" s="16">
        <f t="shared" si="5"/>
        <v>0.93554831795053228</v>
      </c>
      <c r="AO38" s="14"/>
      <c r="AP38" s="27">
        <v>15</v>
      </c>
      <c r="AQ38" s="20">
        <v>45</v>
      </c>
      <c r="AR38" s="8"/>
      <c r="AS38" s="49">
        <v>39</v>
      </c>
      <c r="AT38" s="83">
        <f t="shared" si="30"/>
        <v>8</v>
      </c>
      <c r="AU38" s="15">
        <f t="shared" si="21"/>
        <v>8.33</v>
      </c>
      <c r="AV38" s="52">
        <v>515</v>
      </c>
      <c r="AW38" s="16">
        <f t="shared" si="6"/>
        <v>2.2522522522522521E-2</v>
      </c>
      <c r="AX38" s="17">
        <f>IF(AND(AS38&lt;&gt;"", AV38&lt;&gt;""), SUM(AV$4:AV38), "")</f>
        <v>21219</v>
      </c>
      <c r="AY38" s="16">
        <f t="shared" si="7"/>
        <v>0.92797166098136974</v>
      </c>
      <c r="AZ38" s="14"/>
      <c r="BA38" s="27">
        <v>15</v>
      </c>
      <c r="BB38" s="20">
        <v>44</v>
      </c>
      <c r="BC38" s="8"/>
      <c r="BD38" s="49">
        <v>41</v>
      </c>
      <c r="BE38" s="83">
        <f t="shared" si="31"/>
        <v>7</v>
      </c>
      <c r="BF38" s="15">
        <f t="shared" si="22"/>
        <v>19.95</v>
      </c>
      <c r="BG38" s="52">
        <v>1275</v>
      </c>
      <c r="BH38" s="16">
        <f t="shared" si="8"/>
        <v>4.9262035391391699E-2</v>
      </c>
      <c r="BI38" s="17">
        <f>IF(AND(BD38&lt;&gt;"", BG38&lt;&gt;""), SUM(BG$4:BG38), "")</f>
        <v>21356</v>
      </c>
      <c r="BJ38" s="16">
        <f t="shared" si="9"/>
        <v>0.82512943358318525</v>
      </c>
      <c r="BK38" s="14"/>
      <c r="BL38" s="27">
        <v>15</v>
      </c>
      <c r="BM38" s="20">
        <v>42</v>
      </c>
      <c r="BN38" s="8"/>
      <c r="BO38" s="49">
        <v>40</v>
      </c>
      <c r="BP38" s="83">
        <f t="shared" si="32"/>
        <v>7</v>
      </c>
      <c r="BQ38" s="15">
        <f t="shared" si="23"/>
        <v>17.989999999999998</v>
      </c>
      <c r="BR38" s="52">
        <v>1888</v>
      </c>
      <c r="BS38" s="16">
        <f t="shared" si="10"/>
        <v>4.8757812096482618E-2</v>
      </c>
      <c r="BT38" s="17">
        <f>IF(AND(BO38&lt;&gt;"", BR38&lt;&gt;""), SUM(BR$4:BR38), "")</f>
        <v>32700</v>
      </c>
      <c r="BU38" s="16">
        <f t="shared" si="11"/>
        <v>0.8444811734931047</v>
      </c>
      <c r="BV38" s="14"/>
      <c r="BW38" s="27">
        <v>15</v>
      </c>
      <c r="BX38" s="20">
        <v>41</v>
      </c>
      <c r="BY38" s="8"/>
      <c r="BZ38" s="49">
        <v>39</v>
      </c>
      <c r="CA38" s="83">
        <f t="shared" si="33"/>
        <v>7</v>
      </c>
      <c r="CB38" s="15">
        <f t="shared" si="24"/>
        <v>13.64</v>
      </c>
      <c r="CC38" s="52">
        <v>1252</v>
      </c>
      <c r="CD38" s="16">
        <f t="shared" si="12"/>
        <v>2.6093118252678089E-2</v>
      </c>
      <c r="CE38" s="17">
        <f>IF(AND(BZ38&lt;&gt;"", CC38&lt;&gt;""), SUM(CC$4:CC38), "")</f>
        <v>42064</v>
      </c>
      <c r="CF38" s="16">
        <f t="shared" si="13"/>
        <v>0.87666208161393855</v>
      </c>
      <c r="CG38" s="14"/>
      <c r="CH38" s="27">
        <v>15</v>
      </c>
      <c r="CI38" s="20">
        <v>42</v>
      </c>
      <c r="CJ38" s="8"/>
      <c r="CK38" s="49">
        <v>40</v>
      </c>
      <c r="CL38" s="83">
        <f t="shared" si="34"/>
        <v>7</v>
      </c>
      <c r="CM38" s="15">
        <f t="shared" si="25"/>
        <v>19.73</v>
      </c>
      <c r="CN38" s="52">
        <v>2158</v>
      </c>
      <c r="CO38" s="16">
        <f t="shared" si="14"/>
        <v>2.5806914531038855E-2</v>
      </c>
      <c r="CP38" s="17">
        <f>IF(AND(CK38&lt;&gt;"", CN38&lt;&gt;""), SUM(CN$4:CN38), "")</f>
        <v>68201</v>
      </c>
      <c r="CQ38" s="16">
        <f t="shared" si="15"/>
        <v>0.81559656067255837</v>
      </c>
      <c r="CR38" s="14"/>
      <c r="CS38" s="27">
        <v>15</v>
      </c>
      <c r="CT38" s="20">
        <v>45</v>
      </c>
      <c r="CU38" s="8"/>
      <c r="CV38" s="49">
        <v>43</v>
      </c>
      <c r="CW38" s="83">
        <f t="shared" si="35"/>
        <v>6</v>
      </c>
      <c r="CX38" s="15">
        <f t="shared" si="26"/>
        <v>27.93</v>
      </c>
      <c r="CY38" s="52">
        <v>2623</v>
      </c>
      <c r="CZ38" s="16">
        <f t="shared" si="16"/>
        <v>3.5259167652435745E-2</v>
      </c>
      <c r="DA38" s="17">
        <f>IF(AND(CV38&lt;&gt;"", CY38&lt;&gt;""), SUM(CY$4:CY38), "")</f>
        <v>54926</v>
      </c>
      <c r="DB38" s="16">
        <f t="shared" si="17"/>
        <v>0.73833207871814177</v>
      </c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</row>
    <row r="39" spans="1:180" ht="16" customHeight="1" thickBot="1" x14ac:dyDescent="0.25">
      <c r="E39" s="1"/>
      <c r="F39" s="117" t="s">
        <v>21</v>
      </c>
      <c r="G39" s="118"/>
      <c r="H39" s="36"/>
      <c r="I39" s="117" t="s">
        <v>22</v>
      </c>
      <c r="J39" s="118"/>
      <c r="K39" s="36"/>
      <c r="L39" s="117" t="s">
        <v>23</v>
      </c>
      <c r="M39" s="118"/>
      <c r="N39"/>
      <c r="O39" s="38">
        <v>99</v>
      </c>
      <c r="P39" s="83">
        <f t="shared" si="27"/>
        <v>5</v>
      </c>
      <c r="Q39" s="15">
        <f t="shared" si="18"/>
        <v>44.64</v>
      </c>
      <c r="R39" s="43">
        <v>5081</v>
      </c>
      <c r="S39" s="16">
        <f t="shared" si="0"/>
        <v>1.7706917581460185E-2</v>
      </c>
      <c r="T39" s="17">
        <f>IF(AND(O39&lt;&gt;"", R39&lt;&gt;""), SUM(R$4:R39), "")</f>
        <v>161400</v>
      </c>
      <c r="U39" s="16">
        <f t="shared" si="1"/>
        <v>0.56246732880292738</v>
      </c>
      <c r="W39" s="38">
        <v>125</v>
      </c>
      <c r="X39" s="83">
        <f t="shared" si="28"/>
        <v>3</v>
      </c>
      <c r="Y39" s="15">
        <f t="shared" si="19"/>
        <v>85.48</v>
      </c>
      <c r="Z39" s="43">
        <v>3416</v>
      </c>
      <c r="AA39" s="16">
        <f t="shared" si="2"/>
        <v>1.1944097706635338E-2</v>
      </c>
      <c r="AB39" s="17">
        <f>IF(AND(W39&lt;&gt;"", Z39&lt;&gt;""), SUM(Z$4:Z39), "")</f>
        <v>43248</v>
      </c>
      <c r="AC39" s="16">
        <f t="shared" si="3"/>
        <v>0.15121731194864318</v>
      </c>
      <c r="AD39" s="1"/>
      <c r="AE39" s="19">
        <v>14</v>
      </c>
      <c r="AF39" s="20">
        <v>40</v>
      </c>
      <c r="AG39" s="8"/>
      <c r="AH39" s="49">
        <v>35</v>
      </c>
      <c r="AI39" s="83">
        <f t="shared" si="29"/>
        <v>8</v>
      </c>
      <c r="AJ39" s="15">
        <f t="shared" si="20"/>
        <v>5.76</v>
      </c>
      <c r="AK39" s="52">
        <v>1312</v>
      </c>
      <c r="AL39" s="16">
        <f t="shared" si="4"/>
        <v>1.3652019187746481E-2</v>
      </c>
      <c r="AM39" s="17">
        <f>IF(AND(AH39&lt;&gt;"", AK39&lt;&gt;""), SUM(AK$4:AK39), "")</f>
        <v>91221</v>
      </c>
      <c r="AN39" s="16">
        <f t="shared" si="5"/>
        <v>0.94920033713827867</v>
      </c>
      <c r="AO39" s="14"/>
      <c r="AP39" s="27">
        <v>14</v>
      </c>
      <c r="AQ39" s="20">
        <v>44</v>
      </c>
      <c r="AR39" s="8"/>
      <c r="AS39" s="49">
        <v>38</v>
      </c>
      <c r="AT39" s="83">
        <f t="shared" si="30"/>
        <v>8</v>
      </c>
      <c r="AU39" s="15">
        <f t="shared" si="21"/>
        <v>6.09</v>
      </c>
      <c r="AV39" s="52">
        <v>507</v>
      </c>
      <c r="AW39" s="16">
        <f t="shared" si="6"/>
        <v>2.2172658094988192E-2</v>
      </c>
      <c r="AX39" s="17">
        <f>IF(AND(AS39&lt;&gt;"", AV39&lt;&gt;""), SUM(AV$4:AV39), "")</f>
        <v>21726</v>
      </c>
      <c r="AY39" s="16">
        <f t="shared" si="7"/>
        <v>0.95014431907635788</v>
      </c>
      <c r="AZ39" s="14"/>
      <c r="BA39" s="27">
        <v>14</v>
      </c>
      <c r="BB39" s="20">
        <v>43</v>
      </c>
      <c r="BC39" s="8"/>
      <c r="BD39" s="49">
        <v>40</v>
      </c>
      <c r="BE39" s="83">
        <f t="shared" si="31"/>
        <v>7</v>
      </c>
      <c r="BF39" s="15">
        <f t="shared" si="22"/>
        <v>15.57</v>
      </c>
      <c r="BG39" s="52">
        <v>990</v>
      </c>
      <c r="BH39" s="16">
        <f t="shared" si="8"/>
        <v>3.8250521598021794E-2</v>
      </c>
      <c r="BI39" s="17">
        <f>IF(AND(BD39&lt;&gt;"", BG39&lt;&gt;""), SUM(BG$4:BG39), "")</f>
        <v>22346</v>
      </c>
      <c r="BJ39" s="16">
        <f t="shared" si="9"/>
        <v>0.86337995518120703</v>
      </c>
      <c r="BK39" s="14"/>
      <c r="BL39" s="27">
        <v>14</v>
      </c>
      <c r="BM39" s="20">
        <v>41</v>
      </c>
      <c r="BN39" s="8"/>
      <c r="BO39" s="49">
        <v>39</v>
      </c>
      <c r="BP39" s="83">
        <f t="shared" si="32"/>
        <v>7</v>
      </c>
      <c r="BQ39" s="15">
        <f t="shared" si="23"/>
        <v>14.06</v>
      </c>
      <c r="BR39" s="52">
        <v>1152</v>
      </c>
      <c r="BS39" s="16">
        <f t="shared" si="10"/>
        <v>2.9750529414802954E-2</v>
      </c>
      <c r="BT39" s="17">
        <f>IF(AND(BO39&lt;&gt;"", BR39&lt;&gt;""), SUM(BR$4:BR39), "")</f>
        <v>33852</v>
      </c>
      <c r="BU39" s="16">
        <f t="shared" si="11"/>
        <v>0.87423170290790764</v>
      </c>
      <c r="BV39" s="14"/>
      <c r="BW39" s="27">
        <v>14</v>
      </c>
      <c r="BX39" s="20">
        <v>41</v>
      </c>
      <c r="BY39" s="8"/>
      <c r="BZ39" s="49">
        <v>38</v>
      </c>
      <c r="CA39" s="83">
        <f t="shared" si="33"/>
        <v>7</v>
      </c>
      <c r="CB39" s="15">
        <f t="shared" si="24"/>
        <v>10.19</v>
      </c>
      <c r="CC39" s="52">
        <v>2056</v>
      </c>
      <c r="CD39" s="16">
        <f t="shared" si="12"/>
        <v>4.2849401859030467E-2</v>
      </c>
      <c r="CE39" s="17">
        <f>IF(AND(BZ39&lt;&gt;"", CC39&lt;&gt;""), SUM(CC$4:CC39), "")</f>
        <v>44120</v>
      </c>
      <c r="CF39" s="16">
        <f t="shared" si="13"/>
        <v>0.91951148347296907</v>
      </c>
      <c r="CG39" s="14"/>
      <c r="CH39" s="27">
        <v>14</v>
      </c>
      <c r="CI39" s="20">
        <v>41</v>
      </c>
      <c r="CJ39" s="8"/>
      <c r="CK39" s="49">
        <v>39</v>
      </c>
      <c r="CL39" s="83">
        <f t="shared" si="34"/>
        <v>7</v>
      </c>
      <c r="CM39" s="15">
        <f t="shared" si="25"/>
        <v>16.16</v>
      </c>
      <c r="CN39" s="52">
        <v>3819</v>
      </c>
      <c r="CO39" s="16">
        <f t="shared" si="14"/>
        <v>4.5670345965726312E-2</v>
      </c>
      <c r="CP39" s="17">
        <f>IF(AND(CK39&lt;&gt;"", CN39&lt;&gt;""), SUM(CN$4:CN39), "")</f>
        <v>72020</v>
      </c>
      <c r="CQ39" s="16">
        <f t="shared" si="15"/>
        <v>0.86126690663828465</v>
      </c>
      <c r="CR39" s="14"/>
      <c r="CS39" s="27">
        <v>14</v>
      </c>
      <c r="CT39" s="20">
        <v>44</v>
      </c>
      <c r="CU39" s="8"/>
      <c r="CV39" s="49">
        <v>42</v>
      </c>
      <c r="CW39" s="83">
        <f t="shared" si="35"/>
        <v>6</v>
      </c>
      <c r="CX39" s="15">
        <f t="shared" si="26"/>
        <v>22.76</v>
      </c>
      <c r="CY39" s="52">
        <v>5072</v>
      </c>
      <c r="CZ39" s="16">
        <f t="shared" si="16"/>
        <v>6.8179374126250136E-2</v>
      </c>
      <c r="DA39" s="17">
        <f>IF(AND(CV39&lt;&gt;"", CY39&lt;&gt;""), SUM(CY$4:CY39), "")</f>
        <v>59998</v>
      </c>
      <c r="DB39" s="16">
        <f t="shared" si="17"/>
        <v>0.80651145284439185</v>
      </c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</row>
    <row r="40" spans="1:180" ht="16" customHeight="1" x14ac:dyDescent="0.2">
      <c r="E40" s="1"/>
      <c r="F40" s="30" t="s">
        <v>30</v>
      </c>
      <c r="G40" s="30" t="s">
        <v>14</v>
      </c>
      <c r="H40" s="36"/>
      <c r="I40" s="30" t="s">
        <v>30</v>
      </c>
      <c r="J40" s="30" t="s">
        <v>14</v>
      </c>
      <c r="K40" s="36"/>
      <c r="L40" s="30" t="s">
        <v>30</v>
      </c>
      <c r="M40" s="30" t="s">
        <v>14</v>
      </c>
      <c r="N40"/>
      <c r="O40" s="38">
        <v>98</v>
      </c>
      <c r="P40" s="83">
        <f t="shared" si="27"/>
        <v>5</v>
      </c>
      <c r="Q40" s="15">
        <f t="shared" si="18"/>
        <v>42.99</v>
      </c>
      <c r="R40" s="43">
        <v>4402</v>
      </c>
      <c r="S40" s="16">
        <f t="shared" si="0"/>
        <v>1.5340651681477609E-2</v>
      </c>
      <c r="T40" s="17">
        <f>IF(AND(O40&lt;&gt;"", R40&lt;&gt;""), SUM(R$4:R40), "")</f>
        <v>165802</v>
      </c>
      <c r="U40" s="16">
        <f t="shared" si="1"/>
        <v>0.57780798048440496</v>
      </c>
      <c r="W40" s="38">
        <v>124</v>
      </c>
      <c r="X40" s="83">
        <f t="shared" si="28"/>
        <v>3</v>
      </c>
      <c r="Y40" s="15">
        <f t="shared" si="19"/>
        <v>84.12</v>
      </c>
      <c r="Z40" s="43">
        <v>4333</v>
      </c>
      <c r="AA40" s="16">
        <f t="shared" si="2"/>
        <v>1.5150402623785399E-2</v>
      </c>
      <c r="AB40" s="17">
        <f>IF(AND(W40&lt;&gt;"", Z40&lt;&gt;""), SUM(Z$4:Z40), "")</f>
        <v>47581</v>
      </c>
      <c r="AC40" s="16">
        <f t="shared" si="3"/>
        <v>0.16636771457242858</v>
      </c>
      <c r="AD40" s="1"/>
      <c r="AE40" s="19">
        <v>13</v>
      </c>
      <c r="AF40" s="20">
        <v>39</v>
      </c>
      <c r="AG40" s="8"/>
      <c r="AH40" s="49">
        <v>34</v>
      </c>
      <c r="AI40" s="83">
        <f t="shared" si="29"/>
        <v>8</v>
      </c>
      <c r="AJ40" s="15">
        <f t="shared" si="20"/>
        <v>3.59</v>
      </c>
      <c r="AK40" s="52">
        <v>2855</v>
      </c>
      <c r="AL40" s="16">
        <f t="shared" si="4"/>
        <v>2.9707709436750152E-2</v>
      </c>
      <c r="AM40" s="17">
        <f>IF(AND(AH40&lt;&gt;"", AK40&lt;&gt;""), SUM(AK$4:AK40), "")</f>
        <v>94076</v>
      </c>
      <c r="AN40" s="16">
        <f t="shared" si="5"/>
        <v>0.97890804657502883</v>
      </c>
      <c r="AO40" s="14"/>
      <c r="AP40" s="27">
        <v>13</v>
      </c>
      <c r="AQ40" s="20">
        <v>43</v>
      </c>
      <c r="AR40" s="8"/>
      <c r="AS40" s="49">
        <v>37</v>
      </c>
      <c r="AT40" s="83">
        <f t="shared" si="30"/>
        <v>8</v>
      </c>
      <c r="AU40" s="15">
        <f t="shared" si="21"/>
        <v>3.62</v>
      </c>
      <c r="AV40" s="52">
        <v>625</v>
      </c>
      <c r="AW40" s="16">
        <f t="shared" si="6"/>
        <v>2.7333158401119568E-2</v>
      </c>
      <c r="AX40" s="17">
        <f>IF(AND(AS40&lt;&gt;"", AV40&lt;&gt;""), SUM(AV$4:AV40), "")</f>
        <v>22351</v>
      </c>
      <c r="AY40" s="16">
        <f t="shared" si="7"/>
        <v>0.97747747747747749</v>
      </c>
      <c r="AZ40" s="14"/>
      <c r="BA40" s="27">
        <v>13</v>
      </c>
      <c r="BB40" s="20">
        <v>43</v>
      </c>
      <c r="BC40" s="8"/>
      <c r="BD40" s="49">
        <v>39</v>
      </c>
      <c r="BE40" s="83">
        <f t="shared" si="31"/>
        <v>7</v>
      </c>
      <c r="BF40" s="15">
        <f t="shared" si="22"/>
        <v>12.71</v>
      </c>
      <c r="BG40" s="52">
        <v>491</v>
      </c>
      <c r="BH40" s="16">
        <f t="shared" si="8"/>
        <v>1.8970713236998685E-2</v>
      </c>
      <c r="BI40" s="17">
        <f>IF(AND(BD40&lt;&gt;"", BG40&lt;&gt;""), SUM(BG$4:BG40), "")</f>
        <v>22837</v>
      </c>
      <c r="BJ40" s="16">
        <f t="shared" si="9"/>
        <v>0.88235066841820575</v>
      </c>
      <c r="BK40" s="14"/>
      <c r="BL40" s="27">
        <v>13</v>
      </c>
      <c r="BM40" s="20">
        <v>40</v>
      </c>
      <c r="BN40" s="8"/>
      <c r="BO40" s="49">
        <v>38</v>
      </c>
      <c r="BP40" s="83">
        <f t="shared" si="32"/>
        <v>7</v>
      </c>
      <c r="BQ40" s="15">
        <f t="shared" si="23"/>
        <v>11.37</v>
      </c>
      <c r="BR40" s="52">
        <v>937</v>
      </c>
      <c r="BS40" s="16">
        <f t="shared" si="10"/>
        <v>2.4198130261866638E-2</v>
      </c>
      <c r="BT40" s="17">
        <f>IF(AND(BO40&lt;&gt;"", BR40&lt;&gt;""), SUM(BR$4:BR40), "")</f>
        <v>34789</v>
      </c>
      <c r="BU40" s="16">
        <f t="shared" si="11"/>
        <v>0.89842983316977432</v>
      </c>
      <c r="BV40" s="14"/>
      <c r="BW40" s="27">
        <v>13</v>
      </c>
      <c r="BX40" s="20">
        <v>40</v>
      </c>
      <c r="BY40" s="8"/>
      <c r="BZ40" s="49">
        <v>37</v>
      </c>
      <c r="CA40" s="83">
        <f t="shared" si="33"/>
        <v>8</v>
      </c>
      <c r="CB40" s="15">
        <f t="shared" si="24"/>
        <v>6.9</v>
      </c>
      <c r="CC40" s="52">
        <v>1106</v>
      </c>
      <c r="CD40" s="16">
        <f t="shared" si="12"/>
        <v>2.3050310533116587E-2</v>
      </c>
      <c r="CE40" s="17">
        <f>IF(AND(BZ40&lt;&gt;"", CC40&lt;&gt;""), SUM(CC$4:CC40), "")</f>
        <v>45226</v>
      </c>
      <c r="CF40" s="16">
        <f t="shared" si="13"/>
        <v>0.94256179400608564</v>
      </c>
      <c r="CG40" s="14"/>
      <c r="CH40" s="27">
        <v>13</v>
      </c>
      <c r="CI40" s="20">
        <v>40</v>
      </c>
      <c r="CJ40" s="8"/>
      <c r="CK40" s="49">
        <v>38</v>
      </c>
      <c r="CL40" s="83">
        <f t="shared" si="34"/>
        <v>7</v>
      </c>
      <c r="CM40" s="15">
        <f t="shared" si="25"/>
        <v>12.7</v>
      </c>
      <c r="CN40" s="52">
        <v>1962</v>
      </c>
      <c r="CO40" s="16">
        <f t="shared" si="14"/>
        <v>2.3463005704308728E-2</v>
      </c>
      <c r="CP40" s="17">
        <f>IF(AND(CK40&lt;&gt;"", CN40&lt;&gt;""), SUM(CN$4:CN40), "")</f>
        <v>73982</v>
      </c>
      <c r="CQ40" s="16">
        <f t="shared" si="15"/>
        <v>0.88472991234259335</v>
      </c>
      <c r="CR40" s="14"/>
      <c r="CS40" s="27">
        <v>13</v>
      </c>
      <c r="CT40" s="20">
        <v>43</v>
      </c>
      <c r="CU40" s="8"/>
      <c r="CV40" s="49">
        <v>41</v>
      </c>
      <c r="CW40" s="83">
        <f t="shared" si="35"/>
        <v>7</v>
      </c>
      <c r="CX40" s="15">
        <f t="shared" si="26"/>
        <v>17.52</v>
      </c>
      <c r="CY40" s="52">
        <v>2714</v>
      </c>
      <c r="CZ40" s="16">
        <f t="shared" si="16"/>
        <v>3.6482417464243466E-2</v>
      </c>
      <c r="DA40" s="17">
        <f>IF(AND(CV40&lt;&gt;"", CY40&lt;&gt;""), SUM(CY$4:CY40), "")</f>
        <v>62712</v>
      </c>
      <c r="DB40" s="16">
        <f t="shared" si="17"/>
        <v>0.84299387030863537</v>
      </c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</row>
    <row r="41" spans="1:180" ht="16" customHeight="1" x14ac:dyDescent="0.2">
      <c r="E41" s="1"/>
      <c r="F41" s="86"/>
      <c r="G41" s="85">
        <v>1</v>
      </c>
      <c r="H41" s="36"/>
      <c r="I41" s="86"/>
      <c r="J41" s="85">
        <v>1</v>
      </c>
      <c r="K41" s="36"/>
      <c r="L41" s="86"/>
      <c r="M41" s="85">
        <v>1</v>
      </c>
      <c r="N41"/>
      <c r="O41" s="38">
        <v>97</v>
      </c>
      <c r="P41" s="83">
        <f t="shared" si="27"/>
        <v>5</v>
      </c>
      <c r="Q41" s="15">
        <f t="shared" si="18"/>
        <v>41.42</v>
      </c>
      <c r="R41" s="43">
        <v>4598</v>
      </c>
      <c r="S41" s="16">
        <f t="shared" si="0"/>
        <v>1.6023697508276702E-2</v>
      </c>
      <c r="T41" s="17">
        <f>IF(AND(O41&lt;&gt;"", R41&lt;&gt;""), SUM(R$4:R41), "")</f>
        <v>170400</v>
      </c>
      <c r="U41" s="16">
        <f t="shared" si="1"/>
        <v>0.59383167799268166</v>
      </c>
      <c r="W41" s="38">
        <v>123</v>
      </c>
      <c r="X41" s="83">
        <f t="shared" si="28"/>
        <v>3</v>
      </c>
      <c r="Y41" s="15">
        <f t="shared" si="19"/>
        <v>82.94</v>
      </c>
      <c r="Z41" s="43">
        <v>2409</v>
      </c>
      <c r="AA41" s="16">
        <f t="shared" si="2"/>
        <v>8.4231063744978126E-3</v>
      </c>
      <c r="AB41" s="17">
        <f>IF(AND(W41&lt;&gt;"", Z41&lt;&gt;""), SUM(Z$4:Z41), "")</f>
        <v>49990</v>
      </c>
      <c r="AC41" s="16">
        <f t="shared" si="3"/>
        <v>0.17479082094692638</v>
      </c>
      <c r="AD41" s="1"/>
      <c r="AE41" s="19">
        <v>12</v>
      </c>
      <c r="AF41" s="20">
        <v>38</v>
      </c>
      <c r="AG41" s="8"/>
      <c r="AH41" s="49">
        <v>33</v>
      </c>
      <c r="AI41" s="83">
        <f t="shared" si="29"/>
        <v>9</v>
      </c>
      <c r="AJ41" s="15">
        <f t="shared" si="20"/>
        <v>1.83</v>
      </c>
      <c r="AK41" s="52">
        <v>543</v>
      </c>
      <c r="AL41" s="16">
        <f t="shared" si="4"/>
        <v>5.6501878193188559E-3</v>
      </c>
      <c r="AM41" s="17">
        <f>IF(AND(AH41&lt;&gt;"", AK41&lt;&gt;""), SUM(AK$4:AK41), "")</f>
        <v>94619</v>
      </c>
      <c r="AN41" s="16">
        <f t="shared" si="5"/>
        <v>0.98455823439434775</v>
      </c>
      <c r="AO41" s="14"/>
      <c r="AP41" s="27">
        <v>12</v>
      </c>
      <c r="AQ41" s="20">
        <v>42</v>
      </c>
      <c r="AR41" s="8"/>
      <c r="AS41" s="49">
        <v>36</v>
      </c>
      <c r="AT41" s="83">
        <f t="shared" si="30"/>
        <v>9</v>
      </c>
      <c r="AU41" s="15">
        <f t="shared" si="21"/>
        <v>1.89</v>
      </c>
      <c r="AV41" s="52">
        <v>165</v>
      </c>
      <c r="AW41" s="16">
        <f t="shared" si="6"/>
        <v>7.2159538178955653E-3</v>
      </c>
      <c r="AX41" s="17">
        <f>IF(AND(AS41&lt;&gt;"", AV41&lt;&gt;""), SUM(AV$4:AV41), "")</f>
        <v>22516</v>
      </c>
      <c r="AY41" s="16">
        <f t="shared" si="7"/>
        <v>0.98469343129537301</v>
      </c>
      <c r="AZ41" s="14"/>
      <c r="BA41" s="27">
        <v>12</v>
      </c>
      <c r="BB41" s="20">
        <v>42</v>
      </c>
      <c r="BC41" s="8"/>
      <c r="BD41" s="49">
        <v>38</v>
      </c>
      <c r="BE41" s="83">
        <f t="shared" si="31"/>
        <v>7</v>
      </c>
      <c r="BF41" s="15">
        <f t="shared" si="22"/>
        <v>8.39</v>
      </c>
      <c r="BG41" s="52">
        <v>1746</v>
      </c>
      <c r="BH41" s="16">
        <f t="shared" si="8"/>
        <v>6.7460010818329336E-2</v>
      </c>
      <c r="BI41" s="17">
        <f>IF(AND(BD41&lt;&gt;"", BG41&lt;&gt;""), SUM(BG$4:BG41), "")</f>
        <v>24583</v>
      </c>
      <c r="BJ41" s="16">
        <f t="shared" si="9"/>
        <v>0.94981067923653506</v>
      </c>
      <c r="BK41" s="14"/>
      <c r="BL41" s="27">
        <v>12</v>
      </c>
      <c r="BM41" s="20">
        <v>39</v>
      </c>
      <c r="BN41" s="8"/>
      <c r="BO41" s="49">
        <v>37</v>
      </c>
      <c r="BP41" s="83">
        <f t="shared" si="32"/>
        <v>8</v>
      </c>
      <c r="BQ41" s="15">
        <f t="shared" si="23"/>
        <v>8.69</v>
      </c>
      <c r="BR41" s="52">
        <v>1136</v>
      </c>
      <c r="BS41" s="16">
        <f t="shared" si="10"/>
        <v>2.9337327617375137E-2</v>
      </c>
      <c r="BT41" s="17">
        <f>IF(AND(BO41&lt;&gt;"", BR41&lt;&gt;""), SUM(BR$4:BR41), "")</f>
        <v>35925</v>
      </c>
      <c r="BU41" s="16">
        <f t="shared" si="11"/>
        <v>0.92776716078714938</v>
      </c>
      <c r="BV41" s="14"/>
      <c r="BW41" s="27">
        <v>12</v>
      </c>
      <c r="BX41" s="20">
        <v>39</v>
      </c>
      <c r="BY41" s="8"/>
      <c r="BZ41" s="49">
        <v>36</v>
      </c>
      <c r="CA41" s="83">
        <f t="shared" si="33"/>
        <v>8</v>
      </c>
      <c r="CB41" s="15">
        <f t="shared" si="24"/>
        <v>4.97</v>
      </c>
      <c r="CC41" s="52">
        <v>741</v>
      </c>
      <c r="CD41" s="16">
        <f t="shared" si="12"/>
        <v>1.5443291234212829E-2</v>
      </c>
      <c r="CE41" s="17">
        <f>IF(AND(BZ41&lt;&gt;"", CC41&lt;&gt;""), SUM(CC$4:CC41), "")</f>
        <v>45967</v>
      </c>
      <c r="CF41" s="16">
        <f t="shared" si="13"/>
        <v>0.95800508524029848</v>
      </c>
      <c r="CG41" s="14"/>
      <c r="CH41" s="27">
        <v>12</v>
      </c>
      <c r="CI41" s="20">
        <v>39</v>
      </c>
      <c r="CJ41" s="8"/>
      <c r="CK41" s="49">
        <v>37</v>
      </c>
      <c r="CL41" s="83">
        <f t="shared" si="34"/>
        <v>7</v>
      </c>
      <c r="CM41" s="15">
        <f t="shared" si="25"/>
        <v>8.08</v>
      </c>
      <c r="CN41" s="52">
        <v>5762</v>
      </c>
      <c r="CO41" s="16">
        <f t="shared" si="14"/>
        <v>6.8906136018464265E-2</v>
      </c>
      <c r="CP41" s="17">
        <f>IF(AND(CK41&lt;&gt;"", CN41&lt;&gt;""), SUM(CN$4:CN41), "")</f>
        <v>79744</v>
      </c>
      <c r="CQ41" s="16">
        <f t="shared" si="15"/>
        <v>0.95363604836105764</v>
      </c>
      <c r="CR41" s="14"/>
      <c r="CS41" s="27">
        <v>12</v>
      </c>
      <c r="CT41" s="20">
        <v>42</v>
      </c>
      <c r="CU41" s="8"/>
      <c r="CV41" s="49">
        <v>40</v>
      </c>
      <c r="CW41" s="83">
        <f t="shared" si="35"/>
        <v>7</v>
      </c>
      <c r="CX41" s="15">
        <f t="shared" si="26"/>
        <v>14.1</v>
      </c>
      <c r="CY41" s="52">
        <v>2382</v>
      </c>
      <c r="CZ41" s="16">
        <f t="shared" si="16"/>
        <v>3.2019571996988926E-2</v>
      </c>
      <c r="DA41" s="17">
        <f>IF(AND(CV41&lt;&gt;"", CY41&lt;&gt;""), SUM(CY$4:CY41), "")</f>
        <v>65094</v>
      </c>
      <c r="DB41" s="16">
        <f t="shared" si="17"/>
        <v>0.87501344230562428</v>
      </c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</row>
    <row r="42" spans="1:180" ht="16" customHeight="1" x14ac:dyDescent="0.2">
      <c r="E42" s="1"/>
      <c r="F42" s="86"/>
      <c r="G42" s="85">
        <v>2</v>
      </c>
      <c r="H42" s="36"/>
      <c r="I42" s="86"/>
      <c r="J42" s="85">
        <v>2</v>
      </c>
      <c r="K42" s="36"/>
      <c r="L42" s="86"/>
      <c r="M42" s="85">
        <v>2</v>
      </c>
      <c r="N42"/>
      <c r="O42" s="38">
        <v>96</v>
      </c>
      <c r="P42" s="83">
        <f t="shared" si="27"/>
        <v>5</v>
      </c>
      <c r="Q42" s="15">
        <f t="shared" si="18"/>
        <v>39.85</v>
      </c>
      <c r="R42" s="43">
        <v>4394</v>
      </c>
      <c r="S42" s="16">
        <f t="shared" si="0"/>
        <v>1.5312772259975606E-2</v>
      </c>
      <c r="T42" s="17">
        <f>IF(AND(O42&lt;&gt;"", R42&lt;&gt;""), SUM(R$4:R42), "")</f>
        <v>174794</v>
      </c>
      <c r="U42" s="16">
        <f t="shared" si="1"/>
        <v>0.60914445025265729</v>
      </c>
      <c r="W42" s="38">
        <v>122</v>
      </c>
      <c r="X42" s="83">
        <f t="shared" si="28"/>
        <v>3</v>
      </c>
      <c r="Y42" s="15">
        <f t="shared" si="19"/>
        <v>81.97</v>
      </c>
      <c r="Z42" s="43">
        <v>3134</v>
      </c>
      <c r="AA42" s="16">
        <f t="shared" si="2"/>
        <v>1.0958080273007948E-2</v>
      </c>
      <c r="AB42" s="17">
        <f>IF(AND(W42&lt;&gt;"", Z42&lt;&gt;""), SUM(Z$4:Z42), "")</f>
        <v>53124</v>
      </c>
      <c r="AC42" s="16">
        <f t="shared" si="3"/>
        <v>0.18574890121993434</v>
      </c>
      <c r="AD42" s="1"/>
      <c r="AE42" s="19">
        <v>11</v>
      </c>
      <c r="AF42" s="20">
        <v>37</v>
      </c>
      <c r="AG42" s="8"/>
      <c r="AH42" s="49">
        <v>32</v>
      </c>
      <c r="AI42" s="83">
        <f t="shared" si="29"/>
        <v>9</v>
      </c>
      <c r="AJ42" s="15">
        <f t="shared" si="20"/>
        <v>1.25</v>
      </c>
      <c r="AK42" s="52">
        <v>575</v>
      </c>
      <c r="AL42" s="16">
        <f t="shared" si="4"/>
        <v>5.9831638970687696E-3</v>
      </c>
      <c r="AM42" s="17">
        <f>IF(AND(AH42&lt;&gt;"", AK42&lt;&gt;""), SUM(AK$4:AK42), "")</f>
        <v>95194</v>
      </c>
      <c r="AN42" s="16">
        <f t="shared" si="5"/>
        <v>0.99054139829141652</v>
      </c>
      <c r="AO42" s="14"/>
      <c r="AP42" s="27">
        <v>11</v>
      </c>
      <c r="AQ42" s="20">
        <v>42</v>
      </c>
      <c r="AR42" s="8"/>
      <c r="AS42" s="49">
        <v>35</v>
      </c>
      <c r="AT42" s="83">
        <f t="shared" si="30"/>
        <v>9</v>
      </c>
      <c r="AU42" s="15">
        <f t="shared" si="21"/>
        <v>1.33</v>
      </c>
      <c r="AV42" s="52">
        <v>93</v>
      </c>
      <c r="AW42" s="16">
        <f t="shared" si="6"/>
        <v>4.0671739700865912E-3</v>
      </c>
      <c r="AX42" s="17">
        <f>IF(AND(AS42&lt;&gt;"", AV42&lt;&gt;""), SUM(AV$4:AV42), "")</f>
        <v>22609</v>
      </c>
      <c r="AY42" s="16">
        <f t="shared" si="7"/>
        <v>0.98876060526545961</v>
      </c>
      <c r="AZ42" s="14"/>
      <c r="BA42" s="27">
        <v>11</v>
      </c>
      <c r="BB42" s="20">
        <v>41</v>
      </c>
      <c r="BC42" s="8"/>
      <c r="BD42" s="49">
        <v>37</v>
      </c>
      <c r="BE42" s="83">
        <f t="shared" si="31"/>
        <v>8</v>
      </c>
      <c r="BF42" s="15">
        <f t="shared" si="22"/>
        <v>4.21</v>
      </c>
      <c r="BG42" s="52">
        <v>420</v>
      </c>
      <c r="BH42" s="16">
        <f t="shared" si="8"/>
        <v>1.622749401128197E-2</v>
      </c>
      <c r="BI42" s="17">
        <f>IF(AND(BD42&lt;&gt;"", BG42&lt;&gt;""), SUM(BG$4:BG42), "")</f>
        <v>25003</v>
      </c>
      <c r="BJ42" s="16">
        <f t="shared" si="9"/>
        <v>0.96603817324781704</v>
      </c>
      <c r="BK42" s="14"/>
      <c r="BL42" s="27">
        <v>11</v>
      </c>
      <c r="BM42" s="20">
        <v>38</v>
      </c>
      <c r="BN42" s="8"/>
      <c r="BO42" s="49">
        <v>36</v>
      </c>
      <c r="BP42" s="83">
        <f t="shared" si="32"/>
        <v>8</v>
      </c>
      <c r="BQ42" s="15">
        <f t="shared" si="23"/>
        <v>6.16</v>
      </c>
      <c r="BR42" s="52">
        <v>822</v>
      </c>
      <c r="BS42" s="16">
        <f t="shared" si="10"/>
        <v>2.1228242342854191E-2</v>
      </c>
      <c r="BT42" s="17">
        <f>IF(AND(BO42&lt;&gt;"", BR42&lt;&gt;""), SUM(BR$4:BR42), "")</f>
        <v>36747</v>
      </c>
      <c r="BU42" s="16">
        <f t="shared" si="11"/>
        <v>0.94899540313000363</v>
      </c>
      <c r="BV42" s="14"/>
      <c r="BW42" s="27">
        <v>11</v>
      </c>
      <c r="BX42" s="20">
        <v>38</v>
      </c>
      <c r="BY42" s="8"/>
      <c r="BZ42" s="49">
        <v>35</v>
      </c>
      <c r="CA42" s="83">
        <f t="shared" si="33"/>
        <v>8</v>
      </c>
      <c r="CB42" s="15">
        <f t="shared" si="24"/>
        <v>3.65</v>
      </c>
      <c r="CC42" s="52">
        <v>524</v>
      </c>
      <c r="CD42" s="16">
        <f t="shared" si="12"/>
        <v>1.0920761952398815E-2</v>
      </c>
      <c r="CE42" s="17">
        <f>IF(AND(BZ42&lt;&gt;"", CC42&lt;&gt;""), SUM(CC$4:CC42), "")</f>
        <v>46491</v>
      </c>
      <c r="CF42" s="16">
        <f t="shared" si="13"/>
        <v>0.96892584719269725</v>
      </c>
      <c r="CG42" s="14"/>
      <c r="CH42" s="27">
        <v>11</v>
      </c>
      <c r="CI42" s="20">
        <v>38</v>
      </c>
      <c r="CJ42" s="8"/>
      <c r="CK42" s="49">
        <v>36</v>
      </c>
      <c r="CL42" s="83">
        <f t="shared" si="34"/>
        <v>8</v>
      </c>
      <c r="CM42" s="15">
        <f t="shared" si="25"/>
        <v>4.1500000000000004</v>
      </c>
      <c r="CN42" s="52">
        <v>806</v>
      </c>
      <c r="CO42" s="16">
        <f t="shared" si="14"/>
        <v>9.6387271140024634E-3</v>
      </c>
      <c r="CP42" s="17">
        <f>IF(AND(CK42&lt;&gt;"", CN42&lt;&gt;""), SUM(CN$4:CN42), "")</f>
        <v>80550</v>
      </c>
      <c r="CQ42" s="16">
        <f t="shared" si="15"/>
        <v>0.96327477547506013</v>
      </c>
      <c r="CR42" s="14"/>
      <c r="CS42" s="27">
        <v>11</v>
      </c>
      <c r="CT42" s="20">
        <v>41</v>
      </c>
      <c r="CU42" s="8"/>
      <c r="CV42" s="49">
        <v>39</v>
      </c>
      <c r="CW42" s="83">
        <f t="shared" si="35"/>
        <v>7</v>
      </c>
      <c r="CX42" s="15">
        <f t="shared" si="26"/>
        <v>10.36</v>
      </c>
      <c r="CY42" s="52">
        <v>3184</v>
      </c>
      <c r="CZ42" s="16">
        <f t="shared" si="16"/>
        <v>4.2800301107645981E-2</v>
      </c>
      <c r="DA42" s="17">
        <f>IF(AND(CV42&lt;&gt;"", CY42&lt;&gt;""), SUM(CY$4:CY42), "")</f>
        <v>68278</v>
      </c>
      <c r="DB42" s="16">
        <f t="shared" si="17"/>
        <v>0.91781374341327027</v>
      </c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</row>
    <row r="43" spans="1:180" ht="16" customHeight="1" x14ac:dyDescent="0.2">
      <c r="E43" s="1"/>
      <c r="F43" s="86"/>
      <c r="G43" s="85">
        <v>3</v>
      </c>
      <c r="H43" s="36"/>
      <c r="I43" s="86"/>
      <c r="J43" s="85">
        <v>3</v>
      </c>
      <c r="K43" s="36"/>
      <c r="L43" s="86"/>
      <c r="M43" s="85">
        <v>3</v>
      </c>
      <c r="N43"/>
      <c r="O43" s="38">
        <v>95</v>
      </c>
      <c r="P43" s="83">
        <f t="shared" si="27"/>
        <v>6</v>
      </c>
      <c r="Q43" s="15">
        <f t="shared" si="18"/>
        <v>38.340000000000003</v>
      </c>
      <c r="R43" s="43">
        <v>4265</v>
      </c>
      <c r="S43" s="16">
        <f t="shared" si="0"/>
        <v>1.4863216588255793E-2</v>
      </c>
      <c r="T43" s="17">
        <f>IF(AND(O43&lt;&gt;"", R43&lt;&gt;""), SUM(R$4:R43), "")</f>
        <v>179059</v>
      </c>
      <c r="U43" s="16">
        <f t="shared" si="1"/>
        <v>0.62400766684091302</v>
      </c>
      <c r="W43" s="38">
        <v>121</v>
      </c>
      <c r="X43" s="83">
        <f t="shared" si="28"/>
        <v>3</v>
      </c>
      <c r="Y43" s="15">
        <f t="shared" si="19"/>
        <v>80.760000000000005</v>
      </c>
      <c r="Z43" s="43">
        <v>3792</v>
      </c>
      <c r="AA43" s="16">
        <f t="shared" si="2"/>
        <v>1.3258787618138526E-2</v>
      </c>
      <c r="AB43" s="17">
        <f>IF(AND(W43&lt;&gt;"", Z43&lt;&gt;""), SUM(Z$4:Z43), "")</f>
        <v>56916</v>
      </c>
      <c r="AC43" s="16">
        <f t="shared" si="3"/>
        <v>0.19900768883807285</v>
      </c>
      <c r="AD43" s="1"/>
      <c r="AE43" s="19">
        <v>10</v>
      </c>
      <c r="AF43" s="20">
        <v>36</v>
      </c>
      <c r="AG43" s="8"/>
      <c r="AH43" s="49">
        <v>31</v>
      </c>
      <c r="AI43" s="83">
        <f t="shared" si="29"/>
        <v>9</v>
      </c>
      <c r="AJ43" s="15">
        <f t="shared" si="20"/>
        <v>0.79</v>
      </c>
      <c r="AK43" s="52">
        <v>307</v>
      </c>
      <c r="AL43" s="16">
        <f t="shared" si="4"/>
        <v>3.194489245913239E-3</v>
      </c>
      <c r="AM43" s="17">
        <f>IF(AND(AH43&lt;&gt;"", AK43&lt;&gt;""), SUM(AK$4:AK43), "")</f>
        <v>95501</v>
      </c>
      <c r="AN43" s="16">
        <f t="shared" si="5"/>
        <v>0.99373588753732978</v>
      </c>
      <c r="AO43" s="14"/>
      <c r="AP43" s="27">
        <v>10</v>
      </c>
      <c r="AQ43" s="20">
        <v>41</v>
      </c>
      <c r="AR43" s="8"/>
      <c r="AS43" s="49">
        <v>34</v>
      </c>
      <c r="AT43" s="83">
        <f t="shared" si="30"/>
        <v>9</v>
      </c>
      <c r="AU43" s="15">
        <f t="shared" si="21"/>
        <v>0.91</v>
      </c>
      <c r="AV43" s="52">
        <v>100</v>
      </c>
      <c r="AW43" s="16">
        <f t="shared" si="6"/>
        <v>4.3733053441791306E-3</v>
      </c>
      <c r="AX43" s="17">
        <f>IF(AND(AS43&lt;&gt;"", AV43&lt;&gt;""), SUM(AV$4:AV43), "")</f>
        <v>22709</v>
      </c>
      <c r="AY43" s="16">
        <f t="shared" si="7"/>
        <v>0.99313391060963874</v>
      </c>
      <c r="AZ43" s="14"/>
      <c r="BA43" s="27">
        <v>10</v>
      </c>
      <c r="BB43" s="20">
        <v>40</v>
      </c>
      <c r="BC43" s="8"/>
      <c r="BD43" s="49">
        <v>36</v>
      </c>
      <c r="BE43" s="83">
        <f t="shared" si="31"/>
        <v>9</v>
      </c>
      <c r="BF43" s="15">
        <f t="shared" si="22"/>
        <v>2.94</v>
      </c>
      <c r="BG43" s="52">
        <v>234</v>
      </c>
      <c r="BH43" s="16">
        <f t="shared" si="8"/>
        <v>9.041032377714241E-3</v>
      </c>
      <c r="BI43" s="17">
        <f>IF(AND(BD43&lt;&gt;"", BG43&lt;&gt;""), SUM(BG$4:BG43), "")</f>
        <v>25237</v>
      </c>
      <c r="BJ43" s="16">
        <f t="shared" si="9"/>
        <v>0.9750792056255313</v>
      </c>
      <c r="BK43" s="14"/>
      <c r="BL43" s="27">
        <v>10</v>
      </c>
      <c r="BM43" s="20">
        <v>37</v>
      </c>
      <c r="BN43" s="8"/>
      <c r="BO43" s="49">
        <v>35</v>
      </c>
      <c r="BP43" s="83">
        <f t="shared" si="32"/>
        <v>8</v>
      </c>
      <c r="BQ43" s="15">
        <f t="shared" si="23"/>
        <v>3.76</v>
      </c>
      <c r="BR43" s="52">
        <v>1038</v>
      </c>
      <c r="BS43" s="16">
        <f t="shared" si="10"/>
        <v>2.6806466608129745E-2</v>
      </c>
      <c r="BT43" s="17">
        <f>IF(AND(BO43&lt;&gt;"", BR43&lt;&gt;""), SUM(BR$4:BR43), "")</f>
        <v>37785</v>
      </c>
      <c r="BU43" s="16">
        <f t="shared" si="11"/>
        <v>0.97580186973813332</v>
      </c>
      <c r="BV43" s="14"/>
      <c r="BW43" s="27">
        <v>10</v>
      </c>
      <c r="BX43" s="20">
        <v>37</v>
      </c>
      <c r="BY43" s="8"/>
      <c r="BZ43" s="49">
        <v>34</v>
      </c>
      <c r="CA43" s="83">
        <f t="shared" si="33"/>
        <v>9</v>
      </c>
      <c r="CB43" s="15">
        <f t="shared" si="24"/>
        <v>2.66</v>
      </c>
      <c r="CC43" s="52">
        <v>428</v>
      </c>
      <c r="CD43" s="16">
        <f t="shared" si="12"/>
        <v>8.920011671043308E-3</v>
      </c>
      <c r="CE43" s="17">
        <f>IF(AND(BZ43&lt;&gt;"", CC43&lt;&gt;""), SUM(CC$4:CC43), "")</f>
        <v>46919</v>
      </c>
      <c r="CF43" s="16">
        <f t="shared" si="13"/>
        <v>0.97784585886374054</v>
      </c>
      <c r="CG43" s="14"/>
      <c r="CH43" s="27">
        <v>10</v>
      </c>
      <c r="CI43" s="20">
        <v>37</v>
      </c>
      <c r="CJ43" s="8"/>
      <c r="CK43" s="49">
        <v>35</v>
      </c>
      <c r="CL43" s="83">
        <f t="shared" si="34"/>
        <v>9</v>
      </c>
      <c r="CM43" s="15">
        <f t="shared" si="25"/>
        <v>2.86</v>
      </c>
      <c r="CN43" s="52">
        <v>1362</v>
      </c>
      <c r="CO43" s="16">
        <f t="shared" si="14"/>
        <v>1.6287774602073642E-2</v>
      </c>
      <c r="CP43" s="17">
        <f>IF(AND(CK43&lt;&gt;"", CN43&lt;&gt;""), SUM(CN$4:CN43), "")</f>
        <v>81912</v>
      </c>
      <c r="CQ43" s="16">
        <f t="shared" si="15"/>
        <v>0.97956255007713378</v>
      </c>
      <c r="CR43" s="14"/>
      <c r="CS43" s="27">
        <v>10</v>
      </c>
      <c r="CT43" s="20">
        <v>40</v>
      </c>
      <c r="CU43" s="8"/>
      <c r="CV43" s="49">
        <v>38</v>
      </c>
      <c r="CW43" s="83">
        <f t="shared" si="35"/>
        <v>8</v>
      </c>
      <c r="CX43" s="15">
        <f t="shared" si="26"/>
        <v>7.33</v>
      </c>
      <c r="CY43" s="52">
        <v>1321</v>
      </c>
      <c r="CZ43" s="16">
        <f t="shared" si="16"/>
        <v>1.775728572964835E-2</v>
      </c>
      <c r="DA43" s="17">
        <f>IF(AND(CV43&lt;&gt;"", CY43&lt;&gt;""), SUM(CY$4:CY43), "")</f>
        <v>69599</v>
      </c>
      <c r="DB43" s="16">
        <f t="shared" si="17"/>
        <v>0.93557102914291856</v>
      </c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</row>
    <row r="44" spans="1:180" ht="16" customHeight="1" x14ac:dyDescent="0.2">
      <c r="E44" s="1"/>
      <c r="F44" s="86"/>
      <c r="G44" s="85">
        <v>4</v>
      </c>
      <c r="H44" s="36"/>
      <c r="I44" s="86"/>
      <c r="J44" s="85">
        <v>4</v>
      </c>
      <c r="K44" s="36"/>
      <c r="L44" s="86"/>
      <c r="M44" s="85">
        <v>4</v>
      </c>
      <c r="N44"/>
      <c r="O44" s="38">
        <v>94</v>
      </c>
      <c r="P44" s="83">
        <f t="shared" si="27"/>
        <v>6</v>
      </c>
      <c r="Q44" s="15">
        <f t="shared" si="18"/>
        <v>36.82</v>
      </c>
      <c r="R44" s="43">
        <v>4457</v>
      </c>
      <c r="S44" s="16">
        <f t="shared" si="0"/>
        <v>1.5532322704303885E-2</v>
      </c>
      <c r="T44" s="17">
        <f>IF(AND(O44&lt;&gt;"", R44&lt;&gt;""), SUM(R$4:R44), "")</f>
        <v>183516</v>
      </c>
      <c r="U44" s="16">
        <f t="shared" si="1"/>
        <v>0.63953998954521696</v>
      </c>
      <c r="W44" s="38">
        <v>120</v>
      </c>
      <c r="X44" s="83">
        <f t="shared" si="28"/>
        <v>3</v>
      </c>
      <c r="Y44" s="15">
        <f t="shared" si="19"/>
        <v>79.5</v>
      </c>
      <c r="Z44" s="43">
        <v>3405</v>
      </c>
      <c r="AA44" s="16">
        <f t="shared" si="2"/>
        <v>1.1905636033692426E-2</v>
      </c>
      <c r="AB44" s="17">
        <f>IF(AND(W44&lt;&gt;"", Z44&lt;&gt;""), SUM(Z$4:Z44), "")</f>
        <v>60321</v>
      </c>
      <c r="AC44" s="16">
        <f t="shared" si="3"/>
        <v>0.21091332487176528</v>
      </c>
      <c r="AD44" s="1"/>
      <c r="AE44" s="19">
        <v>9</v>
      </c>
      <c r="AF44" s="20">
        <v>35</v>
      </c>
      <c r="AG44" s="8"/>
      <c r="AH44" s="49">
        <v>30</v>
      </c>
      <c r="AI44" s="83">
        <f t="shared" si="29"/>
        <v>9</v>
      </c>
      <c r="AJ44" s="15">
        <f t="shared" si="20"/>
        <v>0.55000000000000004</v>
      </c>
      <c r="AK44" s="52">
        <v>146</v>
      </c>
      <c r="AL44" s="16">
        <f t="shared" si="4"/>
        <v>1.5192033547339833E-3</v>
      </c>
      <c r="AM44" s="17">
        <f>IF(AND(AH44&lt;&gt;"", AK44&lt;&gt;""), SUM(AK$4:AK44), "")</f>
        <v>95647</v>
      </c>
      <c r="AN44" s="16">
        <f t="shared" si="5"/>
        <v>0.99525509089206377</v>
      </c>
      <c r="AO44" s="14"/>
      <c r="AP44" s="27">
        <v>9</v>
      </c>
      <c r="AQ44" s="20">
        <v>40</v>
      </c>
      <c r="AR44" s="8"/>
      <c r="AS44" s="49">
        <v>33</v>
      </c>
      <c r="AT44" s="83">
        <f t="shared" si="30"/>
        <v>9</v>
      </c>
      <c r="AU44" s="15">
        <f t="shared" si="21"/>
        <v>0.34</v>
      </c>
      <c r="AV44" s="52">
        <v>157</v>
      </c>
      <c r="AW44" s="16">
        <f t="shared" si="6"/>
        <v>6.8660893903612352E-3</v>
      </c>
      <c r="AX44" s="17">
        <f>IF(AND(AS44&lt;&gt;"", AV44&lt;&gt;""), SUM(AV$4:AV44), "")</f>
        <v>22866</v>
      </c>
      <c r="AY44" s="16">
        <f t="shared" si="7"/>
        <v>1</v>
      </c>
      <c r="AZ44" s="14"/>
      <c r="BA44" s="27">
        <v>9</v>
      </c>
      <c r="BB44" s="20">
        <v>39</v>
      </c>
      <c r="BC44" s="8"/>
      <c r="BD44" s="49">
        <v>35</v>
      </c>
      <c r="BE44" s="83">
        <f t="shared" si="31"/>
        <v>9</v>
      </c>
      <c r="BF44" s="15">
        <f t="shared" si="22"/>
        <v>1.96</v>
      </c>
      <c r="BG44" s="52">
        <v>278</v>
      </c>
      <c r="BH44" s="16">
        <f t="shared" si="8"/>
        <v>1.0741055559848544E-2</v>
      </c>
      <c r="BI44" s="17">
        <f>IF(AND(BD44&lt;&gt;"", BG44&lt;&gt;""), SUM(BG$4:BG44), "")</f>
        <v>25515</v>
      </c>
      <c r="BJ44" s="16">
        <f t="shared" si="9"/>
        <v>0.9858202611853798</v>
      </c>
      <c r="BK44" s="14"/>
      <c r="BL44" s="27">
        <v>9</v>
      </c>
      <c r="BM44" s="20">
        <v>36</v>
      </c>
      <c r="BN44" s="8"/>
      <c r="BO44" s="49">
        <v>34</v>
      </c>
      <c r="BP44" s="83">
        <f t="shared" si="32"/>
        <v>9</v>
      </c>
      <c r="BQ44" s="15">
        <f t="shared" si="23"/>
        <v>2.12</v>
      </c>
      <c r="BR44" s="52">
        <v>231</v>
      </c>
      <c r="BS44" s="16">
        <f t="shared" si="10"/>
        <v>5.9656009503641343E-3</v>
      </c>
      <c r="BT44" s="17">
        <f>IF(AND(BO44&lt;&gt;"", BR44&lt;&gt;""), SUM(BR$4:BR44), "")</f>
        <v>38016</v>
      </c>
      <c r="BU44" s="16">
        <f t="shared" si="11"/>
        <v>0.98176747068849746</v>
      </c>
      <c r="BV44" s="14"/>
      <c r="BW44" s="27">
        <v>9</v>
      </c>
      <c r="BX44" s="20">
        <v>36</v>
      </c>
      <c r="BY44" s="8"/>
      <c r="BZ44" s="49">
        <v>33</v>
      </c>
      <c r="CA44" s="83">
        <f t="shared" si="33"/>
        <v>9</v>
      </c>
      <c r="CB44" s="15">
        <f t="shared" si="24"/>
        <v>1.81</v>
      </c>
      <c r="CC44" s="52">
        <v>392</v>
      </c>
      <c r="CD44" s="16">
        <f t="shared" si="12"/>
        <v>8.1697303155349923E-3</v>
      </c>
      <c r="CE44" s="17">
        <f>IF(AND(BZ44&lt;&gt;"", CC44&lt;&gt;""), SUM(CC$4:CC44), "")</f>
        <v>47311</v>
      </c>
      <c r="CF44" s="16">
        <f t="shared" si="13"/>
        <v>0.98601558917927556</v>
      </c>
      <c r="CG44" s="14"/>
      <c r="CH44" s="27">
        <v>9</v>
      </c>
      <c r="CI44" s="20">
        <v>37</v>
      </c>
      <c r="CJ44" s="8"/>
      <c r="CK44" s="49">
        <v>34</v>
      </c>
      <c r="CL44" s="83">
        <f t="shared" si="34"/>
        <v>9</v>
      </c>
      <c r="CM44" s="15">
        <f t="shared" si="25"/>
        <v>1.75</v>
      </c>
      <c r="CN44" s="52">
        <v>499</v>
      </c>
      <c r="CO44" s="16">
        <f t="shared" si="14"/>
        <v>5.9674005333588452E-3</v>
      </c>
      <c r="CP44" s="17">
        <f>IF(AND(CK44&lt;&gt;"", CN44&lt;&gt;""), SUM(CN$4:CN44), "")</f>
        <v>82411</v>
      </c>
      <c r="CQ44" s="16">
        <f t="shared" si="15"/>
        <v>0.98552995061049253</v>
      </c>
      <c r="CR44" s="14"/>
      <c r="CS44" s="27">
        <v>9</v>
      </c>
      <c r="CT44" s="20">
        <v>39</v>
      </c>
      <c r="CU44" s="8"/>
      <c r="CV44" s="49">
        <v>37</v>
      </c>
      <c r="CW44" s="83">
        <f t="shared" si="35"/>
        <v>8</v>
      </c>
      <c r="CX44" s="15">
        <f t="shared" si="26"/>
        <v>5.12</v>
      </c>
      <c r="CY44" s="52">
        <v>1973</v>
      </c>
      <c r="CZ44" s="16">
        <f t="shared" si="16"/>
        <v>2.6521668996666307E-2</v>
      </c>
      <c r="DA44" s="17">
        <f>IF(AND(CV44&lt;&gt;"", CY44&lt;&gt;""), SUM(CY$4:CY44), "")</f>
        <v>71572</v>
      </c>
      <c r="DB44" s="16">
        <f t="shared" si="17"/>
        <v>0.96209269813958487</v>
      </c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</row>
    <row r="45" spans="1:180" ht="16" customHeight="1" x14ac:dyDescent="0.2">
      <c r="E45" s="1"/>
      <c r="F45" s="86"/>
      <c r="G45" s="85">
        <v>5</v>
      </c>
      <c r="H45" s="36"/>
      <c r="I45" s="86"/>
      <c r="J45" s="85">
        <v>5</v>
      </c>
      <c r="K45" s="36"/>
      <c r="L45" s="86"/>
      <c r="M45" s="85">
        <v>5</v>
      </c>
      <c r="N45"/>
      <c r="O45" s="38">
        <v>93</v>
      </c>
      <c r="P45" s="83">
        <f t="shared" si="27"/>
        <v>6</v>
      </c>
      <c r="Q45" s="15">
        <f t="shared" si="18"/>
        <v>35.409999999999997</v>
      </c>
      <c r="R45" s="43">
        <v>3650</v>
      </c>
      <c r="S45" s="16">
        <f t="shared" si="0"/>
        <v>1.2719986060289248E-2</v>
      </c>
      <c r="T45" s="17">
        <f>IF(AND(O45&lt;&gt;"", R45&lt;&gt;""), SUM(R$4:R45), "")</f>
        <v>187166</v>
      </c>
      <c r="U45" s="16">
        <f t="shared" si="1"/>
        <v>0.65225997560550619</v>
      </c>
      <c r="W45" s="38">
        <v>119</v>
      </c>
      <c r="X45" s="83">
        <f t="shared" si="28"/>
        <v>3</v>
      </c>
      <c r="Y45" s="15">
        <f t="shared" si="19"/>
        <v>78.39</v>
      </c>
      <c r="Z45" s="43">
        <v>2959</v>
      </c>
      <c r="AA45" s="16">
        <f t="shared" si="2"/>
        <v>1.0346190021643432E-2</v>
      </c>
      <c r="AB45" s="17">
        <f>IF(AND(W45&lt;&gt;"", Z45&lt;&gt;""), SUM(Z$4:Z45), "")</f>
        <v>63280</v>
      </c>
      <c r="AC45" s="16">
        <f t="shared" si="3"/>
        <v>0.22125951489340873</v>
      </c>
      <c r="AD45" s="1"/>
      <c r="AE45" s="19">
        <v>8</v>
      </c>
      <c r="AF45" s="20">
        <v>34</v>
      </c>
      <c r="AG45" s="8"/>
      <c r="AH45" s="49">
        <v>29</v>
      </c>
      <c r="AI45" s="83">
        <f t="shared" si="29"/>
        <v>9</v>
      </c>
      <c r="AJ45" s="15">
        <f t="shared" si="20"/>
        <v>0.38</v>
      </c>
      <c r="AK45" s="52">
        <v>186</v>
      </c>
      <c r="AL45" s="16">
        <f t="shared" si="4"/>
        <v>1.9354234519213761E-3</v>
      </c>
      <c r="AM45" s="17">
        <f>IF(AND(AH45&lt;&gt;"", AK45&lt;&gt;""), SUM(AK$4:AK45), "")</f>
        <v>95833</v>
      </c>
      <c r="AN45" s="16">
        <f t="shared" si="5"/>
        <v>0.99719051434398509</v>
      </c>
      <c r="AO45" s="14"/>
      <c r="AP45" s="27">
        <v>8</v>
      </c>
      <c r="AQ45" s="20">
        <v>39</v>
      </c>
      <c r="AR45" s="8"/>
      <c r="AS45" s="49"/>
      <c r="AT45" s="83" t="str">
        <f t="shared" si="30"/>
        <v/>
      </c>
      <c r="AU45" s="15" t="str">
        <f t="shared" si="21"/>
        <v/>
      </c>
      <c r="AV45" s="52"/>
      <c r="AW45" s="16" t="str">
        <f t="shared" si="6"/>
        <v/>
      </c>
      <c r="AX45" s="17" t="str">
        <f>IF(AND(AS45&lt;&gt;"", AV45&lt;&gt;""), SUM(AV$4:AV45), "")</f>
        <v/>
      </c>
      <c r="AY45" s="16" t="str">
        <f t="shared" si="7"/>
        <v/>
      </c>
      <c r="AZ45" s="14"/>
      <c r="BA45" s="27">
        <v>8</v>
      </c>
      <c r="BB45" s="20">
        <v>38</v>
      </c>
      <c r="BC45" s="8"/>
      <c r="BD45" s="49">
        <v>34</v>
      </c>
      <c r="BE45" s="83">
        <f t="shared" si="31"/>
        <v>9</v>
      </c>
      <c r="BF45" s="15">
        <f t="shared" si="22"/>
        <v>1.06</v>
      </c>
      <c r="BG45" s="52">
        <v>185</v>
      </c>
      <c r="BH45" s="16">
        <f t="shared" si="8"/>
        <v>7.147824743064678E-3</v>
      </c>
      <c r="BI45" s="17">
        <f>IF(AND(BD45&lt;&gt;"", BG45&lt;&gt;""), SUM(BG$4:BG45), "")</f>
        <v>25700</v>
      </c>
      <c r="BJ45" s="16">
        <f t="shared" si="9"/>
        <v>0.99296808592844443</v>
      </c>
      <c r="BK45" s="14"/>
      <c r="BL45" s="27">
        <v>8</v>
      </c>
      <c r="BM45" s="20">
        <v>35</v>
      </c>
      <c r="BN45" s="8"/>
      <c r="BO45" s="49">
        <v>33</v>
      </c>
      <c r="BP45" s="83">
        <f t="shared" si="32"/>
        <v>9</v>
      </c>
      <c r="BQ45" s="15">
        <f t="shared" si="23"/>
        <v>1.53</v>
      </c>
      <c r="BR45" s="52">
        <v>230</v>
      </c>
      <c r="BS45" s="16">
        <f t="shared" si="10"/>
        <v>5.9397758380248956E-3</v>
      </c>
      <c r="BT45" s="17">
        <f>IF(AND(BO45&lt;&gt;"", BR45&lt;&gt;""), SUM(BR$4:BR45), "")</f>
        <v>38246</v>
      </c>
      <c r="BU45" s="16">
        <f t="shared" si="11"/>
        <v>0.98770724652652242</v>
      </c>
      <c r="BV45" s="14"/>
      <c r="BW45" s="27">
        <v>8</v>
      </c>
      <c r="BX45" s="20">
        <v>35</v>
      </c>
      <c r="BY45" s="8"/>
      <c r="BZ45" s="49">
        <v>32</v>
      </c>
      <c r="CA45" s="83">
        <f t="shared" si="33"/>
        <v>9</v>
      </c>
      <c r="CB45" s="15">
        <f t="shared" si="24"/>
        <v>1.1599999999999999</v>
      </c>
      <c r="CC45" s="52">
        <v>230</v>
      </c>
      <c r="CD45" s="16">
        <f t="shared" si="12"/>
        <v>4.7934642157475716E-3</v>
      </c>
      <c r="CE45" s="17">
        <f>IF(AND(BZ45&lt;&gt;"", CC45&lt;&gt;""), SUM(CC$4:CC45), "")</f>
        <v>47541</v>
      </c>
      <c r="CF45" s="16">
        <f t="shared" si="13"/>
        <v>0.99080905339502312</v>
      </c>
      <c r="CG45" s="14"/>
      <c r="CH45" s="27">
        <v>8</v>
      </c>
      <c r="CI45" s="20">
        <v>36</v>
      </c>
      <c r="CJ45" s="8"/>
      <c r="CK45" s="49">
        <v>33</v>
      </c>
      <c r="CL45" s="83">
        <f t="shared" si="34"/>
        <v>9</v>
      </c>
      <c r="CM45" s="15">
        <f t="shared" si="25"/>
        <v>1.2</v>
      </c>
      <c r="CN45" s="52">
        <v>409</v>
      </c>
      <c r="CO45" s="16">
        <f t="shared" si="14"/>
        <v>4.8911158680235824E-3</v>
      </c>
      <c r="CP45" s="17">
        <f>IF(AND(CK45&lt;&gt;"", CN45&lt;&gt;""), SUM(CN$4:CN45), "")</f>
        <v>82820</v>
      </c>
      <c r="CQ45" s="16">
        <f t="shared" si="15"/>
        <v>0.99042106647851613</v>
      </c>
      <c r="CR45" s="14"/>
      <c r="CS45" s="27">
        <v>8</v>
      </c>
      <c r="CT45" s="20">
        <v>38</v>
      </c>
      <c r="CU45" s="8"/>
      <c r="CV45" s="49">
        <v>36</v>
      </c>
      <c r="CW45" s="83">
        <f t="shared" si="35"/>
        <v>9</v>
      </c>
      <c r="CX45" s="15">
        <f t="shared" si="26"/>
        <v>3.28</v>
      </c>
      <c r="CY45" s="52">
        <v>753</v>
      </c>
      <c r="CZ45" s="16">
        <f t="shared" si="16"/>
        <v>1.0122056135068287E-2</v>
      </c>
      <c r="DA45" s="17">
        <f>IF(AND(CV45&lt;&gt;"", CY45&lt;&gt;""), SUM(CY$4:CY45), "")</f>
        <v>72325</v>
      </c>
      <c r="DB45" s="16">
        <f t="shared" si="17"/>
        <v>0.9722147542746532</v>
      </c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</row>
    <row r="46" spans="1:180" ht="16" customHeight="1" x14ac:dyDescent="0.2">
      <c r="E46" s="1"/>
      <c r="F46" s="86"/>
      <c r="G46" s="85">
        <v>6</v>
      </c>
      <c r="H46" s="36"/>
      <c r="I46" s="86"/>
      <c r="J46" s="85">
        <v>6</v>
      </c>
      <c r="K46" s="36"/>
      <c r="L46" s="86"/>
      <c r="M46" s="85">
        <v>6</v>
      </c>
      <c r="N46"/>
      <c r="O46" s="38">
        <v>92</v>
      </c>
      <c r="P46" s="83">
        <f t="shared" si="27"/>
        <v>6</v>
      </c>
      <c r="Q46" s="15">
        <f t="shared" si="18"/>
        <v>34.08</v>
      </c>
      <c r="R46" s="43">
        <v>3980</v>
      </c>
      <c r="S46" s="16">
        <f t="shared" si="0"/>
        <v>1.3870012197246907E-2</v>
      </c>
      <c r="T46" s="17">
        <f>IF(AND(O46&lt;&gt;"", R46&lt;&gt;""), SUM(R$4:R46), "")</f>
        <v>191146</v>
      </c>
      <c r="U46" s="16">
        <f t="shared" si="1"/>
        <v>0.66612998780275312</v>
      </c>
      <c r="W46" s="38">
        <v>118</v>
      </c>
      <c r="X46" s="83">
        <f t="shared" si="28"/>
        <v>3</v>
      </c>
      <c r="Y46" s="15">
        <f t="shared" si="19"/>
        <v>77.14</v>
      </c>
      <c r="Z46" s="43">
        <v>4198</v>
      </c>
      <c r="AA46" s="16">
        <f t="shared" si="2"/>
        <v>1.46783730013042E-2</v>
      </c>
      <c r="AB46" s="17">
        <f>IF(AND(W46&lt;&gt;"", Z46&lt;&gt;""), SUM(Z$4:Z46), "")</f>
        <v>67478</v>
      </c>
      <c r="AC46" s="16">
        <f t="shared" si="3"/>
        <v>0.23593788789471293</v>
      </c>
      <c r="AD46" s="1"/>
      <c r="AE46" s="19">
        <v>7</v>
      </c>
      <c r="AF46" s="20">
        <v>34</v>
      </c>
      <c r="AG46" s="8"/>
      <c r="AH46" s="49">
        <v>28</v>
      </c>
      <c r="AI46" s="83">
        <f t="shared" si="29"/>
        <v>9</v>
      </c>
      <c r="AJ46" s="15">
        <f t="shared" si="20"/>
        <v>0.14000000000000001</v>
      </c>
      <c r="AK46" s="52">
        <v>270</v>
      </c>
      <c r="AL46" s="16">
        <f t="shared" si="4"/>
        <v>2.8094856560149008E-3</v>
      </c>
      <c r="AM46" s="17">
        <f>IF(AND(AH46&lt;&gt;"", AK46&lt;&gt;""), SUM(AK$4:AK46), "")</f>
        <v>96103</v>
      </c>
      <c r="AN46" s="16">
        <f t="shared" si="5"/>
        <v>1</v>
      </c>
      <c r="AO46" s="14"/>
      <c r="AP46" s="27">
        <v>7</v>
      </c>
      <c r="AQ46" s="20">
        <v>38</v>
      </c>
      <c r="AR46" s="8"/>
      <c r="AS46" s="49"/>
      <c r="AT46" s="83" t="str">
        <f t="shared" si="30"/>
        <v/>
      </c>
      <c r="AU46" s="15" t="str">
        <f t="shared" si="21"/>
        <v/>
      </c>
      <c r="AV46" s="52"/>
      <c r="AW46" s="16" t="str">
        <f t="shared" si="6"/>
        <v/>
      </c>
      <c r="AX46" s="17" t="str">
        <f>IF(AND(AS46&lt;&gt;"", AV46&lt;&gt;""), SUM(AV$4:AV46), "")</f>
        <v/>
      </c>
      <c r="AY46" s="16" t="str">
        <f t="shared" si="7"/>
        <v/>
      </c>
      <c r="AZ46" s="14"/>
      <c r="BA46" s="27">
        <v>7</v>
      </c>
      <c r="BB46" s="20">
        <v>37</v>
      </c>
      <c r="BC46" s="8"/>
      <c r="BD46" s="49">
        <v>33</v>
      </c>
      <c r="BE46" s="83">
        <f t="shared" si="31"/>
        <v>9</v>
      </c>
      <c r="BF46" s="15">
        <f t="shared" si="22"/>
        <v>0.52</v>
      </c>
      <c r="BG46" s="52">
        <v>94</v>
      </c>
      <c r="BH46" s="16">
        <f t="shared" si="8"/>
        <v>3.6318677072869174E-3</v>
      </c>
      <c r="BI46" s="17">
        <f>IF(AND(BD46&lt;&gt;"", BG46&lt;&gt;""), SUM(BG$4:BG46), "")</f>
        <v>25794</v>
      </c>
      <c r="BJ46" s="16">
        <f t="shared" si="9"/>
        <v>0.99659995363573139</v>
      </c>
      <c r="BK46" s="14"/>
      <c r="BL46" s="27">
        <v>7</v>
      </c>
      <c r="BM46" s="20">
        <v>35</v>
      </c>
      <c r="BN46" s="8"/>
      <c r="BO46" s="49">
        <v>32</v>
      </c>
      <c r="BP46" s="83">
        <f t="shared" si="32"/>
        <v>9</v>
      </c>
      <c r="BQ46" s="15">
        <f t="shared" si="23"/>
        <v>1.02</v>
      </c>
      <c r="BR46" s="52">
        <v>160</v>
      </c>
      <c r="BS46" s="16">
        <f t="shared" si="10"/>
        <v>4.1320179742781885E-3</v>
      </c>
      <c r="BT46" s="17">
        <f>IF(AND(BO46&lt;&gt;"", BR46&lt;&gt;""), SUM(BR$4:BR46), "")</f>
        <v>38406</v>
      </c>
      <c r="BU46" s="16">
        <f t="shared" si="11"/>
        <v>0.99183926450080062</v>
      </c>
      <c r="BV46" s="14"/>
      <c r="BW46" s="27">
        <v>7</v>
      </c>
      <c r="BX46" s="20">
        <v>34</v>
      </c>
      <c r="BY46" s="8"/>
      <c r="BZ46" s="49">
        <v>31</v>
      </c>
      <c r="CA46" s="83">
        <f t="shared" si="33"/>
        <v>9</v>
      </c>
      <c r="CB46" s="15">
        <f t="shared" si="24"/>
        <v>0.76</v>
      </c>
      <c r="CC46" s="52">
        <v>152</v>
      </c>
      <c r="CD46" s="16">
        <f t="shared" si="12"/>
        <v>3.1678546121462216E-3</v>
      </c>
      <c r="CE46" s="17">
        <f>IF(AND(BZ46&lt;&gt;"", CC46&lt;&gt;""), SUM(CC$4:CC46), "")</f>
        <v>47693</v>
      </c>
      <c r="CF46" s="16">
        <f t="shared" si="13"/>
        <v>0.99397690800716931</v>
      </c>
      <c r="CG46" s="14"/>
      <c r="CH46" s="27">
        <v>7</v>
      </c>
      <c r="CI46" s="20">
        <v>35</v>
      </c>
      <c r="CJ46" s="8"/>
      <c r="CK46" s="49">
        <v>32</v>
      </c>
      <c r="CL46" s="83">
        <f t="shared" si="34"/>
        <v>9</v>
      </c>
      <c r="CM46" s="15">
        <f t="shared" si="25"/>
        <v>0.77</v>
      </c>
      <c r="CN46" s="52">
        <v>310</v>
      </c>
      <c r="CO46" s="16">
        <f t="shared" si="14"/>
        <v>3.7072027361547935E-3</v>
      </c>
      <c r="CP46" s="17">
        <f>IF(AND(CK46&lt;&gt;"", CN46&lt;&gt;""), SUM(CN$4:CN46), "")</f>
        <v>83130</v>
      </c>
      <c r="CQ46" s="16">
        <f t="shared" si="15"/>
        <v>0.9941282692146709</v>
      </c>
      <c r="CR46" s="14"/>
      <c r="CS46" s="27">
        <v>7</v>
      </c>
      <c r="CT46" s="20">
        <v>37</v>
      </c>
      <c r="CU46" s="8"/>
      <c r="CV46" s="49">
        <v>35</v>
      </c>
      <c r="CW46" s="83">
        <f t="shared" si="35"/>
        <v>9</v>
      </c>
      <c r="CX46" s="15">
        <f t="shared" si="26"/>
        <v>2.2599999999999998</v>
      </c>
      <c r="CY46" s="52">
        <v>773</v>
      </c>
      <c r="CZ46" s="16">
        <f t="shared" si="16"/>
        <v>1.0390902247553501E-2</v>
      </c>
      <c r="DA46" s="17">
        <f>IF(AND(CV46&lt;&gt;"", CY46&lt;&gt;""), SUM(CY$4:CY46), "")</f>
        <v>73098</v>
      </c>
      <c r="DB46" s="16">
        <f t="shared" si="17"/>
        <v>0.98260565652220666</v>
      </c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</row>
    <row r="47" spans="1:180" ht="16" customHeight="1" x14ac:dyDescent="0.2">
      <c r="E47" s="1"/>
      <c r="F47" s="86"/>
      <c r="G47" s="85">
        <v>7</v>
      </c>
      <c r="H47" s="36"/>
      <c r="I47" s="86"/>
      <c r="J47" s="85">
        <v>7</v>
      </c>
      <c r="K47" s="36"/>
      <c r="L47" s="86"/>
      <c r="M47" s="85">
        <v>7</v>
      </c>
      <c r="N47"/>
      <c r="O47" s="38">
        <v>91</v>
      </c>
      <c r="P47" s="83">
        <f t="shared" si="27"/>
        <v>6</v>
      </c>
      <c r="Q47" s="15">
        <f t="shared" si="18"/>
        <v>32.68</v>
      </c>
      <c r="R47" s="43">
        <v>4051</v>
      </c>
      <c r="S47" s="16">
        <f t="shared" si="0"/>
        <v>1.4117442063077192E-2</v>
      </c>
      <c r="T47" s="17">
        <f>IF(AND(O47&lt;&gt;"", R47&lt;&gt;""), SUM(R$4:R47), "")</f>
        <v>195197</v>
      </c>
      <c r="U47" s="16">
        <f t="shared" si="1"/>
        <v>0.68024742986583031</v>
      </c>
      <c r="W47" s="38">
        <v>117</v>
      </c>
      <c r="X47" s="83">
        <f t="shared" si="28"/>
        <v>4</v>
      </c>
      <c r="Y47" s="15">
        <f t="shared" si="19"/>
        <v>75.8</v>
      </c>
      <c r="Z47" s="43">
        <v>3451</v>
      </c>
      <c r="AA47" s="16">
        <f t="shared" si="2"/>
        <v>1.2066475756908241E-2</v>
      </c>
      <c r="AB47" s="17">
        <f>IF(AND(W47&lt;&gt;"", Z47&lt;&gt;""), SUM(Z$4:Z47), "")</f>
        <v>70929</v>
      </c>
      <c r="AC47" s="16">
        <f t="shared" si="3"/>
        <v>0.24800436365162115</v>
      </c>
      <c r="AD47" s="1"/>
      <c r="AE47" s="19">
        <v>6</v>
      </c>
      <c r="AF47" s="20">
        <v>33</v>
      </c>
      <c r="AG47" s="8"/>
      <c r="AH47" s="38"/>
      <c r="AI47" s="83" t="str">
        <f t="shared" si="29"/>
        <v/>
      </c>
      <c r="AJ47" s="15" t="str">
        <f t="shared" si="20"/>
        <v/>
      </c>
      <c r="AK47" s="43"/>
      <c r="AL47" s="16" t="str">
        <f t="shared" si="4"/>
        <v/>
      </c>
      <c r="AM47" s="17" t="str">
        <f>IF(AND(AH47&lt;&gt;"", AK47&lt;&gt;""), SUM(AK$4:AK47), "")</f>
        <v/>
      </c>
      <c r="AN47" s="16" t="str">
        <f t="shared" si="5"/>
        <v/>
      </c>
      <c r="AO47" s="14"/>
      <c r="AP47" s="27">
        <v>6</v>
      </c>
      <c r="AQ47" s="20">
        <v>37</v>
      </c>
      <c r="AR47" s="8"/>
      <c r="AS47" s="38"/>
      <c r="AT47" s="83" t="str">
        <f t="shared" si="30"/>
        <v/>
      </c>
      <c r="AU47" s="15" t="str">
        <f t="shared" si="21"/>
        <v/>
      </c>
      <c r="AV47" s="43"/>
      <c r="AW47" s="16" t="str">
        <f t="shared" si="6"/>
        <v/>
      </c>
      <c r="AX47" s="17" t="str">
        <f>IF(AND(AS47&lt;&gt;"", AV47&lt;&gt;""), SUM(AV$4:AV47), "")</f>
        <v/>
      </c>
      <c r="AY47" s="16" t="str">
        <f t="shared" si="7"/>
        <v/>
      </c>
      <c r="AZ47" s="14"/>
      <c r="BA47" s="27">
        <v>6</v>
      </c>
      <c r="BB47" s="20">
        <v>36</v>
      </c>
      <c r="BC47" s="8"/>
      <c r="BD47" s="49">
        <v>31</v>
      </c>
      <c r="BE47" s="83">
        <f t="shared" si="31"/>
        <v>9</v>
      </c>
      <c r="BF47" s="15">
        <f t="shared" si="22"/>
        <v>0.17</v>
      </c>
      <c r="BG47" s="52">
        <v>88</v>
      </c>
      <c r="BH47" s="16">
        <f t="shared" si="8"/>
        <v>3.4000463642686034E-3</v>
      </c>
      <c r="BI47" s="17">
        <f>IF(AND(BD47&lt;&gt;"", BG47&lt;&gt;""), SUM(BG$4:BG47), "")</f>
        <v>25882</v>
      </c>
      <c r="BJ47" s="16">
        <f t="shared" si="9"/>
        <v>1</v>
      </c>
      <c r="BK47" s="14"/>
      <c r="BL47" s="27">
        <v>6</v>
      </c>
      <c r="BM47" s="20">
        <v>34</v>
      </c>
      <c r="BN47" s="8"/>
      <c r="BO47" s="49">
        <v>31</v>
      </c>
      <c r="BP47" s="83">
        <f t="shared" si="32"/>
        <v>9</v>
      </c>
      <c r="BQ47" s="15">
        <f t="shared" si="23"/>
        <v>0.73</v>
      </c>
      <c r="BR47" s="52">
        <v>70</v>
      </c>
      <c r="BS47" s="16">
        <f t="shared" si="10"/>
        <v>1.8077578637467073E-3</v>
      </c>
      <c r="BT47" s="17">
        <f>IF(AND(BO47&lt;&gt;"", BR47&lt;&gt;""), SUM(BR$4:BR47), "")</f>
        <v>38476</v>
      </c>
      <c r="BU47" s="16">
        <f t="shared" si="11"/>
        <v>0.99364702236454727</v>
      </c>
      <c r="BV47" s="14"/>
      <c r="BW47" s="27">
        <v>6</v>
      </c>
      <c r="BX47" s="20">
        <v>33</v>
      </c>
      <c r="BY47" s="8"/>
      <c r="BZ47" s="49">
        <v>30</v>
      </c>
      <c r="CA47" s="83">
        <f t="shared" si="33"/>
        <v>9</v>
      </c>
      <c r="CB47" s="15">
        <f t="shared" si="24"/>
        <v>0.45</v>
      </c>
      <c r="CC47" s="52">
        <v>142</v>
      </c>
      <c r="CD47" s="16">
        <f t="shared" si="12"/>
        <v>2.9594431245050226E-3</v>
      </c>
      <c r="CE47" s="17">
        <f>IF(AND(BZ47&lt;&gt;"", CC47&lt;&gt;""), SUM(CC$4:CC47), "")</f>
        <v>47835</v>
      </c>
      <c r="CF47" s="16">
        <f t="shared" si="13"/>
        <v>0.99693635113167434</v>
      </c>
      <c r="CG47" s="14"/>
      <c r="CH47" s="27">
        <v>6</v>
      </c>
      <c r="CI47" s="20">
        <v>34</v>
      </c>
      <c r="CJ47" s="8"/>
      <c r="CK47" s="49">
        <v>31</v>
      </c>
      <c r="CL47" s="83">
        <f t="shared" si="34"/>
        <v>9</v>
      </c>
      <c r="CM47" s="15">
        <f t="shared" si="25"/>
        <v>0.52</v>
      </c>
      <c r="CN47" s="52">
        <v>112</v>
      </c>
      <c r="CO47" s="16">
        <f t="shared" si="14"/>
        <v>1.3393764724172158E-3</v>
      </c>
      <c r="CP47" s="17">
        <f>IF(AND(CK47&lt;&gt;"", CN47&lt;&gt;""), SUM(CN$4:CN47), "")</f>
        <v>83242</v>
      </c>
      <c r="CQ47" s="16">
        <f t="shared" si="15"/>
        <v>0.99546764568708812</v>
      </c>
      <c r="CR47" s="14"/>
      <c r="CS47" s="27">
        <v>6</v>
      </c>
      <c r="CT47" s="20">
        <v>36</v>
      </c>
      <c r="CU47" s="8"/>
      <c r="CV47" s="49">
        <v>34</v>
      </c>
      <c r="CW47" s="83">
        <f t="shared" si="35"/>
        <v>9</v>
      </c>
      <c r="CX47" s="15">
        <f t="shared" si="26"/>
        <v>1.43</v>
      </c>
      <c r="CY47" s="52">
        <v>458</v>
      </c>
      <c r="CZ47" s="16">
        <f t="shared" si="16"/>
        <v>6.1565759759113882E-3</v>
      </c>
      <c r="DA47" s="17">
        <f>IF(AND(CV47&lt;&gt;"", CY47&lt;&gt;""), SUM(CY$4:CY47), "")</f>
        <v>73556</v>
      </c>
      <c r="DB47" s="16">
        <f t="shared" si="17"/>
        <v>0.98876223249811812</v>
      </c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</row>
    <row r="48" spans="1:180" ht="16" customHeight="1" x14ac:dyDescent="0.2">
      <c r="E48" s="1"/>
      <c r="F48" s="86"/>
      <c r="G48" s="85">
        <v>8</v>
      </c>
      <c r="H48" s="36"/>
      <c r="I48" s="86"/>
      <c r="J48" s="85">
        <v>8</v>
      </c>
      <c r="K48" s="36"/>
      <c r="L48" s="86"/>
      <c r="M48" s="85">
        <v>8</v>
      </c>
      <c r="N48"/>
      <c r="O48" s="38">
        <v>90</v>
      </c>
      <c r="P48" s="83">
        <f t="shared" si="27"/>
        <v>6</v>
      </c>
      <c r="Q48" s="15">
        <f t="shared" si="18"/>
        <v>31.35</v>
      </c>
      <c r="R48" s="43">
        <v>3560</v>
      </c>
      <c r="S48" s="16">
        <f t="shared" si="0"/>
        <v>1.2406342568391706E-2</v>
      </c>
      <c r="T48" s="17">
        <f>IF(AND(O48&lt;&gt;"", R48&lt;&gt;""), SUM(R$4:R48), "")</f>
        <v>198757</v>
      </c>
      <c r="U48" s="16">
        <f t="shared" si="1"/>
        <v>0.69265377243422199</v>
      </c>
      <c r="W48" s="38">
        <v>116</v>
      </c>
      <c r="X48" s="83">
        <f t="shared" si="28"/>
        <v>4</v>
      </c>
      <c r="Y48" s="15">
        <f t="shared" si="19"/>
        <v>74.680000000000007</v>
      </c>
      <c r="Z48" s="43">
        <v>2966</v>
      </c>
      <c r="AA48" s="16">
        <f t="shared" si="2"/>
        <v>1.0370665631698013E-2</v>
      </c>
      <c r="AB48" s="17">
        <f>IF(AND(W48&lt;&gt;"", Z48&lt;&gt;""), SUM(Z$4:Z48), "")</f>
        <v>73895</v>
      </c>
      <c r="AC48" s="16">
        <f t="shared" si="3"/>
        <v>0.25837502928331918</v>
      </c>
      <c r="AD48" s="1"/>
      <c r="AE48" s="19">
        <v>5</v>
      </c>
      <c r="AF48" s="20">
        <v>32</v>
      </c>
      <c r="AG48" s="8"/>
      <c r="AH48" s="38"/>
      <c r="AI48" s="83" t="str">
        <f t="shared" si="29"/>
        <v/>
      </c>
      <c r="AJ48" s="15" t="str">
        <f t="shared" si="20"/>
        <v/>
      </c>
      <c r="AK48" s="43"/>
      <c r="AL48" s="16" t="str">
        <f t="shared" si="4"/>
        <v/>
      </c>
      <c r="AM48" s="17" t="str">
        <f>IF(AND(AH48&lt;&gt;"", AK48&lt;&gt;""), SUM(AK$4:AK48), "")</f>
        <v/>
      </c>
      <c r="AN48" s="16" t="str">
        <f t="shared" si="5"/>
        <v/>
      </c>
      <c r="AO48" s="14"/>
      <c r="AP48" s="27">
        <v>5</v>
      </c>
      <c r="AQ48" s="20">
        <v>37</v>
      </c>
      <c r="AR48" s="8"/>
      <c r="AS48" s="38"/>
      <c r="AT48" s="83" t="str">
        <f t="shared" si="30"/>
        <v/>
      </c>
      <c r="AU48" s="15" t="str">
        <f t="shared" si="21"/>
        <v/>
      </c>
      <c r="AV48" s="43"/>
      <c r="AW48" s="16" t="str">
        <f t="shared" si="6"/>
        <v/>
      </c>
      <c r="AX48" s="17" t="str">
        <f>IF(AND(AS48&lt;&gt;"", AV48&lt;&gt;""), SUM(AV$4:AV48), "")</f>
        <v/>
      </c>
      <c r="AY48" s="16" t="str">
        <f t="shared" si="7"/>
        <v/>
      </c>
      <c r="AZ48" s="14"/>
      <c r="BA48" s="27">
        <v>5</v>
      </c>
      <c r="BB48" s="20">
        <v>35</v>
      </c>
      <c r="BC48" s="8"/>
      <c r="BD48" s="38"/>
      <c r="BE48" s="83" t="str">
        <f t="shared" si="31"/>
        <v/>
      </c>
      <c r="BF48" s="15" t="str">
        <f t="shared" si="22"/>
        <v/>
      </c>
      <c r="BG48" s="43"/>
      <c r="BH48" s="16" t="str">
        <f t="shared" si="8"/>
        <v/>
      </c>
      <c r="BI48" s="17" t="str">
        <f>IF(AND(BD48&lt;&gt;"", BG48&lt;&gt;""), SUM(BG$4:BG48), "")</f>
        <v/>
      </c>
      <c r="BJ48" s="16" t="str">
        <f t="shared" si="9"/>
        <v/>
      </c>
      <c r="BK48" s="14"/>
      <c r="BL48" s="27">
        <v>5</v>
      </c>
      <c r="BM48" s="20">
        <v>33</v>
      </c>
      <c r="BN48" s="8"/>
      <c r="BO48" s="49">
        <v>30</v>
      </c>
      <c r="BP48" s="83">
        <f t="shared" si="32"/>
        <v>9</v>
      </c>
      <c r="BQ48" s="15">
        <f t="shared" si="23"/>
        <v>0.52</v>
      </c>
      <c r="BR48" s="52">
        <v>88</v>
      </c>
      <c r="BS48" s="16">
        <f t="shared" si="10"/>
        <v>2.2726098858530035E-3</v>
      </c>
      <c r="BT48" s="17">
        <f>IF(AND(BO48&lt;&gt;"", BR48&lt;&gt;""), SUM(BR$4:BR48), "")</f>
        <v>38564</v>
      </c>
      <c r="BU48" s="16">
        <f t="shared" si="11"/>
        <v>0.99591963225040026</v>
      </c>
      <c r="BV48" s="14"/>
      <c r="BW48" s="27">
        <v>5</v>
      </c>
      <c r="BX48" s="20">
        <v>32</v>
      </c>
      <c r="BY48" s="8"/>
      <c r="BZ48" s="49">
        <v>28</v>
      </c>
      <c r="CA48" s="83">
        <f t="shared" si="33"/>
        <v>9</v>
      </c>
      <c r="CB48" s="15">
        <f t="shared" si="24"/>
        <v>0.15</v>
      </c>
      <c r="CC48" s="52">
        <v>147</v>
      </c>
      <c r="CD48" s="16">
        <f t="shared" si="12"/>
        <v>3.0636488683256223E-3</v>
      </c>
      <c r="CE48" s="17">
        <f>IF(AND(BZ48&lt;&gt;"", CC48&lt;&gt;""), SUM(CC$4:CC48), "")</f>
        <v>47982</v>
      </c>
      <c r="CF48" s="16">
        <f t="shared" si="13"/>
        <v>1</v>
      </c>
      <c r="CG48" s="14"/>
      <c r="CH48" s="27">
        <v>5</v>
      </c>
      <c r="CI48" s="20">
        <v>33</v>
      </c>
      <c r="CJ48" s="8"/>
      <c r="CK48" s="49">
        <v>30</v>
      </c>
      <c r="CL48" s="83">
        <f t="shared" si="34"/>
        <v>9</v>
      </c>
      <c r="CM48" s="15">
        <f t="shared" si="25"/>
        <v>0.37</v>
      </c>
      <c r="CN48" s="52">
        <v>141</v>
      </c>
      <c r="CO48" s="16">
        <f t="shared" si="14"/>
        <v>1.686179309025245E-3</v>
      </c>
      <c r="CP48" s="17">
        <f>IF(AND(CK48&lt;&gt;"", CN48&lt;&gt;""), SUM(CN$4:CN48), "")</f>
        <v>83383</v>
      </c>
      <c r="CQ48" s="16">
        <f t="shared" si="15"/>
        <v>0.99715382499611338</v>
      </c>
      <c r="CR48" s="14"/>
      <c r="CS48" s="27">
        <v>5</v>
      </c>
      <c r="CT48" s="20">
        <v>35</v>
      </c>
      <c r="CU48" s="8"/>
      <c r="CV48" s="49">
        <v>33</v>
      </c>
      <c r="CW48" s="83">
        <f t="shared" si="35"/>
        <v>9</v>
      </c>
      <c r="CX48" s="15">
        <f t="shared" si="26"/>
        <v>0.97</v>
      </c>
      <c r="CY48" s="52">
        <v>229</v>
      </c>
      <c r="CZ48" s="16">
        <f t="shared" si="16"/>
        <v>3.0782879879556941E-3</v>
      </c>
      <c r="DA48" s="17">
        <f>IF(AND(CV48&lt;&gt;"", CY48&lt;&gt;""), SUM(CY$4:CY48), "")</f>
        <v>73785</v>
      </c>
      <c r="DB48" s="16">
        <f t="shared" si="17"/>
        <v>0.99184052048607374</v>
      </c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</row>
    <row r="49" spans="5:180" ht="16" customHeight="1" x14ac:dyDescent="0.2">
      <c r="E49" s="1"/>
      <c r="F49" s="86"/>
      <c r="G49" s="85">
        <v>9</v>
      </c>
      <c r="H49" s="36"/>
      <c r="I49" s="86"/>
      <c r="J49" s="85">
        <v>9</v>
      </c>
      <c r="K49" s="36"/>
      <c r="L49" s="86"/>
      <c r="M49" s="85">
        <v>9</v>
      </c>
      <c r="N49"/>
      <c r="O49" s="38">
        <v>89</v>
      </c>
      <c r="P49" s="83">
        <f t="shared" si="27"/>
        <v>6</v>
      </c>
      <c r="Q49" s="15">
        <f t="shared" si="18"/>
        <v>30.07</v>
      </c>
      <c r="R49" s="43">
        <v>3829</v>
      </c>
      <c r="S49" s="16">
        <f t="shared" si="0"/>
        <v>1.3343788116396586E-2</v>
      </c>
      <c r="T49" s="17">
        <f>IF(AND(O49&lt;&gt;"", R49&lt;&gt;""), SUM(R$4:R49), "")</f>
        <v>202586</v>
      </c>
      <c r="U49" s="16">
        <f t="shared" si="1"/>
        <v>0.70599756055061857</v>
      </c>
      <c r="W49" s="38">
        <v>115</v>
      </c>
      <c r="X49" s="83">
        <f t="shared" si="28"/>
        <v>4</v>
      </c>
      <c r="Y49" s="15">
        <f t="shared" si="19"/>
        <v>73.53</v>
      </c>
      <c r="Z49" s="43">
        <v>3639</v>
      </c>
      <c r="AA49" s="16">
        <f t="shared" si="2"/>
        <v>1.2723820712659834E-2</v>
      </c>
      <c r="AB49" s="17">
        <f>IF(AND(W49&lt;&gt;"", Z49&lt;&gt;""), SUM(Z$4:Z49), "")</f>
        <v>77534</v>
      </c>
      <c r="AC49" s="16">
        <f t="shared" si="3"/>
        <v>0.271098849995979</v>
      </c>
      <c r="AD49" s="1"/>
      <c r="AE49" s="19">
        <v>4</v>
      </c>
      <c r="AF49" s="20">
        <v>31</v>
      </c>
      <c r="AG49" s="8"/>
      <c r="AH49" s="38"/>
      <c r="AI49" s="83" t="str">
        <f t="shared" si="29"/>
        <v/>
      </c>
      <c r="AJ49" s="15" t="str">
        <f t="shared" si="20"/>
        <v/>
      </c>
      <c r="AK49" s="43"/>
      <c r="AL49" s="16" t="str">
        <f t="shared" si="4"/>
        <v/>
      </c>
      <c r="AM49" s="17" t="str">
        <f>IF(AND(AH49&lt;&gt;"", AK49&lt;&gt;""), SUM(AK$4:AK49), "")</f>
        <v/>
      </c>
      <c r="AN49" s="16" t="str">
        <f t="shared" si="5"/>
        <v/>
      </c>
      <c r="AO49" s="14"/>
      <c r="AP49" s="27">
        <v>4</v>
      </c>
      <c r="AQ49" s="20">
        <v>36</v>
      </c>
      <c r="AR49" s="8"/>
      <c r="AS49" s="38"/>
      <c r="AT49" s="83" t="str">
        <f t="shared" si="30"/>
        <v/>
      </c>
      <c r="AU49" s="15" t="str">
        <f t="shared" si="21"/>
        <v/>
      </c>
      <c r="AV49" s="43"/>
      <c r="AW49" s="16" t="str">
        <f t="shared" si="6"/>
        <v/>
      </c>
      <c r="AX49" s="17" t="str">
        <f>IF(AND(AS49&lt;&gt;"", AV49&lt;&gt;""), SUM(AV$4:AV49), "")</f>
        <v/>
      </c>
      <c r="AY49" s="16" t="str">
        <f t="shared" si="7"/>
        <v/>
      </c>
      <c r="AZ49" s="14"/>
      <c r="BA49" s="27">
        <v>4</v>
      </c>
      <c r="BB49" s="20">
        <v>34</v>
      </c>
      <c r="BC49" s="8"/>
      <c r="BD49" s="38"/>
      <c r="BE49" s="83" t="str">
        <f t="shared" si="31"/>
        <v/>
      </c>
      <c r="BF49" s="15" t="str">
        <f t="shared" si="22"/>
        <v/>
      </c>
      <c r="BG49" s="43"/>
      <c r="BH49" s="16" t="str">
        <f t="shared" si="8"/>
        <v/>
      </c>
      <c r="BI49" s="17" t="str">
        <f>IF(AND(BD49&lt;&gt;"", BG49&lt;&gt;""), SUM(BG$4:BG49), "")</f>
        <v/>
      </c>
      <c r="BJ49" s="16" t="str">
        <f t="shared" si="9"/>
        <v/>
      </c>
      <c r="BK49" s="14"/>
      <c r="BL49" s="27">
        <v>4</v>
      </c>
      <c r="BM49" s="20">
        <v>32</v>
      </c>
      <c r="BN49" s="8"/>
      <c r="BO49" s="49">
        <v>28</v>
      </c>
      <c r="BP49" s="83">
        <f t="shared" si="32"/>
        <v>9</v>
      </c>
      <c r="BQ49" s="15">
        <f t="shared" si="23"/>
        <v>0.2</v>
      </c>
      <c r="BR49" s="52">
        <v>158</v>
      </c>
      <c r="BS49" s="16">
        <f t="shared" si="10"/>
        <v>4.080367749599711E-3</v>
      </c>
      <c r="BT49" s="17">
        <f>IF(AND(BO49&lt;&gt;"", BR49&lt;&gt;""), SUM(BR$4:BR49), "")</f>
        <v>38722</v>
      </c>
      <c r="BU49" s="16">
        <f t="shared" si="11"/>
        <v>1</v>
      </c>
      <c r="BV49" s="14"/>
      <c r="BW49" s="27">
        <v>4</v>
      </c>
      <c r="BX49" s="20">
        <v>31</v>
      </c>
      <c r="BY49" s="8"/>
      <c r="BZ49" s="38"/>
      <c r="CA49" s="83" t="str">
        <f t="shared" si="33"/>
        <v/>
      </c>
      <c r="CB49" s="15" t="str">
        <f t="shared" si="24"/>
        <v/>
      </c>
      <c r="CC49" s="43"/>
      <c r="CD49" s="16" t="str">
        <f t="shared" si="12"/>
        <v/>
      </c>
      <c r="CE49" s="17" t="str">
        <f>IF(AND(BZ49&lt;&gt;"", CC49&lt;&gt;""), SUM(CC$4:CC49), "")</f>
        <v/>
      </c>
      <c r="CF49" s="16" t="str">
        <f t="shared" si="13"/>
        <v/>
      </c>
      <c r="CG49" s="14"/>
      <c r="CH49" s="27">
        <v>4</v>
      </c>
      <c r="CI49" s="20">
        <v>32</v>
      </c>
      <c r="CJ49" s="8"/>
      <c r="CK49" s="49">
        <v>28</v>
      </c>
      <c r="CL49" s="83">
        <f t="shared" si="34"/>
        <v>9</v>
      </c>
      <c r="CM49" s="15">
        <f t="shared" si="25"/>
        <v>0.14000000000000001</v>
      </c>
      <c r="CN49" s="52">
        <v>238</v>
      </c>
      <c r="CO49" s="16">
        <f t="shared" si="14"/>
        <v>2.8461750038865836E-3</v>
      </c>
      <c r="CP49" s="17">
        <f>IF(AND(CK49&lt;&gt;"", CN49&lt;&gt;""), SUM(CN$4:CN49), "")</f>
        <v>83621</v>
      </c>
      <c r="CQ49" s="16">
        <f t="shared" si="15"/>
        <v>1</v>
      </c>
      <c r="CR49" s="14"/>
      <c r="CS49" s="27">
        <v>4</v>
      </c>
      <c r="CT49" s="20">
        <v>34</v>
      </c>
      <c r="CU49" s="8"/>
      <c r="CV49" s="49">
        <v>32</v>
      </c>
      <c r="CW49" s="83">
        <f t="shared" si="35"/>
        <v>9</v>
      </c>
      <c r="CX49" s="15">
        <f t="shared" si="26"/>
        <v>0.61</v>
      </c>
      <c r="CY49" s="52">
        <v>303</v>
      </c>
      <c r="CZ49" s="16">
        <f t="shared" si="16"/>
        <v>4.0730186041509839E-3</v>
      </c>
      <c r="DA49" s="17">
        <f>IF(AND(CV49&lt;&gt;"", CY49&lt;&gt;""), SUM(CY$4:CY49), "")</f>
        <v>74088</v>
      </c>
      <c r="DB49" s="16">
        <f t="shared" si="17"/>
        <v>0.99591353909022473</v>
      </c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</row>
    <row r="50" spans="5:180" ht="16" customHeight="1" x14ac:dyDescent="0.2">
      <c r="E50" s="1"/>
      <c r="F50" s="1"/>
      <c r="G50" s="1"/>
      <c r="H50" s="1"/>
      <c r="I50" s="1"/>
      <c r="J50" s="1"/>
      <c r="K50" s="1"/>
      <c r="L50" s="1"/>
      <c r="M50" s="1"/>
      <c r="N50"/>
      <c r="O50" s="38">
        <v>88</v>
      </c>
      <c r="P50" s="83">
        <f t="shared" si="27"/>
        <v>6</v>
      </c>
      <c r="Q50" s="15">
        <f t="shared" si="18"/>
        <v>28.78</v>
      </c>
      <c r="R50" s="43">
        <v>3531</v>
      </c>
      <c r="S50" s="16">
        <f t="shared" si="0"/>
        <v>1.2305279665446941E-2</v>
      </c>
      <c r="T50" s="17">
        <f>IF(AND(O50&lt;&gt;"", R50&lt;&gt;""), SUM(R$4:R50), "")</f>
        <v>206117</v>
      </c>
      <c r="U50" s="16">
        <f t="shared" si="1"/>
        <v>0.7183028402160655</v>
      </c>
      <c r="W50" s="38">
        <v>114</v>
      </c>
      <c r="X50" s="83">
        <f t="shared" si="28"/>
        <v>4</v>
      </c>
      <c r="Y50" s="15">
        <f t="shared" si="19"/>
        <v>72.22</v>
      </c>
      <c r="Z50" s="43">
        <v>3824</v>
      </c>
      <c r="AA50" s="16">
        <f t="shared" si="2"/>
        <v>1.3370676121245179E-2</v>
      </c>
      <c r="AB50" s="17">
        <f>IF(AND(W50&lt;&gt;"", Z50&lt;&gt;""), SUM(Z$4:Z50), "")</f>
        <v>81358</v>
      </c>
      <c r="AC50" s="16">
        <f t="shared" si="3"/>
        <v>0.2844695261172242</v>
      </c>
      <c r="AD50" s="1"/>
      <c r="AE50" s="19">
        <v>3</v>
      </c>
      <c r="AF50" s="20">
        <v>30</v>
      </c>
      <c r="AG50" s="8"/>
      <c r="AH50" s="38"/>
      <c r="AI50" s="83" t="str">
        <f t="shared" si="29"/>
        <v/>
      </c>
      <c r="AJ50" s="15" t="str">
        <f t="shared" si="20"/>
        <v/>
      </c>
      <c r="AK50" s="43"/>
      <c r="AL50" s="16" t="str">
        <f t="shared" si="4"/>
        <v/>
      </c>
      <c r="AM50" s="17" t="str">
        <f>IF(AND(AH50&lt;&gt;"", AK50&lt;&gt;""), SUM(AK$4:AK50), "")</f>
        <v/>
      </c>
      <c r="AN50" s="16" t="str">
        <f t="shared" si="5"/>
        <v/>
      </c>
      <c r="AO50" s="14"/>
      <c r="AP50" s="27">
        <v>3</v>
      </c>
      <c r="AQ50" s="20">
        <v>35</v>
      </c>
      <c r="AR50" s="8"/>
      <c r="AS50" s="38"/>
      <c r="AT50" s="83" t="str">
        <f t="shared" si="30"/>
        <v/>
      </c>
      <c r="AU50" s="15" t="str">
        <f t="shared" si="21"/>
        <v/>
      </c>
      <c r="AV50" s="43"/>
      <c r="AW50" s="16" t="str">
        <f t="shared" si="6"/>
        <v/>
      </c>
      <c r="AX50" s="17" t="str">
        <f>IF(AND(AS50&lt;&gt;"", AV50&lt;&gt;""), SUM(AV$4:AV50), "")</f>
        <v/>
      </c>
      <c r="AY50" s="16" t="str">
        <f t="shared" si="7"/>
        <v/>
      </c>
      <c r="AZ50" s="14"/>
      <c r="BA50" s="27">
        <v>3</v>
      </c>
      <c r="BB50" s="20">
        <v>34</v>
      </c>
      <c r="BC50" s="8"/>
      <c r="BD50" s="38"/>
      <c r="BE50" s="83" t="str">
        <f t="shared" si="31"/>
        <v/>
      </c>
      <c r="BF50" s="15" t="str">
        <f t="shared" si="22"/>
        <v/>
      </c>
      <c r="BG50" s="43"/>
      <c r="BH50" s="16" t="str">
        <f t="shared" si="8"/>
        <v/>
      </c>
      <c r="BI50" s="17" t="str">
        <f>IF(AND(BD50&lt;&gt;"", BG50&lt;&gt;""), SUM(BG$4:BG50), "")</f>
        <v/>
      </c>
      <c r="BJ50" s="16" t="str">
        <f t="shared" si="9"/>
        <v/>
      </c>
      <c r="BK50" s="14"/>
      <c r="BL50" s="27">
        <v>3</v>
      </c>
      <c r="BM50" s="20">
        <v>31</v>
      </c>
      <c r="BN50" s="8"/>
      <c r="BO50" s="38"/>
      <c r="BP50" s="83" t="str">
        <f t="shared" si="32"/>
        <v/>
      </c>
      <c r="BQ50" s="15" t="str">
        <f t="shared" si="23"/>
        <v/>
      </c>
      <c r="BR50" s="43"/>
      <c r="BS50" s="16" t="str">
        <f t="shared" si="10"/>
        <v/>
      </c>
      <c r="BT50" s="17" t="str">
        <f>IF(AND(BO50&lt;&gt;"", BR50&lt;&gt;""), SUM(BR$4:BR50), "")</f>
        <v/>
      </c>
      <c r="BU50" s="16" t="str">
        <f t="shared" si="11"/>
        <v/>
      </c>
      <c r="BV50" s="14"/>
      <c r="BW50" s="27">
        <v>3</v>
      </c>
      <c r="BX50" s="20">
        <v>30</v>
      </c>
      <c r="BY50" s="8"/>
      <c r="BZ50" s="38"/>
      <c r="CA50" s="83" t="str">
        <f t="shared" si="33"/>
        <v/>
      </c>
      <c r="CB50" s="15" t="str">
        <f t="shared" si="24"/>
        <v/>
      </c>
      <c r="CC50" s="43"/>
      <c r="CD50" s="16" t="str">
        <f t="shared" si="12"/>
        <v/>
      </c>
      <c r="CE50" s="17" t="str">
        <f>IF(AND(BZ50&lt;&gt;"", CC50&lt;&gt;""), SUM(CC$4:CC50), "")</f>
        <v/>
      </c>
      <c r="CF50" s="16" t="str">
        <f t="shared" si="13"/>
        <v/>
      </c>
      <c r="CG50" s="14"/>
      <c r="CH50" s="27">
        <v>3</v>
      </c>
      <c r="CI50" s="20">
        <v>31</v>
      </c>
      <c r="CJ50" s="8"/>
      <c r="CK50" s="38"/>
      <c r="CL50" s="83" t="str">
        <f t="shared" si="34"/>
        <v/>
      </c>
      <c r="CM50" s="15" t="str">
        <f t="shared" si="25"/>
        <v/>
      </c>
      <c r="CN50" s="43"/>
      <c r="CO50" s="16" t="str">
        <f t="shared" si="14"/>
        <v/>
      </c>
      <c r="CP50" s="17" t="str">
        <f>IF(AND(CK50&lt;&gt;"", CN50&lt;&gt;""), SUM(CN$4:CN50), "")</f>
        <v/>
      </c>
      <c r="CQ50" s="16" t="str">
        <f t="shared" si="15"/>
        <v/>
      </c>
      <c r="CR50" s="14"/>
      <c r="CS50" s="27">
        <v>3</v>
      </c>
      <c r="CT50" s="20">
        <v>33</v>
      </c>
      <c r="CU50" s="8"/>
      <c r="CV50" s="49">
        <v>31</v>
      </c>
      <c r="CW50" s="83">
        <f t="shared" si="35"/>
        <v>9</v>
      </c>
      <c r="CX50" s="15">
        <f t="shared" si="26"/>
        <v>0.2</v>
      </c>
      <c r="CY50" s="52">
        <v>304</v>
      </c>
      <c r="CZ50" s="16">
        <f t="shared" si="16"/>
        <v>4.0864609097752448E-3</v>
      </c>
      <c r="DA50" s="17">
        <f>IF(AND(CV50&lt;&gt;"", CY50&lt;&gt;""), SUM(CY$4:CY50), "")</f>
        <v>74392</v>
      </c>
      <c r="DB50" s="16">
        <f t="shared" si="17"/>
        <v>1</v>
      </c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</row>
    <row r="51" spans="5:180" ht="16" customHeight="1" thickBot="1" x14ac:dyDescent="0.25">
      <c r="E51" s="1"/>
      <c r="F51" s="117" t="s">
        <v>24</v>
      </c>
      <c r="G51" s="118"/>
      <c r="H51" s="36"/>
      <c r="I51" s="117" t="s">
        <v>25</v>
      </c>
      <c r="J51" s="118"/>
      <c r="K51" s="36"/>
      <c r="L51" s="117" t="s">
        <v>26</v>
      </c>
      <c r="M51" s="118"/>
      <c r="N51"/>
      <c r="O51" s="38">
        <v>87</v>
      </c>
      <c r="P51" s="83">
        <f t="shared" si="27"/>
        <v>6</v>
      </c>
      <c r="Q51" s="15">
        <f t="shared" si="18"/>
        <v>27.58</v>
      </c>
      <c r="R51" s="43">
        <v>3405</v>
      </c>
      <c r="S51" s="16">
        <f t="shared" si="0"/>
        <v>1.1866178776790382E-2</v>
      </c>
      <c r="T51" s="17">
        <f>IF(AND(O51&lt;&gt;"", R51&lt;&gt;""), SUM(R$4:R51), "")</f>
        <v>209522</v>
      </c>
      <c r="U51" s="16">
        <f t="shared" si="1"/>
        <v>0.73016901899285591</v>
      </c>
      <c r="W51" s="38">
        <v>113</v>
      </c>
      <c r="X51" s="83">
        <f t="shared" si="28"/>
        <v>4</v>
      </c>
      <c r="Y51" s="15">
        <f t="shared" si="19"/>
        <v>71.06</v>
      </c>
      <c r="Z51" s="43">
        <v>2803</v>
      </c>
      <c r="AA51" s="16">
        <f t="shared" si="2"/>
        <v>9.8007335689984931E-3</v>
      </c>
      <c r="AB51" s="17">
        <f>IF(AND(W51&lt;&gt;"", Z51&lt;&gt;""), SUM(Z$4:Z51), "")</f>
        <v>84161</v>
      </c>
      <c r="AC51" s="16">
        <f t="shared" si="3"/>
        <v>0.29427025968622267</v>
      </c>
      <c r="AD51" s="1"/>
      <c r="AE51" s="19">
        <v>2</v>
      </c>
      <c r="AF51" s="20">
        <v>29</v>
      </c>
      <c r="AG51" s="8"/>
      <c r="AH51" s="38"/>
      <c r="AI51" s="83" t="str">
        <f t="shared" si="29"/>
        <v/>
      </c>
      <c r="AJ51" s="15" t="str">
        <f t="shared" si="20"/>
        <v/>
      </c>
      <c r="AK51" s="43"/>
      <c r="AL51" s="16" t="str">
        <f t="shared" si="4"/>
        <v/>
      </c>
      <c r="AM51" s="17" t="str">
        <f>IF(AND(AH51&lt;&gt;"", AK51&lt;&gt;""), SUM(AK$4:AK51), "")</f>
        <v/>
      </c>
      <c r="AN51" s="16" t="str">
        <f t="shared" si="5"/>
        <v/>
      </c>
      <c r="AO51" s="14"/>
      <c r="AP51" s="31">
        <v>2</v>
      </c>
      <c r="AQ51" s="32">
        <v>34</v>
      </c>
      <c r="AR51" s="8"/>
      <c r="AS51" s="38"/>
      <c r="AT51" s="83" t="str">
        <f t="shared" si="30"/>
        <v/>
      </c>
      <c r="AU51" s="15" t="str">
        <f t="shared" si="21"/>
        <v/>
      </c>
      <c r="AV51" s="43"/>
      <c r="AW51" s="16" t="str">
        <f t="shared" si="6"/>
        <v/>
      </c>
      <c r="AX51" s="17" t="str">
        <f>IF(AND(AS51&lt;&gt;"", AV51&lt;&gt;""), SUM(AV$4:AV51), "")</f>
        <v/>
      </c>
      <c r="AY51" s="16" t="str">
        <f t="shared" si="7"/>
        <v/>
      </c>
      <c r="AZ51" s="14"/>
      <c r="BA51" s="27">
        <v>2</v>
      </c>
      <c r="BB51" s="32">
        <v>33</v>
      </c>
      <c r="BC51" s="8"/>
      <c r="BD51" s="38"/>
      <c r="BE51" s="83" t="str">
        <f t="shared" si="31"/>
        <v/>
      </c>
      <c r="BF51" s="15" t="str">
        <f t="shared" si="22"/>
        <v/>
      </c>
      <c r="BG51" s="43"/>
      <c r="BH51" s="16" t="str">
        <f t="shared" si="8"/>
        <v/>
      </c>
      <c r="BI51" s="17" t="str">
        <f>IF(AND(BD51&lt;&gt;"", BG51&lt;&gt;""), SUM(BG$4:BG51), "")</f>
        <v/>
      </c>
      <c r="BJ51" s="16" t="str">
        <f t="shared" si="9"/>
        <v/>
      </c>
      <c r="BK51" s="14"/>
      <c r="BL51" s="27">
        <v>2</v>
      </c>
      <c r="BM51" s="32">
        <v>30</v>
      </c>
      <c r="BN51" s="8"/>
      <c r="BO51" s="38"/>
      <c r="BP51" s="83" t="str">
        <f t="shared" si="32"/>
        <v/>
      </c>
      <c r="BQ51" s="15" t="str">
        <f t="shared" si="23"/>
        <v/>
      </c>
      <c r="BR51" s="43"/>
      <c r="BS51" s="16" t="str">
        <f t="shared" si="10"/>
        <v/>
      </c>
      <c r="BT51" s="17" t="str">
        <f>IF(AND(BO51&lt;&gt;"", BR51&lt;&gt;""), SUM(BR$4:BR51), "")</f>
        <v/>
      </c>
      <c r="BU51" s="16" t="str">
        <f t="shared" si="11"/>
        <v/>
      </c>
      <c r="BV51" s="14"/>
      <c r="BW51" s="27">
        <v>2</v>
      </c>
      <c r="BX51" s="32">
        <v>30</v>
      </c>
      <c r="BY51" s="8"/>
      <c r="BZ51" s="38"/>
      <c r="CA51" s="83" t="str">
        <f t="shared" si="33"/>
        <v/>
      </c>
      <c r="CB51" s="15" t="str">
        <f t="shared" si="24"/>
        <v/>
      </c>
      <c r="CC51" s="43"/>
      <c r="CD51" s="16" t="str">
        <f t="shared" si="12"/>
        <v/>
      </c>
      <c r="CE51" s="17" t="str">
        <f>IF(AND(BZ51&lt;&gt;"", CC51&lt;&gt;""), SUM(CC$4:CC51), "")</f>
        <v/>
      </c>
      <c r="CF51" s="16" t="str">
        <f t="shared" si="13"/>
        <v/>
      </c>
      <c r="CG51" s="14"/>
      <c r="CH51" s="27">
        <v>2</v>
      </c>
      <c r="CI51" s="32">
        <v>30</v>
      </c>
      <c r="CJ51" s="8"/>
      <c r="CK51" s="38"/>
      <c r="CL51" s="83" t="str">
        <f t="shared" si="34"/>
        <v/>
      </c>
      <c r="CM51" s="15" t="str">
        <f t="shared" si="25"/>
        <v/>
      </c>
      <c r="CN51" s="43"/>
      <c r="CO51" s="16" t="str">
        <f t="shared" si="14"/>
        <v/>
      </c>
      <c r="CP51" s="17" t="str">
        <f>IF(AND(CK51&lt;&gt;"", CN51&lt;&gt;""), SUM(CN$4:CN51), "")</f>
        <v/>
      </c>
      <c r="CQ51" s="16" t="str">
        <f t="shared" si="15"/>
        <v/>
      </c>
      <c r="CR51" s="14"/>
      <c r="CS51" s="27">
        <v>2</v>
      </c>
      <c r="CT51" s="32">
        <v>32</v>
      </c>
      <c r="CU51" s="8"/>
      <c r="CV51" s="38"/>
      <c r="CW51" s="83" t="str">
        <f t="shared" si="35"/>
        <v/>
      </c>
      <c r="CX51" s="15" t="str">
        <f t="shared" si="26"/>
        <v/>
      </c>
      <c r="CY51" s="43"/>
      <c r="CZ51" s="16" t="str">
        <f t="shared" si="16"/>
        <v/>
      </c>
      <c r="DA51" s="17" t="str">
        <f>IF(AND(CV51&lt;&gt;"", CY51&lt;&gt;""), SUM(CY$4:CY51), "")</f>
        <v/>
      </c>
      <c r="DB51" s="16" t="str">
        <f t="shared" si="17"/>
        <v/>
      </c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</row>
    <row r="52" spans="5:180" ht="16" customHeight="1" x14ac:dyDescent="0.2">
      <c r="E52" s="1"/>
      <c r="F52" s="30" t="s">
        <v>30</v>
      </c>
      <c r="G52" s="30" t="s">
        <v>14</v>
      </c>
      <c r="H52" s="36"/>
      <c r="I52" s="30" t="s">
        <v>30</v>
      </c>
      <c r="J52" s="30" t="s">
        <v>14</v>
      </c>
      <c r="K52" s="36"/>
      <c r="L52" s="30" t="s">
        <v>30</v>
      </c>
      <c r="M52" s="30" t="s">
        <v>14</v>
      </c>
      <c r="N52"/>
      <c r="O52" s="38">
        <v>86</v>
      </c>
      <c r="P52" s="83">
        <f t="shared" si="27"/>
        <v>6</v>
      </c>
      <c r="Q52" s="15">
        <f t="shared" si="18"/>
        <v>26.38</v>
      </c>
      <c r="R52" s="43">
        <v>3433</v>
      </c>
      <c r="S52" s="16">
        <f t="shared" si="0"/>
        <v>1.1963756752047396E-2</v>
      </c>
      <c r="T52" s="17">
        <f>IF(AND(O52&lt;&gt;"", R52&lt;&gt;""), SUM(R$4:R52), "")</f>
        <v>212955</v>
      </c>
      <c r="U52" s="16">
        <f t="shared" si="1"/>
        <v>0.74213277574490333</v>
      </c>
      <c r="W52" s="38">
        <v>112</v>
      </c>
      <c r="X52" s="83">
        <f t="shared" si="28"/>
        <v>4</v>
      </c>
      <c r="Y52" s="15">
        <f t="shared" si="19"/>
        <v>69.959999999999994</v>
      </c>
      <c r="Z52" s="43">
        <v>3519</v>
      </c>
      <c r="AA52" s="16">
        <f t="shared" si="2"/>
        <v>1.2304238826009881E-2</v>
      </c>
      <c r="AB52" s="17">
        <f>IF(AND(W52&lt;&gt;"", Z52&lt;&gt;""), SUM(Z$4:Z52), "")</f>
        <v>87680</v>
      </c>
      <c r="AC52" s="16">
        <f t="shared" si="3"/>
        <v>0.30657449851223256</v>
      </c>
      <c r="AD52" s="1"/>
      <c r="AE52" s="19">
        <v>0</v>
      </c>
      <c r="AF52" s="20">
        <v>28</v>
      </c>
      <c r="AG52" s="8"/>
      <c r="AH52" s="38"/>
      <c r="AI52" s="83" t="str">
        <f t="shared" si="29"/>
        <v/>
      </c>
      <c r="AJ52" s="15" t="str">
        <f t="shared" si="20"/>
        <v/>
      </c>
      <c r="AK52" s="43"/>
      <c r="AL52" s="16" t="str">
        <f t="shared" si="4"/>
        <v/>
      </c>
      <c r="AM52" s="17" t="str">
        <f>IF(AND(AH52&lt;&gt;"", AK52&lt;&gt;""), SUM(AK$4:AK52), "")</f>
        <v/>
      </c>
      <c r="AN52" s="16" t="str">
        <f t="shared" si="5"/>
        <v/>
      </c>
      <c r="AO52" s="9"/>
      <c r="AP52" s="19">
        <v>0</v>
      </c>
      <c r="AQ52" s="20">
        <v>33</v>
      </c>
      <c r="AR52" s="8"/>
      <c r="AS52" s="38"/>
      <c r="AT52" s="83" t="str">
        <f t="shared" si="30"/>
        <v/>
      </c>
      <c r="AU52" s="15" t="str">
        <f t="shared" si="21"/>
        <v/>
      </c>
      <c r="AV52" s="43"/>
      <c r="AW52" s="16" t="str">
        <f t="shared" si="6"/>
        <v/>
      </c>
      <c r="AX52" s="17" t="str">
        <f>IF(AND(AS52&lt;&gt;"", AV52&lt;&gt;""), SUM(AV$4:AV52), "")</f>
        <v/>
      </c>
      <c r="AY52" s="16" t="str">
        <f t="shared" si="7"/>
        <v/>
      </c>
      <c r="AZ52" s="9"/>
      <c r="BA52" s="27">
        <v>0</v>
      </c>
      <c r="BB52" s="20">
        <v>31</v>
      </c>
      <c r="BC52" s="8"/>
      <c r="BD52" s="38"/>
      <c r="BE52" s="83" t="str">
        <f t="shared" si="31"/>
        <v/>
      </c>
      <c r="BF52" s="15" t="str">
        <f t="shared" si="22"/>
        <v/>
      </c>
      <c r="BG52" s="43"/>
      <c r="BH52" s="16" t="str">
        <f t="shared" si="8"/>
        <v/>
      </c>
      <c r="BI52" s="17" t="str">
        <f>IF(AND(BD52&lt;&gt;"", BG52&lt;&gt;""), SUM(BG$4:BG52), "")</f>
        <v/>
      </c>
      <c r="BJ52" s="16" t="str">
        <f t="shared" si="9"/>
        <v/>
      </c>
      <c r="BK52" s="9"/>
      <c r="BL52" s="27">
        <v>0</v>
      </c>
      <c r="BM52" s="20">
        <v>28</v>
      </c>
      <c r="BN52" s="8"/>
      <c r="BO52" s="38"/>
      <c r="BP52" s="83" t="str">
        <f t="shared" si="32"/>
        <v/>
      </c>
      <c r="BQ52" s="15" t="str">
        <f t="shared" si="23"/>
        <v/>
      </c>
      <c r="BR52" s="43"/>
      <c r="BS52" s="16" t="str">
        <f t="shared" si="10"/>
        <v/>
      </c>
      <c r="BT52" s="17" t="str">
        <f>IF(AND(BO52&lt;&gt;"", BR52&lt;&gt;""), SUM(BR$4:BR52), "")</f>
        <v/>
      </c>
      <c r="BU52" s="16" t="str">
        <f t="shared" si="11"/>
        <v/>
      </c>
      <c r="BV52" s="9"/>
      <c r="BW52" s="27">
        <v>0</v>
      </c>
      <c r="BX52" s="20">
        <v>28</v>
      </c>
      <c r="BY52" s="8"/>
      <c r="BZ52" s="38"/>
      <c r="CA52" s="83" t="str">
        <f t="shared" si="33"/>
        <v/>
      </c>
      <c r="CB52" s="15" t="str">
        <f t="shared" si="24"/>
        <v/>
      </c>
      <c r="CC52" s="43"/>
      <c r="CD52" s="16" t="str">
        <f t="shared" si="12"/>
        <v/>
      </c>
      <c r="CE52" s="17" t="str">
        <f>IF(AND(BZ52&lt;&gt;"", CC52&lt;&gt;""), SUM(CC$4:CC52), "")</f>
        <v/>
      </c>
      <c r="CF52" s="16" t="str">
        <f t="shared" si="13"/>
        <v/>
      </c>
      <c r="CG52" s="9"/>
      <c r="CH52" s="27">
        <v>0</v>
      </c>
      <c r="CI52" s="20">
        <v>28</v>
      </c>
      <c r="CJ52" s="8"/>
      <c r="CK52" s="38"/>
      <c r="CL52" s="83" t="str">
        <f t="shared" si="34"/>
        <v/>
      </c>
      <c r="CM52" s="15" t="str">
        <f t="shared" si="25"/>
        <v/>
      </c>
      <c r="CN52" s="43"/>
      <c r="CO52" s="16" t="str">
        <f t="shared" si="14"/>
        <v/>
      </c>
      <c r="CP52" s="17" t="str">
        <f>IF(AND(CK52&lt;&gt;"", CN52&lt;&gt;""), SUM(CN$4:CN52), "")</f>
        <v/>
      </c>
      <c r="CQ52" s="16" t="str">
        <f t="shared" si="15"/>
        <v/>
      </c>
      <c r="CR52" s="9"/>
      <c r="CS52" s="27">
        <v>0</v>
      </c>
      <c r="CT52" s="20">
        <v>31</v>
      </c>
      <c r="CU52" s="8"/>
      <c r="CV52" s="38"/>
      <c r="CW52" s="83" t="str">
        <f t="shared" si="35"/>
        <v/>
      </c>
      <c r="CX52" s="15" t="str">
        <f t="shared" si="26"/>
        <v/>
      </c>
      <c r="CY52" s="43"/>
      <c r="CZ52" s="16" t="str">
        <f t="shared" si="16"/>
        <v/>
      </c>
      <c r="DA52" s="17" t="str">
        <f>IF(AND(CV52&lt;&gt;"", CY52&lt;&gt;""), SUM(CY$4:CY52), "")</f>
        <v/>
      </c>
      <c r="DB52" s="16" t="str">
        <f t="shared" si="17"/>
        <v/>
      </c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</row>
    <row r="53" spans="5:180" ht="16" customHeight="1" x14ac:dyDescent="0.2">
      <c r="E53" s="1"/>
      <c r="F53" s="86"/>
      <c r="G53" s="85">
        <v>1</v>
      </c>
      <c r="H53" s="36"/>
      <c r="I53" s="86"/>
      <c r="J53" s="85">
        <v>1</v>
      </c>
      <c r="K53" s="36"/>
      <c r="L53" s="86"/>
      <c r="M53" s="85">
        <v>1</v>
      </c>
      <c r="N53"/>
      <c r="O53" s="38">
        <v>85</v>
      </c>
      <c r="P53" s="83">
        <f t="shared" si="27"/>
        <v>6</v>
      </c>
      <c r="Q53" s="15">
        <f t="shared" si="18"/>
        <v>25.26</v>
      </c>
      <c r="R53" s="43">
        <v>3048</v>
      </c>
      <c r="S53" s="16">
        <f t="shared" si="0"/>
        <v>1.062205959226346E-2</v>
      </c>
      <c r="T53" s="17">
        <f>IF(AND(O53&lt;&gt;"", R53&lt;&gt;""), SUM(R$4:R53), "")</f>
        <v>216003</v>
      </c>
      <c r="U53" s="16">
        <f t="shared" si="1"/>
        <v>0.75275483533716681</v>
      </c>
      <c r="W53" s="38">
        <v>111</v>
      </c>
      <c r="X53" s="83">
        <f t="shared" si="28"/>
        <v>4</v>
      </c>
      <c r="Y53" s="15">
        <f t="shared" si="19"/>
        <v>68.8</v>
      </c>
      <c r="Z53" s="43">
        <v>3102</v>
      </c>
      <c r="AA53" s="16">
        <f t="shared" si="2"/>
        <v>1.0846191769901294E-2</v>
      </c>
      <c r="AB53" s="17">
        <f>IF(AND(W53&lt;&gt;"", Z53&lt;&gt;""), SUM(Z$4:Z53), "")</f>
        <v>90782</v>
      </c>
      <c r="AC53" s="16">
        <f t="shared" si="3"/>
        <v>0.31742069028213388</v>
      </c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</row>
    <row r="54" spans="5:180" ht="16" customHeight="1" x14ac:dyDescent="0.2">
      <c r="E54" s="1"/>
      <c r="F54" s="86"/>
      <c r="G54" s="85">
        <v>2</v>
      </c>
      <c r="H54" s="36"/>
      <c r="I54" s="86"/>
      <c r="J54" s="85">
        <v>2</v>
      </c>
      <c r="K54" s="36"/>
      <c r="L54" s="86"/>
      <c r="M54" s="85">
        <v>2</v>
      </c>
      <c r="N54"/>
      <c r="O54" s="38">
        <v>84</v>
      </c>
      <c r="P54" s="83">
        <f t="shared" si="27"/>
        <v>6</v>
      </c>
      <c r="Q54" s="15">
        <f t="shared" si="18"/>
        <v>24.17</v>
      </c>
      <c r="R54" s="43">
        <v>3156</v>
      </c>
      <c r="S54" s="16">
        <f t="shared" si="0"/>
        <v>1.0998431782540513E-2</v>
      </c>
      <c r="T54" s="17">
        <f>IF(AND(O54&lt;&gt;"", R54&lt;&gt;""), SUM(R$4:R54), "")</f>
        <v>219159</v>
      </c>
      <c r="U54" s="16">
        <f t="shared" si="1"/>
        <v>0.76375326711970726</v>
      </c>
      <c r="W54" s="38">
        <v>110</v>
      </c>
      <c r="X54" s="83">
        <f t="shared" si="28"/>
        <v>4</v>
      </c>
      <c r="Y54" s="15">
        <f t="shared" si="19"/>
        <v>67.739999999999995</v>
      </c>
      <c r="Z54" s="43">
        <v>2954</v>
      </c>
      <c r="AA54" s="16">
        <f t="shared" si="2"/>
        <v>1.0328707443033018E-2</v>
      </c>
      <c r="AB54" s="17">
        <f>IF(AND(W54&lt;&gt;"", Z54&lt;&gt;""), SUM(Z$4:Z54), "")</f>
        <v>93736</v>
      </c>
      <c r="AC54" s="16">
        <f t="shared" si="3"/>
        <v>0.32774939772516687</v>
      </c>
      <c r="AD54" s="1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</row>
    <row r="55" spans="5:180" ht="16" customHeight="1" x14ac:dyDescent="0.2">
      <c r="E55" s="1"/>
      <c r="F55" s="86"/>
      <c r="G55" s="85">
        <v>3</v>
      </c>
      <c r="H55" s="36"/>
      <c r="I55" s="86"/>
      <c r="J55" s="85">
        <v>3</v>
      </c>
      <c r="K55" s="36"/>
      <c r="L55" s="86"/>
      <c r="M55" s="85">
        <v>3</v>
      </c>
      <c r="N55"/>
      <c r="O55" s="38">
        <v>83</v>
      </c>
      <c r="P55" s="83">
        <f t="shared" si="27"/>
        <v>6</v>
      </c>
      <c r="Q55" s="15">
        <f t="shared" si="18"/>
        <v>23.06</v>
      </c>
      <c r="R55" s="43">
        <v>3239</v>
      </c>
      <c r="S55" s="16">
        <f t="shared" si="0"/>
        <v>1.1287680780623801E-2</v>
      </c>
      <c r="T55" s="17">
        <f>IF(AND(O55&lt;&gt;"", R55&lt;&gt;""), SUM(R$4:R55), "")</f>
        <v>222398</v>
      </c>
      <c r="U55" s="16">
        <f t="shared" si="1"/>
        <v>0.77504094790033107</v>
      </c>
      <c r="W55" s="38">
        <v>109</v>
      </c>
      <c r="X55" s="83">
        <f t="shared" si="28"/>
        <v>4</v>
      </c>
      <c r="Y55" s="15">
        <f t="shared" si="19"/>
        <v>66.59</v>
      </c>
      <c r="Z55" s="43">
        <v>3623</v>
      </c>
      <c r="AA55" s="16">
        <f t="shared" si="2"/>
        <v>1.2667876461106507E-2</v>
      </c>
      <c r="AB55" s="17">
        <f>IF(AND(W55&lt;&gt;"", Z55&lt;&gt;""), SUM(Z$4:Z55), "")</f>
        <v>97359</v>
      </c>
      <c r="AC55" s="16">
        <f t="shared" si="3"/>
        <v>0.34041727418627338</v>
      </c>
      <c r="AD55" s="1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</row>
    <row r="56" spans="5:180" ht="16" customHeight="1" x14ac:dyDescent="0.2">
      <c r="E56" s="1"/>
      <c r="F56" s="86"/>
      <c r="G56" s="85">
        <v>4</v>
      </c>
      <c r="H56" s="36"/>
      <c r="I56" s="86"/>
      <c r="J56" s="85">
        <v>4</v>
      </c>
      <c r="K56" s="36"/>
      <c r="L56" s="86"/>
      <c r="M56" s="85">
        <v>4</v>
      </c>
      <c r="N56"/>
      <c r="O56" s="38">
        <v>82</v>
      </c>
      <c r="P56" s="83">
        <f t="shared" si="27"/>
        <v>7</v>
      </c>
      <c r="Q56" s="15">
        <f t="shared" si="18"/>
        <v>21.95</v>
      </c>
      <c r="R56" s="43">
        <v>3125</v>
      </c>
      <c r="S56" s="16">
        <f t="shared" si="0"/>
        <v>1.0890399024220248E-2</v>
      </c>
      <c r="T56" s="17">
        <f>IF(AND(O56&lt;&gt;"", R56&lt;&gt;""), SUM(R$4:R56), "")</f>
        <v>225523</v>
      </c>
      <c r="U56" s="16">
        <f t="shared" si="1"/>
        <v>0.78593134692455136</v>
      </c>
      <c r="W56" s="38">
        <v>108</v>
      </c>
      <c r="X56" s="83">
        <f t="shared" si="28"/>
        <v>4</v>
      </c>
      <c r="Y56" s="15">
        <f t="shared" si="19"/>
        <v>65.36</v>
      </c>
      <c r="Z56" s="43">
        <v>3404</v>
      </c>
      <c r="AA56" s="16">
        <f t="shared" si="2"/>
        <v>1.1902139517970343E-2</v>
      </c>
      <c r="AB56" s="17">
        <f>IF(AND(W56&lt;&gt;"", Z56&lt;&gt;""), SUM(Z$4:Z56), "")</f>
        <v>100763</v>
      </c>
      <c r="AC56" s="16">
        <f t="shared" si="3"/>
        <v>0.35231941370424374</v>
      </c>
      <c r="AD56" s="1"/>
      <c r="AE56" s="119" t="s">
        <v>21</v>
      </c>
      <c r="AF56" s="120"/>
      <c r="AG56" s="120"/>
      <c r="AH56" s="121"/>
      <c r="AI56" s="2" t="s">
        <v>2</v>
      </c>
      <c r="AJ56" s="5" cm="1">
        <f t="array" aca="1" ref="AJ56" ca="1">INDIRECT(SUBSTITUTE(ADDRESS(1,COLUMN($C$9),4),"1","")&amp;SUMPRODUCT(($B$10:$D$26=INDIRECT(SUBSTITUTE(ADDRESS(1,COLUMN()-5,4),"1","")&amp;ROW()))*ROW($B$10:$D$26)))</f>
        <v>23.425143753267101</v>
      </c>
      <c r="AK56" s="2" t="s">
        <v>3</v>
      </c>
      <c r="AL56" s="5" cm="1">
        <f t="array" aca="1" ref="AL56" ca="1">INDIRECT(SUBSTITUTE(ADDRESS(1,COLUMN($D$9),4),"1","")&amp;SUMPRODUCT(($B$10:$D$26=INDIRECT(SUBSTITUTE(ADDRESS(1,COLUMN()-7,4),"1","")&amp;ROW()))*ROW($B$10:$D$26)))</f>
        <v>12.315650131128301</v>
      </c>
      <c r="AM56" s="2" t="s">
        <v>34</v>
      </c>
      <c r="AN56" s="3">
        <f>SUM(AK59:AK107)</f>
        <v>19130</v>
      </c>
      <c r="AO56" s="6"/>
      <c r="AP56" s="119" t="s">
        <v>22</v>
      </c>
      <c r="AQ56" s="120"/>
      <c r="AR56" s="120"/>
      <c r="AS56" s="121"/>
      <c r="AT56" s="2" t="s">
        <v>2</v>
      </c>
      <c r="AU56" s="5" cm="1">
        <f t="array" aca="1" ref="AU56" ca="1">INDIRECT(SUBSTITUTE(ADDRESS(1,COLUMN($C$9),4),"1","")&amp;SUMPRODUCT(($B$10:$D$26=INDIRECT(SUBSTITUTE(ADDRESS(1,COLUMN()-5,4),"1","")&amp;ROW()))*ROW($B$10:$D$26)))</f>
        <v>22.080568388632202</v>
      </c>
      <c r="AV56" s="2" t="s">
        <v>3</v>
      </c>
      <c r="AW56" s="5" cm="1">
        <f t="array" aca="1" ref="AW56" ca="1">INDIRECT(SUBSTITUTE(ADDRESS(1,COLUMN($D$9),4),"1","")&amp;SUMPRODUCT(($B$10:$D$26=INDIRECT(SUBSTITUTE(ADDRESS(1,COLUMN()-7,4),"1","")&amp;ROW()))*ROW($B$10:$D$26)))</f>
        <v>12.218249174602301</v>
      </c>
      <c r="AX56" s="2" t="s">
        <v>34</v>
      </c>
      <c r="AY56" s="3">
        <f>SUM(AV59:AV107)</f>
        <v>14286</v>
      </c>
      <c r="AZ56" s="6"/>
      <c r="BA56" s="119" t="s">
        <v>23</v>
      </c>
      <c r="BB56" s="120"/>
      <c r="BC56" s="120"/>
      <c r="BD56" s="121"/>
      <c r="BE56" s="2" t="s">
        <v>2</v>
      </c>
      <c r="BF56" s="5" cm="1">
        <f t="array" aca="1" ref="BF56" ca="1">INDIRECT(SUBSTITUTE(ADDRESS(1,COLUMN($C$9),4),"1","")&amp;SUMPRODUCT(($B$10:$D$26=INDIRECT(SUBSTITUTE(ADDRESS(1,COLUMN()-5,4),"1","")&amp;ROW()))*ROW($B$10:$D$26)))</f>
        <v>20.645196970986099</v>
      </c>
      <c r="BG56" s="2" t="s">
        <v>3</v>
      </c>
      <c r="BH56" s="5" cm="1">
        <f t="array" aca="1" ref="BH56" ca="1">INDIRECT(SUBSTITUTE(ADDRESS(1,COLUMN($D$9),4),"1","")&amp;SUMPRODUCT(($B$10:$D$26=INDIRECT(SUBSTITUTE(ADDRESS(1,COLUMN()-7,4),"1","")&amp;ROW()))*ROW($B$10:$D$26)))</f>
        <v>12.1809664694873</v>
      </c>
      <c r="BI56" s="2" t="s">
        <v>34</v>
      </c>
      <c r="BJ56" s="3">
        <f>SUM(BG59:BG107)</f>
        <v>11753</v>
      </c>
      <c r="BK56" s="6"/>
      <c r="BL56" s="119" t="s">
        <v>29</v>
      </c>
      <c r="BM56" s="120"/>
      <c r="BN56" s="120"/>
      <c r="BO56" s="121"/>
      <c r="BP56" s="2" t="s">
        <v>2</v>
      </c>
      <c r="BQ56" s="5" cm="1">
        <f t="array" aca="1" ref="BQ56" ca="1">INDIRECT(SUBSTITUTE(ADDRESS(1,COLUMN($C$9),4),"1","")&amp;SUMPRODUCT(($B$10:$D$26=INDIRECT(SUBSTITUTE(ADDRESS(1,COLUMN()-5,4),"1","")&amp;ROW()))*ROW($B$10:$D$26)))</f>
        <v>16.745185966763302</v>
      </c>
      <c r="BR56" s="2" t="s">
        <v>3</v>
      </c>
      <c r="BS56" s="5" cm="1">
        <f t="array" aca="1" ref="BS56" ca="1">INDIRECT(SUBSTITUTE(ADDRESS(1,COLUMN($D$9),4),"1","")&amp;SUMPRODUCT(($B$10:$D$26=INDIRECT(SUBSTITUTE(ADDRESS(1,COLUMN()-7,4),"1","")&amp;ROW()))*ROW($B$10:$D$26)))</f>
        <v>10.267124003619299</v>
      </c>
      <c r="BT56" s="2" t="s">
        <v>34</v>
      </c>
      <c r="BU56" s="3">
        <f>SUM(BR59:BR107)</f>
        <v>3791</v>
      </c>
      <c r="BV56" s="6"/>
      <c r="BW56" s="119" t="s">
        <v>31</v>
      </c>
      <c r="BX56" s="120"/>
      <c r="BY56" s="120"/>
      <c r="BZ56" s="121"/>
      <c r="CA56" s="2" t="s">
        <v>2</v>
      </c>
      <c r="CB56" s="5" cm="1">
        <f t="array" aca="1" ref="CB56" ca="1">INDIRECT(SUBSTITUTE(ADDRESS(1,COLUMN($C$9),4),"1","")&amp;SUMPRODUCT(($B$10:$D$26=INDIRECT(SUBSTITUTE(ADDRESS(1,COLUMN()-5,4),"1","")&amp;ROW()))*ROW($B$10:$D$26)))</f>
        <v>16.338200659444102</v>
      </c>
      <c r="CC56" s="2" t="s">
        <v>3</v>
      </c>
      <c r="CD56" s="5" cm="1">
        <f t="array" aca="1" ref="CD56" ca="1">INDIRECT(SUBSTITUTE(ADDRESS(1,COLUMN($D$9),4),"1","")&amp;SUMPRODUCT(($B$10:$D$26=INDIRECT(SUBSTITUTE(ADDRESS(1,COLUMN()-7,4),"1","")&amp;ROW()))*ROW($B$10:$D$26)))</f>
        <v>10.874875474818101</v>
      </c>
      <c r="CE56" s="2" t="s">
        <v>34</v>
      </c>
      <c r="CF56" s="3">
        <f>SUM(CC59:CC107)</f>
        <v>4246</v>
      </c>
      <c r="CG56" s="6"/>
      <c r="CH56" s="119" t="s">
        <v>32</v>
      </c>
      <c r="CI56" s="120"/>
      <c r="CJ56" s="120"/>
      <c r="CK56" s="121"/>
      <c r="CL56" s="2" t="s">
        <v>2</v>
      </c>
      <c r="CM56" s="5" cm="1">
        <f t="array" aca="1" ref="CM56" ca="1">INDIRECT(SUBSTITUTE(ADDRESS(1,COLUMN($C$9),4),"1","")&amp;SUMPRODUCT(($B$10:$D$26=INDIRECT(SUBSTITUTE(ADDRESS(1,COLUMN()-5,4),"1","")&amp;ROW()))*ROW($B$10:$D$26)))</f>
        <v>27.71</v>
      </c>
      <c r="CN56" s="2" t="s">
        <v>3</v>
      </c>
      <c r="CO56" s="5" cm="1">
        <f t="array" aca="1" ref="CO56" ca="1">INDIRECT(SUBSTITUTE(ADDRESS(1,COLUMN($D$9),4),"1","")&amp;SUMPRODUCT(($B$10:$D$26=INDIRECT(SUBSTITUTE(ADDRESS(1,COLUMN()-7,4),"1","")&amp;ROW()))*ROW($B$10:$D$26)))</f>
        <v>12.28</v>
      </c>
      <c r="CP56" s="2" t="s">
        <v>34</v>
      </c>
      <c r="CQ56" s="3">
        <f>SUM(CN59:CN107)</f>
        <v>5804</v>
      </c>
      <c r="CR56" s="6"/>
      <c r="CS56" s="119" t="s">
        <v>33</v>
      </c>
      <c r="CT56" s="120"/>
      <c r="CU56" s="120"/>
      <c r="CV56" s="121"/>
      <c r="CW56" s="2" t="s">
        <v>2</v>
      </c>
      <c r="CX56" s="5" cm="1">
        <f t="array" aca="1" ref="CX56" ca="1">INDIRECT(SUBSTITUTE(ADDRESS(1,COLUMN($C$9),4),"1","")&amp;SUMPRODUCT(($B$10:$D$26=INDIRECT(SUBSTITUTE(ADDRESS(1,COLUMN()-5,4),"1","")&amp;ROW()))*ROW($B$10:$D$26)))</f>
        <v>14.0083761660003</v>
      </c>
      <c r="CY56" s="2" t="s">
        <v>3</v>
      </c>
      <c r="CZ56" s="5" cm="1">
        <f t="array" aca="1" ref="CZ56" ca="1">INDIRECT(SUBSTITUTE(ADDRESS(1,COLUMN($D$9),4),"1","")&amp;SUMPRODUCT(($B$10:$D$26=INDIRECT(SUBSTITUTE(ADDRESS(1,COLUMN()-7,4),"1","")&amp;ROW()))*ROW($B$10:$D$26)))</f>
        <v>10.080785728314501</v>
      </c>
      <c r="DA56" s="2" t="s">
        <v>34</v>
      </c>
      <c r="DB56" s="3">
        <f>SUM(CY59:CY107)</f>
        <v>5253</v>
      </c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</row>
    <row r="57" spans="5:180" ht="16" customHeight="1" x14ac:dyDescent="0.2">
      <c r="E57" s="1"/>
      <c r="F57" s="86"/>
      <c r="G57" s="85">
        <v>5</v>
      </c>
      <c r="H57" s="36"/>
      <c r="I57" s="86"/>
      <c r="J57" s="85">
        <v>5</v>
      </c>
      <c r="K57" s="36"/>
      <c r="L57" s="86"/>
      <c r="M57" s="85">
        <v>5</v>
      </c>
      <c r="N57"/>
      <c r="O57" s="38">
        <v>81</v>
      </c>
      <c r="P57" s="83">
        <f t="shared" si="27"/>
        <v>7</v>
      </c>
      <c r="Q57" s="15">
        <f t="shared" si="18"/>
        <v>20.89</v>
      </c>
      <c r="R57" s="43">
        <v>2981</v>
      </c>
      <c r="S57" s="16">
        <f t="shared" si="0"/>
        <v>1.0388569437184178E-2</v>
      </c>
      <c r="T57" s="17">
        <f>IF(AND(O57&lt;&gt;"", R57&lt;&gt;""), SUM(R$4:R57), "")</f>
        <v>228504</v>
      </c>
      <c r="U57" s="16">
        <f t="shared" si="1"/>
        <v>0.79631991636173549</v>
      </c>
      <c r="W57" s="38">
        <v>107</v>
      </c>
      <c r="X57" s="83">
        <f t="shared" si="28"/>
        <v>4</v>
      </c>
      <c r="Y57" s="15">
        <f t="shared" si="19"/>
        <v>64.25</v>
      </c>
      <c r="Z57" s="43">
        <v>2935</v>
      </c>
      <c r="AA57" s="16">
        <f t="shared" si="2"/>
        <v>1.0262273644313442E-2</v>
      </c>
      <c r="AB57" s="17">
        <f>IF(AND(W57&lt;&gt;"", Z57&lt;&gt;""), SUM(Z$4:Z57), "")</f>
        <v>103698</v>
      </c>
      <c r="AC57" s="16">
        <f t="shared" si="3"/>
        <v>0.36258168734855717</v>
      </c>
      <c r="AD57" s="1"/>
      <c r="AG57" s="1"/>
      <c r="AO57" s="9"/>
      <c r="AZ57" s="9"/>
      <c r="BK57" s="9"/>
      <c r="BV57" s="9"/>
      <c r="CG57" s="9"/>
      <c r="CR57" s="9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</row>
    <row r="58" spans="5:180" ht="16" customHeight="1" x14ac:dyDescent="0.2">
      <c r="E58" s="1"/>
      <c r="F58" s="86"/>
      <c r="G58" s="85">
        <v>6</v>
      </c>
      <c r="H58" s="36"/>
      <c r="I58" s="86"/>
      <c r="J58" s="85">
        <v>6</v>
      </c>
      <c r="K58" s="36"/>
      <c r="L58" s="86"/>
      <c r="M58" s="85">
        <v>6</v>
      </c>
      <c r="N58"/>
      <c r="O58" s="38">
        <v>80</v>
      </c>
      <c r="P58" s="83">
        <f t="shared" si="27"/>
        <v>7</v>
      </c>
      <c r="Q58" s="15">
        <f t="shared" si="18"/>
        <v>19.87</v>
      </c>
      <c r="R58" s="43">
        <v>2884</v>
      </c>
      <c r="S58" s="16">
        <f t="shared" si="0"/>
        <v>1.0050531451472382E-2</v>
      </c>
      <c r="T58" s="17">
        <f>IF(AND(O58&lt;&gt;"", R58&lt;&gt;""), SUM(R$4:R58), "")</f>
        <v>231388</v>
      </c>
      <c r="U58" s="16">
        <f t="shared" si="1"/>
        <v>0.80637044781320788</v>
      </c>
      <c r="W58" s="38">
        <v>106</v>
      </c>
      <c r="X58" s="83">
        <f t="shared" si="28"/>
        <v>4</v>
      </c>
      <c r="Y58" s="15">
        <f t="shared" si="19"/>
        <v>63.12</v>
      </c>
      <c r="Z58" s="43">
        <v>3555</v>
      </c>
      <c r="AA58" s="16">
        <f t="shared" si="2"/>
        <v>1.2430113392004867E-2</v>
      </c>
      <c r="AB58" s="17">
        <f>IF(AND(W58&lt;&gt;"", Z58&lt;&gt;""), SUM(Z$4:Z58), "")</f>
        <v>107253</v>
      </c>
      <c r="AC58" s="16">
        <f t="shared" si="3"/>
        <v>0.37501180074056201</v>
      </c>
      <c r="AD58" s="1"/>
      <c r="AE58" s="13" t="s">
        <v>30</v>
      </c>
      <c r="AF58" s="13" t="s">
        <v>13</v>
      </c>
      <c r="AG58" s="1"/>
      <c r="AH58" s="11" t="s">
        <v>13</v>
      </c>
      <c r="AI58" s="11" t="s">
        <v>14</v>
      </c>
      <c r="AJ58" s="11" t="s">
        <v>15</v>
      </c>
      <c r="AK58" s="11" t="s">
        <v>16</v>
      </c>
      <c r="AL58" s="11" t="s">
        <v>17</v>
      </c>
      <c r="AM58" s="12" t="s">
        <v>18</v>
      </c>
      <c r="AN58" s="2" t="s">
        <v>19</v>
      </c>
      <c r="AO58" s="14"/>
      <c r="AP58" s="13" t="s">
        <v>30</v>
      </c>
      <c r="AQ58" s="13" t="s">
        <v>13</v>
      </c>
      <c r="AR58" s="1"/>
      <c r="AS58" s="11" t="s">
        <v>13</v>
      </c>
      <c r="AT58" s="11" t="s">
        <v>14</v>
      </c>
      <c r="AU58" s="11" t="s">
        <v>15</v>
      </c>
      <c r="AV58" s="11" t="s">
        <v>16</v>
      </c>
      <c r="AW58" s="11" t="s">
        <v>17</v>
      </c>
      <c r="AX58" s="12" t="s">
        <v>18</v>
      </c>
      <c r="AY58" s="2" t="s">
        <v>19</v>
      </c>
      <c r="AZ58" s="14"/>
      <c r="BA58" s="13" t="s">
        <v>30</v>
      </c>
      <c r="BB58" s="13" t="s">
        <v>13</v>
      </c>
      <c r="BC58" s="1"/>
      <c r="BD58" s="11" t="s">
        <v>13</v>
      </c>
      <c r="BE58" s="11" t="s">
        <v>14</v>
      </c>
      <c r="BF58" s="11" t="s">
        <v>15</v>
      </c>
      <c r="BG58" s="11" t="s">
        <v>16</v>
      </c>
      <c r="BH58" s="11" t="s">
        <v>17</v>
      </c>
      <c r="BI58" s="12" t="s">
        <v>18</v>
      </c>
      <c r="BJ58" s="2" t="s">
        <v>19</v>
      </c>
      <c r="BK58" s="14"/>
      <c r="BL58" s="13" t="s">
        <v>30</v>
      </c>
      <c r="BM58" s="13" t="s">
        <v>13</v>
      </c>
      <c r="BN58" s="1"/>
      <c r="BO58" s="11" t="s">
        <v>13</v>
      </c>
      <c r="BP58" s="11" t="s">
        <v>14</v>
      </c>
      <c r="BQ58" s="11" t="s">
        <v>15</v>
      </c>
      <c r="BR58" s="11" t="s">
        <v>16</v>
      </c>
      <c r="BS58" s="11" t="s">
        <v>17</v>
      </c>
      <c r="BT58" s="12" t="s">
        <v>18</v>
      </c>
      <c r="BU58" s="2" t="s">
        <v>19</v>
      </c>
      <c r="BV58" s="14"/>
      <c r="BW58" s="13" t="s">
        <v>30</v>
      </c>
      <c r="BX58" s="13" t="s">
        <v>13</v>
      </c>
      <c r="BY58" s="1"/>
      <c r="BZ58" s="11" t="s">
        <v>13</v>
      </c>
      <c r="CA58" s="11" t="s">
        <v>14</v>
      </c>
      <c r="CB58" s="11" t="s">
        <v>15</v>
      </c>
      <c r="CC58" s="11" t="s">
        <v>16</v>
      </c>
      <c r="CD58" s="11" t="s">
        <v>17</v>
      </c>
      <c r="CE58" s="12" t="s">
        <v>18</v>
      </c>
      <c r="CF58" s="2" t="s">
        <v>19</v>
      </c>
      <c r="CG58" s="14"/>
      <c r="CH58" s="13" t="s">
        <v>30</v>
      </c>
      <c r="CI58" s="13" t="s">
        <v>13</v>
      </c>
      <c r="CJ58" s="1"/>
      <c r="CK58" s="11" t="s">
        <v>13</v>
      </c>
      <c r="CL58" s="11" t="s">
        <v>14</v>
      </c>
      <c r="CM58" s="11" t="s">
        <v>15</v>
      </c>
      <c r="CN58" s="11" t="s">
        <v>16</v>
      </c>
      <c r="CO58" s="11" t="s">
        <v>17</v>
      </c>
      <c r="CP58" s="12" t="s">
        <v>18</v>
      </c>
      <c r="CQ58" s="2" t="s">
        <v>19</v>
      </c>
      <c r="CR58" s="14"/>
      <c r="CS58" s="13" t="s">
        <v>30</v>
      </c>
      <c r="CT58" s="13" t="s">
        <v>13</v>
      </c>
      <c r="CU58" s="1"/>
      <c r="CV58" s="11" t="s">
        <v>13</v>
      </c>
      <c r="CW58" s="11" t="s">
        <v>14</v>
      </c>
      <c r="CX58" s="11" t="s">
        <v>15</v>
      </c>
      <c r="CY58" s="11" t="s">
        <v>16</v>
      </c>
      <c r="CZ58" s="11" t="s">
        <v>17</v>
      </c>
      <c r="DA58" s="12" t="s">
        <v>18</v>
      </c>
      <c r="DB58" s="2" t="s">
        <v>19</v>
      </c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</row>
    <row r="59" spans="5:180" ht="16" customHeight="1" x14ac:dyDescent="0.2">
      <c r="E59" s="1"/>
      <c r="F59" s="86"/>
      <c r="G59" s="85">
        <v>7</v>
      </c>
      <c r="H59" s="36"/>
      <c r="I59" s="86"/>
      <c r="J59" s="85">
        <v>7</v>
      </c>
      <c r="K59" s="36"/>
      <c r="L59" s="86"/>
      <c r="M59" s="85">
        <v>7</v>
      </c>
      <c r="N59"/>
      <c r="O59" s="38">
        <v>79</v>
      </c>
      <c r="P59" s="83">
        <f t="shared" si="27"/>
        <v>7</v>
      </c>
      <c r="Q59" s="15">
        <f t="shared" si="18"/>
        <v>18.87</v>
      </c>
      <c r="R59" s="43">
        <v>2850</v>
      </c>
      <c r="S59" s="16">
        <f t="shared" si="0"/>
        <v>9.9320439100888652E-3</v>
      </c>
      <c r="T59" s="17">
        <f>IF(AND(O59&lt;&gt;"", R59&lt;&gt;""), SUM(R$4:R59), "")</f>
        <v>234238</v>
      </c>
      <c r="U59" s="16">
        <f t="shared" si="1"/>
        <v>0.81630249172329672</v>
      </c>
      <c r="W59" s="38">
        <v>105</v>
      </c>
      <c r="X59" s="83">
        <f t="shared" si="28"/>
        <v>4</v>
      </c>
      <c r="Y59" s="15">
        <f t="shared" si="19"/>
        <v>61.94</v>
      </c>
      <c r="Z59" s="43">
        <v>3223</v>
      </c>
      <c r="AA59" s="16">
        <f t="shared" si="2"/>
        <v>1.1269270172273329E-2</v>
      </c>
      <c r="AB59" s="17">
        <f>IF(AND(W59&lt;&gt;"", Z59&lt;&gt;""), SUM(Z$4:Z59), "")</f>
        <v>110476</v>
      </c>
      <c r="AC59" s="16">
        <f t="shared" si="3"/>
        <v>0.38628107091283537</v>
      </c>
      <c r="AD59" s="1"/>
      <c r="AE59" s="19">
        <v>50</v>
      </c>
      <c r="AF59" s="20">
        <v>72</v>
      </c>
      <c r="AG59" s="8"/>
      <c r="AH59" s="48">
        <v>72</v>
      </c>
      <c r="AI59" s="37">
        <f>IF(AND(AH59&lt;&gt;"", AK59&lt;&gt;""), 1, "")</f>
        <v>1</v>
      </c>
      <c r="AJ59" s="25">
        <f>IF(AND(AH59&lt;&gt;"", AK59&lt;&gt;""), ROUND(100*(1-(0+AM59)/2/AN$56), 2), "")</f>
        <v>98.93</v>
      </c>
      <c r="AK59" s="51">
        <v>411</v>
      </c>
      <c r="AL59" s="18">
        <f t="shared" ref="AL59:AL107" si="36">IF(AND(AH59&lt;&gt;"", AK59&lt;&gt;""), AK59/AN$56, "")</f>
        <v>2.1484579194981705E-2</v>
      </c>
      <c r="AM59" s="26">
        <f>IF(AND(AH59&lt;&gt;"", AK59&lt;&gt;""), SUM(AK$59:AK59), "")</f>
        <v>411</v>
      </c>
      <c r="AN59" s="18">
        <f t="shared" ref="AN59:AN107" si="37">IF(AND(AH59&lt;&gt;"", AK59&lt;&gt;""), AM59/AN$56, "")</f>
        <v>2.1484579194981705E-2</v>
      </c>
      <c r="AO59" s="14"/>
      <c r="AP59" s="19">
        <v>50</v>
      </c>
      <c r="AQ59" s="20">
        <v>73</v>
      </c>
      <c r="AR59" s="8"/>
      <c r="AS59" s="48">
        <v>73</v>
      </c>
      <c r="AT59" s="37">
        <f>IF(AND(AS59&lt;&gt;"", AV59&lt;&gt;""), 1, "")</f>
        <v>1</v>
      </c>
      <c r="AU59" s="25">
        <f>IF(AND(AS59&lt;&gt;"", AV59&lt;&gt;""), ROUND(100*(1-(0+AX59)/2/AY$56), 2), "")</f>
        <v>99.03</v>
      </c>
      <c r="AV59" s="51">
        <v>278</v>
      </c>
      <c r="AW59" s="18">
        <f t="shared" ref="AW59:AW107" si="38">IF(AND(AS59&lt;&gt;"", AV59&lt;&gt;""), AV59/AY$56, "")</f>
        <v>1.9459610807783845E-2</v>
      </c>
      <c r="AX59" s="26">
        <f>IF(AND(AS59&lt;&gt;"", AV59&lt;&gt;""), SUM(AV$59:AV59), "")</f>
        <v>278</v>
      </c>
      <c r="AY59" s="18">
        <f t="shared" ref="AY59:AY107" si="39">IF(AND(AS59&lt;&gt;"", AV59&lt;&gt;""), AX59/AY$56, "")</f>
        <v>1.9459610807783845E-2</v>
      </c>
      <c r="AZ59" s="14"/>
      <c r="BA59" s="19">
        <v>50</v>
      </c>
      <c r="BB59" s="20">
        <v>74</v>
      </c>
      <c r="BC59" s="8"/>
      <c r="BD59" s="48">
        <v>74</v>
      </c>
      <c r="BE59" s="37">
        <f>IF(AND(BD59&lt;&gt;"", BG59&lt;&gt;""), 1, "")</f>
        <v>1</v>
      </c>
      <c r="BF59" s="25">
        <f>IF(AND(BD59&lt;&gt;"", BG59&lt;&gt;""), ROUND(100*(1-(0+BI59)/2/BJ$56), 2), "")</f>
        <v>98.86</v>
      </c>
      <c r="BG59" s="51">
        <v>267</v>
      </c>
      <c r="BH59" s="18">
        <f t="shared" ref="BH59:BH107" si="40">IF(AND(BD59&lt;&gt;"", BG59&lt;&gt;""), BG59/BJ$56, "")</f>
        <v>2.2717604015995915E-2</v>
      </c>
      <c r="BI59" s="26">
        <f>IF(AND(BD59&lt;&gt;"", BG59&lt;&gt;""), SUM(BG$59:BG59), "")</f>
        <v>267</v>
      </c>
      <c r="BJ59" s="18">
        <f t="shared" ref="BJ59:BJ107" si="41">IF(AND(BD59&lt;&gt;"", BG59&lt;&gt;""), BI59/BJ$56, "")</f>
        <v>2.2717604015995915E-2</v>
      </c>
      <c r="BK59" s="14"/>
      <c r="BL59" s="10">
        <v>50</v>
      </c>
      <c r="BM59" s="24">
        <v>82</v>
      </c>
      <c r="BN59" s="8"/>
      <c r="BO59" s="45">
        <v>82</v>
      </c>
      <c r="BP59" s="37">
        <f>IF(AND(BO59&lt;&gt;"", BR59&lt;&gt;""), 1, "")</f>
        <v>1</v>
      </c>
      <c r="BQ59" s="21">
        <f>IF(AND(BO59&lt;&gt;"", BR59&lt;&gt;""), ROUND(100*(1-(0+BT59)/2/BU$56), 2), "")</f>
        <v>99.63</v>
      </c>
      <c r="BR59" s="50">
        <v>28</v>
      </c>
      <c r="BS59" s="22">
        <f t="shared" ref="BS59:BS107" si="42">IF(AND(BO59&lt;&gt;"", BR59&lt;&gt;""), BR59/BU$56, "")</f>
        <v>7.3859140068583485E-3</v>
      </c>
      <c r="BT59" s="23">
        <f>IF(AND(BO59&lt;&gt;"", BR59&lt;&gt;""), SUM(BR$59:BR59), "")</f>
        <v>28</v>
      </c>
      <c r="BU59" s="22">
        <f t="shared" ref="BU59:BU107" si="43">IF(AND(BO59&lt;&gt;"", BR59&lt;&gt;""), BT59/BU$56, "")</f>
        <v>7.3859140068583485E-3</v>
      </c>
      <c r="BV59" s="14"/>
      <c r="BW59" s="10">
        <v>50</v>
      </c>
      <c r="BX59" s="24">
        <v>81</v>
      </c>
      <c r="BY59" s="8"/>
      <c r="BZ59" s="48">
        <v>81</v>
      </c>
      <c r="CA59" s="37">
        <f>IF(AND(BZ59&lt;&gt;"", CC59&lt;&gt;""), 1, "")</f>
        <v>1</v>
      </c>
      <c r="CB59" s="25">
        <f>IF(AND(BZ59&lt;&gt;"", CC59&lt;&gt;""), ROUND(100*(1-(0+CE59)/2/CF$56), 2), "")</f>
        <v>99.34</v>
      </c>
      <c r="CC59" s="51">
        <v>56</v>
      </c>
      <c r="CD59" s="18">
        <f t="shared" ref="CD59:CD107" si="44">IF(AND(BZ59&lt;&gt;"", CC59&lt;&gt;""), CC59/CF$56, "")</f>
        <v>1.3188883655204899E-2</v>
      </c>
      <c r="CE59" s="26">
        <f>IF(AND(BZ59&lt;&gt;"", CC59&lt;&gt;""), SUM(CC$59:CC59), "")</f>
        <v>56</v>
      </c>
      <c r="CF59" s="18">
        <f t="shared" ref="CF59:CF107" si="45">IF(AND(BZ59&lt;&gt;"", CC59&lt;&gt;""), CE59/CF$56, "")</f>
        <v>1.3188883655204899E-2</v>
      </c>
      <c r="CG59" s="14"/>
      <c r="CH59" s="10">
        <v>50</v>
      </c>
      <c r="CI59" s="24">
        <v>68</v>
      </c>
      <c r="CJ59" s="8"/>
      <c r="CK59" s="49">
        <v>68</v>
      </c>
      <c r="CL59" s="37">
        <f>IF(AND(CK59&lt;&gt;"", CN59&lt;&gt;""), 1, "")</f>
        <v>1</v>
      </c>
      <c r="CM59" s="25">
        <f>IF(AND(CK59&lt;&gt;"", CN59&lt;&gt;""), ROUND(100*(1-(0+CP59)/2/CQ$56), 2), "")</f>
        <v>100</v>
      </c>
      <c r="CN59" s="52">
        <v>0</v>
      </c>
      <c r="CO59" s="18">
        <f t="shared" ref="CO59:CO107" si="46">IF(AND(CK59&lt;&gt;"", CN59&lt;&gt;""), CN59/CQ$56, "")</f>
        <v>0</v>
      </c>
      <c r="CP59" s="26">
        <f>IF(AND(CK59&lt;&gt;"", CN59&lt;&gt;""), SUM(CN$59:CN59), "")</f>
        <v>0</v>
      </c>
      <c r="CQ59" s="18">
        <f t="shared" ref="CQ59:CQ107" si="47">IF(AND(CK59&lt;&gt;"", CN59&lt;&gt;""), CP59/CQ$56, "")</f>
        <v>0</v>
      </c>
      <c r="CR59" s="14"/>
      <c r="CS59" s="10">
        <v>50</v>
      </c>
      <c r="CT59" s="24">
        <v>86</v>
      </c>
      <c r="CU59" s="8"/>
      <c r="CV59" s="48">
        <v>86</v>
      </c>
      <c r="CW59" s="37">
        <f>IF(AND(CV59&lt;&gt;"", CY59&lt;&gt;""), 1, "")</f>
        <v>1</v>
      </c>
      <c r="CX59" s="25">
        <f>IF(AND(CV59&lt;&gt;"", CY59&lt;&gt;""), ROUND(100*(1-(0+DA59)/2/DB$56), 2), "")</f>
        <v>99.44</v>
      </c>
      <c r="CY59" s="51">
        <v>59</v>
      </c>
      <c r="CZ59" s="18">
        <f t="shared" ref="CZ59:CZ107" si="48">IF(AND(CV59&lt;&gt;"", CY59&lt;&gt;""), CY59/DB$56, "")</f>
        <v>1.1231677136874167E-2</v>
      </c>
      <c r="DA59" s="26">
        <f>IF(AND(CV59&lt;&gt;"", CY59&lt;&gt;""), SUM(CY$59:CY59), "")</f>
        <v>59</v>
      </c>
      <c r="DB59" s="18">
        <f t="shared" ref="DB59:DB107" si="49">IF(AND(CV59&lt;&gt;"", CY59&lt;&gt;""), DA59/DB$56, "")</f>
        <v>1.1231677136874167E-2</v>
      </c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</row>
    <row r="60" spans="5:180" ht="16" customHeight="1" x14ac:dyDescent="0.2">
      <c r="E60" s="1"/>
      <c r="F60" s="86"/>
      <c r="G60" s="85">
        <v>8</v>
      </c>
      <c r="H60" s="36"/>
      <c r="I60" s="86"/>
      <c r="J60" s="85">
        <v>8</v>
      </c>
      <c r="K60" s="36"/>
      <c r="L60" s="86"/>
      <c r="M60" s="85">
        <v>8</v>
      </c>
      <c r="N60"/>
      <c r="O60" s="38">
        <v>78</v>
      </c>
      <c r="P60" s="83">
        <f t="shared" si="27"/>
        <v>7</v>
      </c>
      <c r="Q60" s="15">
        <f t="shared" si="18"/>
        <v>17.87</v>
      </c>
      <c r="R60" s="43">
        <v>2854</v>
      </c>
      <c r="S60" s="16">
        <f t="shared" si="0"/>
        <v>9.9459836208398676E-3</v>
      </c>
      <c r="T60" s="17">
        <f>IF(AND(O60&lt;&gt;"", R60&lt;&gt;""), SUM(R$4:R60), "")</f>
        <v>237092</v>
      </c>
      <c r="U60" s="16">
        <f t="shared" si="1"/>
        <v>0.82624847534413659</v>
      </c>
      <c r="W60" s="38">
        <v>104</v>
      </c>
      <c r="X60" s="83">
        <f t="shared" si="28"/>
        <v>4</v>
      </c>
      <c r="Y60" s="15">
        <f t="shared" si="19"/>
        <v>60.78</v>
      </c>
      <c r="Z60" s="43">
        <v>3382</v>
      </c>
      <c r="AA60" s="16">
        <f t="shared" si="2"/>
        <v>1.1825216172084518E-2</v>
      </c>
      <c r="AB60" s="17">
        <f>IF(AND(W60&lt;&gt;"", Z60&lt;&gt;""), SUM(Z$4:Z60), "")</f>
        <v>113858</v>
      </c>
      <c r="AC60" s="16">
        <f t="shared" si="3"/>
        <v>0.39810628708491985</v>
      </c>
      <c r="AD60" s="1"/>
      <c r="AE60" s="19">
        <v>48</v>
      </c>
      <c r="AF60" s="20">
        <v>70</v>
      </c>
      <c r="AG60" s="8"/>
      <c r="AH60" s="49">
        <v>70</v>
      </c>
      <c r="AI60" s="83">
        <f>IF(AND(AH60&lt;&gt;"", AK60&lt;&gt;""), IF(AN59 &gt; $A$36, $B$37, IF(AN59 &gt; $A$35, $B$36, IF(AN59 &gt; $A$34, $B$35, IF(AN59 &gt; $A$33, $B$34, IF(AN59 &gt; $A$32, $B$33,IF(AN59 &gt; $A$31, $B$32, IF(AN59 &gt; $A$30, $B$31, IF(AN59 &gt; $A$29, $B$30, $B$29)))))))), "")</f>
        <v>1</v>
      </c>
      <c r="AJ60" s="15">
        <f t="shared" ref="AJ60:AJ107" si="50">IF(AND(AH60&lt;&gt;"", AK60&lt;&gt;""), ROUND(100*(1-(AM59+AM60)/2/AN$56), 2), "")</f>
        <v>97.48</v>
      </c>
      <c r="AK60" s="52">
        <v>144</v>
      </c>
      <c r="AL60" s="16">
        <f t="shared" si="36"/>
        <v>7.5274438055410349E-3</v>
      </c>
      <c r="AM60" s="17">
        <f>IF(AND(AH60&lt;&gt;"", AK60&lt;&gt;""), SUM(AK$59:AK60), "")</f>
        <v>555</v>
      </c>
      <c r="AN60" s="16">
        <f t="shared" si="37"/>
        <v>2.9012023000522739E-2</v>
      </c>
      <c r="AO60" s="14"/>
      <c r="AP60" s="19">
        <v>48</v>
      </c>
      <c r="AQ60" s="20">
        <v>71</v>
      </c>
      <c r="AR60" s="8"/>
      <c r="AS60" s="49">
        <v>71</v>
      </c>
      <c r="AT60" s="83">
        <f>IF(AND(AS60&lt;&gt;"", AV60&lt;&gt;""), IF(AY59 &gt; $A$36, $B$37, IF(AY59 &gt; $A$35, $B$36, IF(AY59 &gt; $A$34, $B$35, IF(AY59 &gt; $A$33, $B$34, IF(AY59 &gt; $A$32, $B$33,IF(AY59 &gt; $A$31, $B$32, IF(AY59 &gt; $A$30, $B$31, IF(AY59 &gt; $A$29, $B$30, $B$29)))))))), "")</f>
        <v>1</v>
      </c>
      <c r="AU60" s="15">
        <f t="shared" ref="AU60:AU107" si="51">IF(AND(AS60&lt;&gt;"", AV60&lt;&gt;""), ROUND(100*(1-(AX59+AX60)/2/AY$56), 2), "")</f>
        <v>97.94</v>
      </c>
      <c r="AV60" s="52">
        <v>32</v>
      </c>
      <c r="AW60" s="16">
        <f t="shared" si="38"/>
        <v>2.2399552008959822E-3</v>
      </c>
      <c r="AX60" s="17">
        <f>IF(AND(AS60&lt;&gt;"", AV60&lt;&gt;""), SUM(AV$59:AV60), "")</f>
        <v>310</v>
      </c>
      <c r="AY60" s="16">
        <f t="shared" si="39"/>
        <v>2.1699566008679828E-2</v>
      </c>
      <c r="AZ60" s="14"/>
      <c r="BA60" s="19">
        <v>48</v>
      </c>
      <c r="BB60" s="20">
        <v>72</v>
      </c>
      <c r="BC60" s="8"/>
      <c r="BD60" s="49">
        <v>72</v>
      </c>
      <c r="BE60" s="83">
        <f>IF(AND(BD60&lt;&gt;"", BG60&lt;&gt;""), IF(BJ59 &gt; $A$36, $B$37, IF(BJ59 &gt; $A$35, $B$36, IF(BJ59 &gt; $A$34, $B$35, IF(BJ59 &gt; $A$33, $B$34, IF(BJ59 &gt; $A$32, $B$33,IF(BJ59 &gt; $A$31, $B$32, IF(BJ59 &gt; $A$30, $B$31, IF(BJ59 &gt; $A$29, $B$30, $B$29)))))))), "")</f>
        <v>1</v>
      </c>
      <c r="BF60" s="15">
        <f t="shared" ref="BF60:BF107" si="52">IF(AND(BD60&lt;&gt;"", BG60&lt;&gt;""), ROUND(100*(1-(BI59+BI60)/2/BJ$56), 2), "")</f>
        <v>96.4</v>
      </c>
      <c r="BG60" s="52">
        <v>313</v>
      </c>
      <c r="BH60" s="16">
        <f t="shared" si="40"/>
        <v>2.6631498340849144E-2</v>
      </c>
      <c r="BI60" s="17">
        <f>IF(AND(BD60&lt;&gt;"", BG60&lt;&gt;""), SUM(BG$59:BG60), "")</f>
        <v>580</v>
      </c>
      <c r="BJ60" s="16">
        <f t="shared" si="41"/>
        <v>4.9349102356845059E-2</v>
      </c>
      <c r="BK60" s="14"/>
      <c r="BL60" s="27">
        <v>48</v>
      </c>
      <c r="BM60" s="20">
        <v>80</v>
      </c>
      <c r="BN60" s="8"/>
      <c r="BO60" s="48">
        <v>80</v>
      </c>
      <c r="BP60" s="83">
        <f>IF(AND(BO60&lt;&gt;"", BR60&lt;&gt;""), IF(BU59 &gt; $A$36, $B$37, IF(BU59 &gt; $A$35, $B$36, IF(BU59 &gt; $A$34, $B$35, IF(BU59 &gt; $A$33, $B$34, IF(BU59 &gt; $A$32, $B$33,IF(BU59 &gt; $A$31, $B$32, IF(BU59 &gt; $A$30, $B$31, IF(BU59 &gt; $A$29, $B$30, $B$29)))))))), "")</f>
        <v>1</v>
      </c>
      <c r="BQ60" s="25">
        <f t="shared" ref="BQ60:BQ107" si="53">IF(AND(BO60&lt;&gt;"", BR60&lt;&gt;""), ROUND(100*(1-(BT59+BT60)/2/BU$56), 2), "")</f>
        <v>99.24</v>
      </c>
      <c r="BR60" s="51">
        <v>2</v>
      </c>
      <c r="BS60" s="18">
        <f t="shared" si="42"/>
        <v>5.2756528620416781E-4</v>
      </c>
      <c r="BT60" s="26">
        <f>IF(AND(BO60&lt;&gt;"", BR60&lt;&gt;""), SUM(BR$59:BR60), "")</f>
        <v>30</v>
      </c>
      <c r="BU60" s="18">
        <f t="shared" si="43"/>
        <v>7.9134792930625163E-3</v>
      </c>
      <c r="BV60" s="14"/>
      <c r="BW60" s="27">
        <v>48</v>
      </c>
      <c r="BX60" s="20">
        <v>79</v>
      </c>
      <c r="BY60" s="8"/>
      <c r="BZ60" s="49">
        <v>79</v>
      </c>
      <c r="CA60" s="83">
        <f>IF(AND(BZ60&lt;&gt;"", CC60&lt;&gt;""), IF(CF59 &gt; $A$36, $B$37, IF(CF59 &gt; $A$35, $B$36, IF(CF59 &gt; $A$34, $B$35, IF(CF59 &gt; $A$33, $B$34, IF(CF59 &gt; $A$32, $B$33,IF(CF59 &gt; $A$31, $B$32, IF(CF59 &gt; $A$30, $B$31, IF(CF59 &gt; $A$29, $B$30, $B$29)))))))), "")</f>
        <v>1</v>
      </c>
      <c r="CB60" s="15">
        <f t="shared" ref="CB60:CB107" si="54">IF(AND(BZ60&lt;&gt;"", CC60&lt;&gt;""), ROUND(100*(1-(CE59+CE60)/2/CF$56), 2), "")</f>
        <v>98.32</v>
      </c>
      <c r="CC60" s="52">
        <v>31</v>
      </c>
      <c r="CD60" s="16">
        <f t="shared" si="44"/>
        <v>7.3009891662741402E-3</v>
      </c>
      <c r="CE60" s="17">
        <f>IF(AND(BZ60&lt;&gt;"", CC60&lt;&gt;""), SUM(CC$59:CC60), "")</f>
        <v>87</v>
      </c>
      <c r="CF60" s="16">
        <f t="shared" si="45"/>
        <v>2.048987282147904E-2</v>
      </c>
      <c r="CG60" s="14"/>
      <c r="CH60" s="27">
        <v>48</v>
      </c>
      <c r="CI60" s="20">
        <v>67</v>
      </c>
      <c r="CJ60" s="8"/>
      <c r="CK60" s="49">
        <v>67</v>
      </c>
      <c r="CL60" s="83">
        <f>IF(AND(CK60&lt;&gt;"", CN60&lt;&gt;""), IF(CQ59 &gt; $A$36, $B$37, IF(CQ59 &gt; $A$35, $B$36, IF(CQ59 &gt; $A$34, $B$35, IF(CQ59 &gt; $A$33, $B$34, IF(CQ59 &gt; $A$32, $B$33,IF(CQ59 &gt; $A$31, $B$32, IF(CQ59 &gt; $A$30, $B$31, IF(CQ59 &gt; $A$29, $B$30, $B$29)))))))), "")</f>
        <v>1</v>
      </c>
      <c r="CM60" s="15">
        <f t="shared" ref="CM60:CM107" si="55">IF(AND(CK60&lt;&gt;"", CN60&lt;&gt;""), ROUND(100*(1-(CP59+CP60)/2/CQ$56), 2), "")</f>
        <v>99.92</v>
      </c>
      <c r="CN60" s="52">
        <v>9</v>
      </c>
      <c r="CO60" s="16">
        <f t="shared" si="46"/>
        <v>1.5506547208821502E-3</v>
      </c>
      <c r="CP60" s="17">
        <f>IF(AND(CK60&lt;&gt;"", CN60&lt;&gt;""), SUM(CN$59:CN60), "")</f>
        <v>9</v>
      </c>
      <c r="CQ60" s="16">
        <f t="shared" si="47"/>
        <v>1.5506547208821502E-3</v>
      </c>
      <c r="CR60" s="14"/>
      <c r="CS60" s="27">
        <v>48</v>
      </c>
      <c r="CT60" s="20">
        <v>84</v>
      </c>
      <c r="CU60" s="8"/>
      <c r="CV60" s="49">
        <v>84</v>
      </c>
      <c r="CW60" s="83">
        <f>IF(AND(CV60&lt;&gt;"", CY60&lt;&gt;""), IF(DB59 &gt; $A$36, $B$37, IF(DB59 &gt; $A$35, $B$36, IF(DB59 &gt; $A$34, $B$35, IF(DB59 &gt; $A$33, $B$34, IF(DB59 &gt; $A$32, $B$33,IF(DB59 &gt; $A$31, $B$32, IF(DB59 &gt; $A$30, $B$31, IF(DB59 &gt; $A$29, $B$30, $B$29)))))))), "")</f>
        <v>1</v>
      </c>
      <c r="CX60" s="15">
        <f t="shared" ref="CX60:CX107" si="56">IF(AND(CV60&lt;&gt;"", CY60&lt;&gt;""), ROUND(100*(1-(DA59+DA60)/2/DB$56), 2), "")</f>
        <v>98.62</v>
      </c>
      <c r="CY60" s="52">
        <v>27</v>
      </c>
      <c r="CZ60" s="16">
        <f t="shared" si="48"/>
        <v>5.1399200456881781E-3</v>
      </c>
      <c r="DA60" s="17">
        <f>IF(AND(CV60&lt;&gt;"", CY60&lt;&gt;""), SUM(CY$59:CY60), "")</f>
        <v>86</v>
      </c>
      <c r="DB60" s="16">
        <f t="shared" si="49"/>
        <v>1.6371597182562345E-2</v>
      </c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</row>
    <row r="61" spans="5:180" ht="16" customHeight="1" x14ac:dyDescent="0.2">
      <c r="E61" s="1"/>
      <c r="F61" s="86"/>
      <c r="G61" s="85">
        <v>9</v>
      </c>
      <c r="H61" s="36"/>
      <c r="I61" s="86"/>
      <c r="J61" s="85">
        <v>9</v>
      </c>
      <c r="K61" s="36"/>
      <c r="L61" s="86"/>
      <c r="M61" s="85">
        <v>9</v>
      </c>
      <c r="N61"/>
      <c r="O61" s="38">
        <v>77</v>
      </c>
      <c r="P61" s="83">
        <f t="shared" si="27"/>
        <v>7</v>
      </c>
      <c r="Q61" s="15">
        <f t="shared" si="18"/>
        <v>16.91</v>
      </c>
      <c r="R61" s="43">
        <v>2688</v>
      </c>
      <c r="S61" s="16">
        <f t="shared" si="0"/>
        <v>9.3674856246732888E-3</v>
      </c>
      <c r="T61" s="17">
        <f>IF(AND(O61&lt;&gt;"", R61&lt;&gt;""), SUM(R$4:R61), "")</f>
        <v>239780</v>
      </c>
      <c r="U61" s="16">
        <f t="shared" si="1"/>
        <v>0.83561596096880986</v>
      </c>
      <c r="W61" s="38">
        <v>103</v>
      </c>
      <c r="X61" s="83">
        <f t="shared" si="28"/>
        <v>4</v>
      </c>
      <c r="Y61" s="15">
        <f t="shared" si="19"/>
        <v>59.47</v>
      </c>
      <c r="Z61" s="43">
        <v>4112</v>
      </c>
      <c r="AA61" s="16">
        <f t="shared" si="2"/>
        <v>1.4377672649205068E-2</v>
      </c>
      <c r="AB61" s="17">
        <f>IF(AND(W61&lt;&gt;"", Z61&lt;&gt;""), SUM(Z$4:Z61), "")</f>
        <v>117970</v>
      </c>
      <c r="AC61" s="16">
        <f t="shared" si="3"/>
        <v>0.41248395973412494</v>
      </c>
      <c r="AD61" s="1"/>
      <c r="AE61" s="19">
        <v>47</v>
      </c>
      <c r="AF61" s="20">
        <v>69</v>
      </c>
      <c r="AG61" s="8"/>
      <c r="AH61" s="49">
        <v>69</v>
      </c>
      <c r="AI61" s="83">
        <f>IF(AND(AH61&lt;&gt;"", AK61&lt;&gt;""), IF(AN60 &gt; $A$36, $B$37, IF(AN60 &gt; $A$35, $B$36, IF(AN60 &gt; $A$34, $B$35, IF(AN60 &gt; $A$33, $B$34, IF(AN60 &gt; $A$32, $B$33,IF(AN60 &gt; $A$31, $B$32, IF(AN60 &gt; $A$30, $B$31, IF(AN60 &gt; $A$29, $B$30, $B$29)))))))), "")</f>
        <v>1</v>
      </c>
      <c r="AJ61" s="15">
        <f t="shared" si="50"/>
        <v>96.13</v>
      </c>
      <c r="AK61" s="52">
        <v>371</v>
      </c>
      <c r="AL61" s="16">
        <f t="shared" si="36"/>
        <v>1.9393622582331415E-2</v>
      </c>
      <c r="AM61" s="17">
        <f>IF(AND(AH61&lt;&gt;"", AK61&lt;&gt;""), SUM(AK$59:AK61), "")</f>
        <v>926</v>
      </c>
      <c r="AN61" s="16">
        <f t="shared" si="37"/>
        <v>4.8405645582854158E-2</v>
      </c>
      <c r="AO61" s="14"/>
      <c r="AP61" s="19">
        <v>47</v>
      </c>
      <c r="AQ61" s="20">
        <v>70</v>
      </c>
      <c r="AR61" s="8"/>
      <c r="AS61" s="49">
        <v>70</v>
      </c>
      <c r="AT61" s="83">
        <f>IF(AND(AS61&lt;&gt;"", AV61&lt;&gt;""), IF(AY60 &gt; $A$36, $B$37, IF(AY60 &gt; $A$35, $B$36, IF(AY60 &gt; $A$34, $B$35, IF(AY60 &gt; $A$33, $B$34, IF(AY60 &gt; $A$32, $B$33,IF(AY60 &gt; $A$31, $B$32, IF(AY60 &gt; $A$30, $B$31, IF(AY60 &gt; $A$29, $B$30, $B$29)))))))), "")</f>
        <v>1</v>
      </c>
      <c r="AU61" s="15">
        <f t="shared" si="51"/>
        <v>96.62</v>
      </c>
      <c r="AV61" s="52">
        <v>346</v>
      </c>
      <c r="AW61" s="16">
        <f t="shared" si="38"/>
        <v>2.4219515609687808E-2</v>
      </c>
      <c r="AX61" s="17">
        <f>IF(AND(AS61&lt;&gt;"", AV61&lt;&gt;""), SUM(AV$59:AV61), "")</f>
        <v>656</v>
      </c>
      <c r="AY61" s="16">
        <f t="shared" si="39"/>
        <v>4.5919081618367635E-2</v>
      </c>
      <c r="AZ61" s="14"/>
      <c r="BA61" s="19">
        <v>47</v>
      </c>
      <c r="BB61" s="20">
        <v>72</v>
      </c>
      <c r="BC61" s="8"/>
      <c r="BD61" s="49">
        <v>71</v>
      </c>
      <c r="BE61" s="83">
        <f>IF(AND(BD61&lt;&gt;"", BG61&lt;&gt;""), IF(BJ60 &gt; $A$36, $B$37, IF(BJ60 &gt; $A$35, $B$36, IF(BJ60 &gt; $A$34, $B$35, IF(BJ60 &gt; $A$33, $B$34, IF(BJ60 &gt; $A$32, $B$33,IF(BJ60 &gt; $A$31, $B$32, IF(BJ60 &gt; $A$30, $B$31, IF(BJ60 &gt; $A$29, $B$30, $B$29)))))))), "")</f>
        <v>2</v>
      </c>
      <c r="BF61" s="15">
        <f t="shared" si="52"/>
        <v>95.04</v>
      </c>
      <c r="BG61" s="52">
        <v>6</v>
      </c>
      <c r="BH61" s="16">
        <f t="shared" si="40"/>
        <v>5.1050795541563853E-4</v>
      </c>
      <c r="BI61" s="17">
        <f>IF(AND(BD61&lt;&gt;"", BG61&lt;&gt;""), SUM(BG$59:BG61), "")</f>
        <v>586</v>
      </c>
      <c r="BJ61" s="16">
        <f t="shared" si="41"/>
        <v>4.9859610312260702E-2</v>
      </c>
      <c r="BK61" s="14"/>
      <c r="BL61" s="27">
        <v>47</v>
      </c>
      <c r="BM61" s="20">
        <v>79</v>
      </c>
      <c r="BN61" s="8"/>
      <c r="BO61" s="49">
        <v>79</v>
      </c>
      <c r="BP61" s="83">
        <f>IF(AND(BO61&lt;&gt;"", BR61&lt;&gt;""), IF(BU60 &gt; $A$36, $B$37, IF(BU60 &gt; $A$35, $B$36, IF(BU60 &gt; $A$34, $B$35, IF(BU60 &gt; $A$33, $B$34, IF(BU60 &gt; $A$32, $B$33,IF(BU60 &gt; $A$31, $B$32, IF(BU60 &gt; $A$30, $B$31, IF(BU60 &gt; $A$29, $B$30, $B$29)))))))), "")</f>
        <v>1</v>
      </c>
      <c r="BQ61" s="15">
        <f t="shared" si="53"/>
        <v>98.67</v>
      </c>
      <c r="BR61" s="52">
        <v>41</v>
      </c>
      <c r="BS61" s="16">
        <f t="shared" si="42"/>
        <v>1.0815088367185439E-2</v>
      </c>
      <c r="BT61" s="17">
        <f>IF(AND(BO61&lt;&gt;"", BR61&lt;&gt;""), SUM(BR$59:BR61), "")</f>
        <v>71</v>
      </c>
      <c r="BU61" s="16">
        <f t="shared" si="43"/>
        <v>1.8728567660247955E-2</v>
      </c>
      <c r="BV61" s="14"/>
      <c r="BW61" s="27">
        <v>47</v>
      </c>
      <c r="BX61" s="20">
        <v>78</v>
      </c>
      <c r="BY61" s="8"/>
      <c r="BZ61" s="49">
        <v>78</v>
      </c>
      <c r="CA61" s="83">
        <f>IF(AND(BZ61&lt;&gt;"", CC61&lt;&gt;""), IF(CF60 &gt; $A$36, $B$37, IF(CF60 &gt; $A$35, $B$36, IF(CF60 &gt; $A$34, $B$35, IF(CF60 &gt; $A$33, $B$34, IF(CF60 &gt; $A$32, $B$33,IF(CF60 &gt; $A$31, $B$32, IF(CF60 &gt; $A$30, $B$31, IF(CF60 &gt; $A$29, $B$30, $B$29)))))))), "")</f>
        <v>1</v>
      </c>
      <c r="CB61" s="15">
        <f t="shared" si="54"/>
        <v>97.62</v>
      </c>
      <c r="CC61" s="52">
        <v>28</v>
      </c>
      <c r="CD61" s="16">
        <f t="shared" si="44"/>
        <v>6.5944418276024496E-3</v>
      </c>
      <c r="CE61" s="17">
        <f>IF(AND(BZ61&lt;&gt;"", CC61&lt;&gt;""), SUM(CC$59:CC61), "")</f>
        <v>115</v>
      </c>
      <c r="CF61" s="16">
        <f t="shared" si="45"/>
        <v>2.7084314649081488E-2</v>
      </c>
      <c r="CG61" s="14"/>
      <c r="CH61" s="27">
        <v>47</v>
      </c>
      <c r="CI61" s="20">
        <v>66</v>
      </c>
      <c r="CJ61" s="8"/>
      <c r="CK61" s="49">
        <v>66</v>
      </c>
      <c r="CL61" s="83">
        <f>IF(AND(CK61&lt;&gt;"", CN61&lt;&gt;""), IF(CQ60 &gt; $A$36, $B$37, IF(CQ60 &gt; $A$35, $B$36, IF(CQ60 &gt; $A$34, $B$35, IF(CQ60 &gt; $A$33, $B$34, IF(CQ60 &gt; $A$32, $B$33,IF(CQ60 &gt; $A$31, $B$32, IF(CQ60 &gt; $A$30, $B$31, IF(CQ60 &gt; $A$29, $B$30, $B$29)))))))), "")</f>
        <v>1</v>
      </c>
      <c r="CM61" s="15">
        <f t="shared" si="55"/>
        <v>97.72</v>
      </c>
      <c r="CN61" s="52">
        <v>247</v>
      </c>
      <c r="CO61" s="16">
        <f t="shared" si="46"/>
        <v>4.2556857339765677E-2</v>
      </c>
      <c r="CP61" s="17">
        <f>IF(AND(CK61&lt;&gt;"", CN61&lt;&gt;""), SUM(CN$59:CN61), "")</f>
        <v>256</v>
      </c>
      <c r="CQ61" s="16">
        <f t="shared" si="47"/>
        <v>4.4107512060647829E-2</v>
      </c>
      <c r="CR61" s="14"/>
      <c r="CS61" s="27">
        <v>47</v>
      </c>
      <c r="CT61" s="20">
        <v>83</v>
      </c>
      <c r="CU61" s="8"/>
      <c r="CV61" s="49">
        <v>83</v>
      </c>
      <c r="CW61" s="83">
        <f>IF(AND(CV61&lt;&gt;"", CY61&lt;&gt;""), IF(DB60 &gt; $A$36, $B$37, IF(DB60 &gt; $A$35, $B$36, IF(DB60 &gt; $A$34, $B$35, IF(DB60 &gt; $A$33, $B$34, IF(DB60 &gt; $A$32, $B$33,IF(DB60 &gt; $A$31, $B$32, IF(DB60 &gt; $A$30, $B$31, IF(DB60 &gt; $A$29, $B$30, $B$29)))))))), "")</f>
        <v>1</v>
      </c>
      <c r="CX61" s="15">
        <f t="shared" si="56"/>
        <v>97.74</v>
      </c>
      <c r="CY61" s="52">
        <v>65</v>
      </c>
      <c r="CZ61" s="16">
        <f t="shared" si="48"/>
        <v>1.237388159147154E-2</v>
      </c>
      <c r="DA61" s="17">
        <f>IF(AND(CV61&lt;&gt;"", CY61&lt;&gt;""), SUM(CY$59:CY61), "")</f>
        <v>151</v>
      </c>
      <c r="DB61" s="16">
        <f t="shared" si="49"/>
        <v>2.8745478774033887E-2</v>
      </c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</row>
    <row r="62" spans="5:180" ht="16" customHeight="1" x14ac:dyDescent="0.2">
      <c r="E62" s="1"/>
      <c r="F62" s="1"/>
      <c r="G62" s="1"/>
      <c r="H62" s="1"/>
      <c r="I62" s="1"/>
      <c r="J62" s="1"/>
      <c r="K62" s="1"/>
      <c r="L62" s="1"/>
      <c r="M62" s="1"/>
      <c r="N62"/>
      <c r="O62" s="38">
        <v>76</v>
      </c>
      <c r="P62" s="83">
        <f t="shared" si="27"/>
        <v>7</v>
      </c>
      <c r="Q62" s="15">
        <f t="shared" si="18"/>
        <v>15.95</v>
      </c>
      <c r="R62" s="43">
        <v>2802</v>
      </c>
      <c r="S62" s="16">
        <f t="shared" si="0"/>
        <v>9.7647673810768425E-3</v>
      </c>
      <c r="T62" s="17">
        <f>IF(AND(O62&lt;&gt;"", R62&lt;&gt;""), SUM(R$4:R62), "")</f>
        <v>242582</v>
      </c>
      <c r="U62" s="16">
        <f t="shared" si="1"/>
        <v>0.84538072834988676</v>
      </c>
      <c r="W62" s="38">
        <v>102</v>
      </c>
      <c r="X62" s="83">
        <f t="shared" si="28"/>
        <v>5</v>
      </c>
      <c r="Y62" s="15">
        <f t="shared" si="19"/>
        <v>58.2</v>
      </c>
      <c r="Z62" s="43">
        <v>3170</v>
      </c>
      <c r="AA62" s="16">
        <f t="shared" si="2"/>
        <v>1.1083954839002933E-2</v>
      </c>
      <c r="AB62" s="17">
        <f>IF(AND(W62&lt;&gt;"", Z62&lt;&gt;""), SUM(Z$4:Z62), "")</f>
        <v>121140</v>
      </c>
      <c r="AC62" s="16">
        <f t="shared" si="3"/>
        <v>0.42356791457312787</v>
      </c>
      <c r="AD62" s="1"/>
      <c r="AE62" s="19">
        <v>46</v>
      </c>
      <c r="AF62" s="20">
        <v>68</v>
      </c>
      <c r="AG62" s="8"/>
      <c r="AH62" s="49">
        <v>68</v>
      </c>
      <c r="AI62" s="83">
        <f t="shared" ref="AI62:AI107" si="57">IF(AND(AH62&lt;&gt;"", AK62&lt;&gt;""), IF(AN61 &gt; $A$36, $B$37, IF(AN61 &gt; $A$35, $B$36, IF(AN61 &gt; $A$34, $B$35, IF(AN61 &gt; $A$33, $B$34, IF(AN61 &gt; $A$32, $B$33,IF(AN61 &gt; $A$31, $B$32, IF(AN61 &gt; $A$30, $B$31, IF(AN61 &gt; $A$29, $B$30, $B$29)))))))), "")</f>
        <v>2</v>
      </c>
      <c r="AJ62" s="15">
        <f t="shared" si="50"/>
        <v>94.22</v>
      </c>
      <c r="AK62" s="52">
        <v>360</v>
      </c>
      <c r="AL62" s="16">
        <f t="shared" si="36"/>
        <v>1.8818609513852589E-2</v>
      </c>
      <c r="AM62" s="17">
        <f>IF(AND(AH62&lt;&gt;"", AK62&lt;&gt;""), SUM(AK$59:AK62), "")</f>
        <v>1286</v>
      </c>
      <c r="AN62" s="16">
        <f t="shared" si="37"/>
        <v>6.7224255096706736E-2</v>
      </c>
      <c r="AO62" s="14"/>
      <c r="AP62" s="19">
        <v>46</v>
      </c>
      <c r="AQ62" s="20">
        <v>70</v>
      </c>
      <c r="AR62" s="8"/>
      <c r="AS62" s="49">
        <v>69</v>
      </c>
      <c r="AT62" s="83">
        <f t="shared" ref="AT62:AT107" si="58">IF(AND(AS62&lt;&gt;"", AV62&lt;&gt;""), IF(AY61 &gt; $A$36, $B$37, IF(AY61 &gt; $A$35, $B$36, IF(AY61 &gt; $A$34, $B$35, IF(AY61 &gt; $A$33, $B$34, IF(AY61 &gt; $A$32, $B$33,IF(AY61 &gt; $A$31, $B$32, IF(AY61 &gt; $A$30, $B$31, IF(AY61 &gt; $A$29, $B$30, $B$29)))))))), "")</f>
        <v>2</v>
      </c>
      <c r="AU62" s="15">
        <f t="shared" si="51"/>
        <v>94.97</v>
      </c>
      <c r="AV62" s="52">
        <v>126</v>
      </c>
      <c r="AW62" s="16">
        <f t="shared" si="38"/>
        <v>8.81982360352793E-3</v>
      </c>
      <c r="AX62" s="17">
        <f>IF(AND(AS62&lt;&gt;"", AV62&lt;&gt;""), SUM(AV$59:AV62), "")</f>
        <v>782</v>
      </c>
      <c r="AY62" s="16">
        <f t="shared" si="39"/>
        <v>5.4738905221895562E-2</v>
      </c>
      <c r="AZ62" s="14"/>
      <c r="BA62" s="19">
        <v>46</v>
      </c>
      <c r="BB62" s="20">
        <v>71</v>
      </c>
      <c r="BC62" s="8"/>
      <c r="BD62" s="49">
        <v>70</v>
      </c>
      <c r="BE62" s="83">
        <f t="shared" ref="BE62:BE107" si="59">IF(AND(BD62&lt;&gt;"", BG62&lt;&gt;""), IF(BJ61 &gt; $A$36, $B$37, IF(BJ61 &gt; $A$35, $B$36, IF(BJ61 &gt; $A$34, $B$35, IF(BJ61 &gt; $A$33, $B$34, IF(BJ61 &gt; $A$32, $B$33,IF(BJ61 &gt; $A$31, $B$32, IF(BJ61 &gt; $A$30, $B$31, IF(BJ61 &gt; $A$29, $B$30, $B$29)))))))), "")</f>
        <v>2</v>
      </c>
      <c r="BF62" s="15">
        <f t="shared" si="52"/>
        <v>94.62</v>
      </c>
      <c r="BG62" s="52">
        <v>93</v>
      </c>
      <c r="BH62" s="16">
        <f t="shared" si="40"/>
        <v>7.9128733089423985E-3</v>
      </c>
      <c r="BI62" s="17">
        <f>IF(AND(BD62&lt;&gt;"", BG62&lt;&gt;""), SUM(BG$59:BG62), "")</f>
        <v>679</v>
      </c>
      <c r="BJ62" s="16">
        <f t="shared" si="41"/>
        <v>5.7772483621203095E-2</v>
      </c>
      <c r="BK62" s="14"/>
      <c r="BL62" s="27">
        <v>46</v>
      </c>
      <c r="BM62" s="20">
        <v>78</v>
      </c>
      <c r="BN62" s="8"/>
      <c r="BO62" s="49">
        <v>78</v>
      </c>
      <c r="BP62" s="83">
        <f t="shared" ref="BP62:BP107" si="60">IF(AND(BO62&lt;&gt;"", BR62&lt;&gt;""), IF(BU61 &gt; $A$36, $B$37, IF(BU61 &gt; $A$35, $B$36, IF(BU61 &gt; $A$34, $B$35, IF(BU61 &gt; $A$33, $B$34, IF(BU61 &gt; $A$32, $B$33,IF(BU61 &gt; $A$31, $B$32, IF(BU61 &gt; $A$30, $B$31, IF(BU61 &gt; $A$29, $B$30, $B$29)))))))), "")</f>
        <v>1</v>
      </c>
      <c r="BQ62" s="15">
        <f t="shared" si="53"/>
        <v>97.97</v>
      </c>
      <c r="BR62" s="52">
        <v>12</v>
      </c>
      <c r="BS62" s="16">
        <f t="shared" si="42"/>
        <v>3.1653917172250064E-3</v>
      </c>
      <c r="BT62" s="17">
        <f>IF(AND(BO62&lt;&gt;"", BR62&lt;&gt;""), SUM(BR$59:BR62), "")</f>
        <v>83</v>
      </c>
      <c r="BU62" s="16">
        <f t="shared" si="43"/>
        <v>2.1893959377472964E-2</v>
      </c>
      <c r="BV62" s="14"/>
      <c r="BW62" s="27">
        <v>46</v>
      </c>
      <c r="BX62" s="20">
        <v>77</v>
      </c>
      <c r="BY62" s="8"/>
      <c r="BZ62" s="49">
        <v>77</v>
      </c>
      <c r="CA62" s="83">
        <f t="shared" ref="CA62:CA107" si="61">IF(AND(BZ62&lt;&gt;"", CC62&lt;&gt;""), IF(CF61 &gt; $A$36, $B$37, IF(CF61 &gt; $A$35, $B$36, IF(CF61 &gt; $A$34, $B$35, IF(CF61 &gt; $A$33, $B$34, IF(CF61 &gt; $A$32, $B$33,IF(CF61 &gt; $A$31, $B$32, IF(CF61 &gt; $A$30, $B$31, IF(CF61 &gt; $A$29, $B$30, $B$29)))))))), "")</f>
        <v>1</v>
      </c>
      <c r="CB62" s="15">
        <f t="shared" si="54"/>
        <v>97.24</v>
      </c>
      <c r="CC62" s="52">
        <v>4</v>
      </c>
      <c r="CD62" s="16">
        <f t="shared" si="44"/>
        <v>9.4206311822892137E-4</v>
      </c>
      <c r="CE62" s="17">
        <f>IF(AND(BZ62&lt;&gt;"", CC62&lt;&gt;""), SUM(CC$59:CC62), "")</f>
        <v>119</v>
      </c>
      <c r="CF62" s="16">
        <f t="shared" si="45"/>
        <v>2.8026377767310411E-2</v>
      </c>
      <c r="CG62" s="14"/>
      <c r="CH62" s="27">
        <v>46</v>
      </c>
      <c r="CI62" s="20">
        <v>65</v>
      </c>
      <c r="CJ62" s="8"/>
      <c r="CK62" s="48">
        <v>65</v>
      </c>
      <c r="CL62" s="83">
        <f t="shared" ref="CL62:CL107" si="62">IF(AND(CK62&lt;&gt;"", CN62&lt;&gt;""), IF(CQ61 &gt; $A$36, $B$37, IF(CQ61 &gt; $A$35, $B$36, IF(CQ61 &gt; $A$34, $B$35, IF(CQ61 &gt; $A$33, $B$34, IF(CQ61 &gt; $A$32, $B$33,IF(CQ61 &gt; $A$31, $B$32, IF(CQ61 &gt; $A$30, $B$31, IF(CQ61 &gt; $A$29, $B$30, $B$29)))))))), "")</f>
        <v>2</v>
      </c>
      <c r="CM62" s="15">
        <f t="shared" si="55"/>
        <v>95.55</v>
      </c>
      <c r="CN62" s="52">
        <v>4</v>
      </c>
      <c r="CO62" s="16">
        <f t="shared" si="46"/>
        <v>6.8917987594762232E-4</v>
      </c>
      <c r="CP62" s="17">
        <f>IF(AND(CK62&lt;&gt;"", CN62&lt;&gt;""), SUM(CN$59:CN62), "")</f>
        <v>260</v>
      </c>
      <c r="CQ62" s="16">
        <f t="shared" si="47"/>
        <v>4.4796691936595454E-2</v>
      </c>
      <c r="CR62" s="14"/>
      <c r="CS62" s="27">
        <v>46</v>
      </c>
      <c r="CT62" s="20">
        <v>82</v>
      </c>
      <c r="CU62" s="8"/>
      <c r="CV62" s="49">
        <v>82</v>
      </c>
      <c r="CW62" s="83">
        <f t="shared" ref="CW62:CW107" si="63">IF(AND(CV62&lt;&gt;"", CY62&lt;&gt;""), IF(DB61 &gt; $A$36, $B$37, IF(DB61 &gt; $A$35, $B$36, IF(DB61 &gt; $A$34, $B$35, IF(DB61 &gt; $A$33, $B$34, IF(DB61 &gt; $A$32, $B$33,IF(DB61 &gt; $A$31, $B$32, IF(DB61 &gt; $A$30, $B$31, IF(DB61 &gt; $A$29, $B$30, $B$29)))))))), "")</f>
        <v>1</v>
      </c>
      <c r="CX62" s="15">
        <f t="shared" si="56"/>
        <v>97.1</v>
      </c>
      <c r="CY62" s="52">
        <v>3</v>
      </c>
      <c r="CZ62" s="16">
        <f t="shared" si="48"/>
        <v>5.7110222729868647E-4</v>
      </c>
      <c r="DA62" s="17">
        <f>IF(AND(CV62&lt;&gt;"", CY62&lt;&gt;""), SUM(CY$59:CY62), "")</f>
        <v>154</v>
      </c>
      <c r="DB62" s="16">
        <f t="shared" si="49"/>
        <v>2.9316581001332571E-2</v>
      </c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</row>
    <row r="63" spans="5:180" ht="16" customHeight="1" thickBot="1" x14ac:dyDescent="0.25">
      <c r="E63" s="1"/>
      <c r="F63" s="117" t="s">
        <v>7</v>
      </c>
      <c r="G63" s="118"/>
      <c r="H63" s="36"/>
      <c r="I63" s="117" t="s">
        <v>29</v>
      </c>
      <c r="J63" s="118"/>
      <c r="K63" s="36"/>
      <c r="L63" s="36"/>
      <c r="M63" s="36"/>
      <c r="N63"/>
      <c r="O63" s="38">
        <v>75</v>
      </c>
      <c r="P63" s="83">
        <f t="shared" si="27"/>
        <v>7</v>
      </c>
      <c r="Q63" s="15">
        <f t="shared" si="18"/>
        <v>14.99</v>
      </c>
      <c r="R63" s="43">
        <v>2737</v>
      </c>
      <c r="S63" s="16">
        <f t="shared" si="0"/>
        <v>9.5382470813730608E-3</v>
      </c>
      <c r="T63" s="17">
        <f>IF(AND(O63&lt;&gt;"", R63&lt;&gt;""), SUM(R$4:R63), "")</f>
        <v>245319</v>
      </c>
      <c r="U63" s="16">
        <f t="shared" si="1"/>
        <v>0.85491897543125983</v>
      </c>
      <c r="W63" s="38">
        <v>101</v>
      </c>
      <c r="X63" s="83">
        <f t="shared" si="28"/>
        <v>5</v>
      </c>
      <c r="Y63" s="15">
        <f t="shared" si="19"/>
        <v>57.06</v>
      </c>
      <c r="Z63" s="43">
        <v>3364</v>
      </c>
      <c r="AA63" s="16">
        <f t="shared" si="2"/>
        <v>1.1762278889087025E-2</v>
      </c>
      <c r="AB63" s="17">
        <f>IF(AND(W63&lt;&gt;"", Z63&lt;&gt;""), SUM(Z$4:Z63), "")</f>
        <v>124504</v>
      </c>
      <c r="AC63" s="16">
        <f t="shared" si="3"/>
        <v>0.43533019346221491</v>
      </c>
      <c r="AD63" s="1"/>
      <c r="AE63" s="19">
        <v>45</v>
      </c>
      <c r="AF63" s="20">
        <v>68</v>
      </c>
      <c r="AG63" s="8"/>
      <c r="AH63" s="49">
        <v>67</v>
      </c>
      <c r="AI63" s="83">
        <f t="shared" si="57"/>
        <v>2</v>
      </c>
      <c r="AJ63" s="15">
        <f t="shared" si="50"/>
        <v>92.49</v>
      </c>
      <c r="AK63" s="52">
        <v>302</v>
      </c>
      <c r="AL63" s="16">
        <f t="shared" si="36"/>
        <v>1.5786722425509672E-2</v>
      </c>
      <c r="AM63" s="17">
        <f>IF(AND(AH63&lt;&gt;"", AK63&lt;&gt;""), SUM(AK$59:AK63), "")</f>
        <v>1588</v>
      </c>
      <c r="AN63" s="16">
        <f t="shared" si="37"/>
        <v>8.3010977522216409E-2</v>
      </c>
      <c r="AO63" s="14"/>
      <c r="AP63" s="19">
        <v>45</v>
      </c>
      <c r="AQ63" s="20">
        <v>69</v>
      </c>
      <c r="AR63" s="8"/>
      <c r="AS63" s="49">
        <v>68</v>
      </c>
      <c r="AT63" s="83">
        <f t="shared" si="58"/>
        <v>2</v>
      </c>
      <c r="AU63" s="15">
        <f t="shared" si="51"/>
        <v>93.47</v>
      </c>
      <c r="AV63" s="52">
        <v>302</v>
      </c>
      <c r="AW63" s="16">
        <f t="shared" si="38"/>
        <v>2.1139577208455832E-2</v>
      </c>
      <c r="AX63" s="17">
        <f>IF(AND(AS63&lt;&gt;"", AV63&lt;&gt;""), SUM(AV$59:AV63), "")</f>
        <v>1084</v>
      </c>
      <c r="AY63" s="16">
        <f t="shared" si="39"/>
        <v>7.5878482430351391E-2</v>
      </c>
      <c r="AZ63" s="14"/>
      <c r="BA63" s="19">
        <v>45</v>
      </c>
      <c r="BB63" s="20">
        <v>70</v>
      </c>
      <c r="BC63" s="8"/>
      <c r="BD63" s="49">
        <v>69</v>
      </c>
      <c r="BE63" s="83">
        <f t="shared" si="59"/>
        <v>2</v>
      </c>
      <c r="BF63" s="15">
        <f t="shared" si="52"/>
        <v>93.4</v>
      </c>
      <c r="BG63" s="52">
        <v>194</v>
      </c>
      <c r="BH63" s="16">
        <f t="shared" si="40"/>
        <v>1.6506423891772315E-2</v>
      </c>
      <c r="BI63" s="17">
        <f>IF(AND(BD63&lt;&gt;"", BG63&lt;&gt;""), SUM(BG$59:BG63), "")</f>
        <v>873</v>
      </c>
      <c r="BJ63" s="16">
        <f t="shared" si="41"/>
        <v>7.4278907512975417E-2</v>
      </c>
      <c r="BK63" s="14"/>
      <c r="BL63" s="27">
        <v>45</v>
      </c>
      <c r="BM63" s="20">
        <v>78</v>
      </c>
      <c r="BN63" s="8"/>
      <c r="BO63" s="49">
        <v>77</v>
      </c>
      <c r="BP63" s="83">
        <f t="shared" si="60"/>
        <v>1</v>
      </c>
      <c r="BQ63" s="15">
        <f t="shared" si="53"/>
        <v>97.35</v>
      </c>
      <c r="BR63" s="52">
        <v>35</v>
      </c>
      <c r="BS63" s="16">
        <f t="shared" si="42"/>
        <v>9.2323925085729362E-3</v>
      </c>
      <c r="BT63" s="17">
        <f>IF(AND(BO63&lt;&gt;"", BR63&lt;&gt;""), SUM(BR$59:BR63), "")</f>
        <v>118</v>
      </c>
      <c r="BU63" s="16">
        <f t="shared" si="43"/>
        <v>3.11263518860459E-2</v>
      </c>
      <c r="BV63" s="14"/>
      <c r="BW63" s="27">
        <v>45</v>
      </c>
      <c r="BX63" s="20">
        <v>76</v>
      </c>
      <c r="BY63" s="8"/>
      <c r="BZ63" s="49">
        <v>76</v>
      </c>
      <c r="CA63" s="83">
        <f t="shared" si="61"/>
        <v>1</v>
      </c>
      <c r="CB63" s="15">
        <f t="shared" si="54"/>
        <v>96.69</v>
      </c>
      <c r="CC63" s="52">
        <v>43</v>
      </c>
      <c r="CD63" s="16">
        <f t="shared" si="44"/>
        <v>1.0127178520960905E-2</v>
      </c>
      <c r="CE63" s="17">
        <f>IF(AND(BZ63&lt;&gt;"", CC63&lt;&gt;""), SUM(CC$59:CC63), "")</f>
        <v>162</v>
      </c>
      <c r="CF63" s="16">
        <f t="shared" si="45"/>
        <v>3.8153556288271315E-2</v>
      </c>
      <c r="CG63" s="14"/>
      <c r="CH63" s="27">
        <v>45</v>
      </c>
      <c r="CI63" s="20">
        <v>64</v>
      </c>
      <c r="CJ63" s="8"/>
      <c r="CK63" s="49">
        <v>64</v>
      </c>
      <c r="CL63" s="83">
        <f t="shared" si="62"/>
        <v>2</v>
      </c>
      <c r="CM63" s="15">
        <f t="shared" si="55"/>
        <v>94.59</v>
      </c>
      <c r="CN63" s="52">
        <v>108</v>
      </c>
      <c r="CO63" s="16">
        <f t="shared" si="46"/>
        <v>1.8607856650585803E-2</v>
      </c>
      <c r="CP63" s="17">
        <f>IF(AND(CK63&lt;&gt;"", CN63&lt;&gt;""), SUM(CN$59:CN63), "")</f>
        <v>368</v>
      </c>
      <c r="CQ63" s="16">
        <f t="shared" si="47"/>
        <v>6.3404548587181253E-2</v>
      </c>
      <c r="CR63" s="14"/>
      <c r="CS63" s="27">
        <v>45</v>
      </c>
      <c r="CT63" s="20">
        <v>81</v>
      </c>
      <c r="CU63" s="8"/>
      <c r="CV63" s="49">
        <v>81</v>
      </c>
      <c r="CW63" s="83">
        <f t="shared" si="63"/>
        <v>1</v>
      </c>
      <c r="CX63" s="15">
        <f t="shared" si="56"/>
        <v>96.8</v>
      </c>
      <c r="CY63" s="52">
        <v>28</v>
      </c>
      <c r="CZ63" s="16">
        <f t="shared" si="48"/>
        <v>5.33028745478774E-3</v>
      </c>
      <c r="DA63" s="17">
        <f>IF(AND(CV63&lt;&gt;"", CY63&lt;&gt;""), SUM(CY$59:CY63), "")</f>
        <v>182</v>
      </c>
      <c r="DB63" s="16">
        <f t="shared" si="49"/>
        <v>3.4646868456120312E-2</v>
      </c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</row>
    <row r="64" spans="5:180" ht="16" customHeight="1" x14ac:dyDescent="0.2">
      <c r="E64" s="1"/>
      <c r="F64" s="30" t="s">
        <v>30</v>
      </c>
      <c r="G64" s="30" t="s">
        <v>14</v>
      </c>
      <c r="H64" s="36"/>
      <c r="I64" s="30" t="s">
        <v>30</v>
      </c>
      <c r="J64" s="30" t="s">
        <v>14</v>
      </c>
      <c r="K64" s="36"/>
      <c r="L64" s="36"/>
      <c r="M64" s="36"/>
      <c r="N64"/>
      <c r="O64" s="38">
        <v>74</v>
      </c>
      <c r="P64" s="83">
        <f t="shared" si="27"/>
        <v>7</v>
      </c>
      <c r="Q64" s="15">
        <f t="shared" si="18"/>
        <v>13.96</v>
      </c>
      <c r="R64" s="43">
        <v>3171</v>
      </c>
      <c r="S64" s="16">
        <f t="shared" si="0"/>
        <v>1.105070569785677E-2</v>
      </c>
      <c r="T64" s="17">
        <f>IF(AND(O64&lt;&gt;"", R64&lt;&gt;""), SUM(R$4:R64), "")</f>
        <v>248490</v>
      </c>
      <c r="U64" s="16">
        <f t="shared" si="1"/>
        <v>0.86596968112911654</v>
      </c>
      <c r="W64" s="38">
        <v>100</v>
      </c>
      <c r="X64" s="83">
        <f t="shared" si="28"/>
        <v>5</v>
      </c>
      <c r="Y64" s="15">
        <f t="shared" si="19"/>
        <v>55.81</v>
      </c>
      <c r="Z64" s="43">
        <v>3747</v>
      </c>
      <c r="AA64" s="16">
        <f t="shared" si="2"/>
        <v>1.3101444410644793E-2</v>
      </c>
      <c r="AB64" s="17">
        <f>IF(AND(W64&lt;&gt;"", Z64&lt;&gt;""), SUM(Z$4:Z64), "")</f>
        <v>128251</v>
      </c>
      <c r="AC64" s="16">
        <f t="shared" si="3"/>
        <v>0.44843163787285972</v>
      </c>
      <c r="AD64" s="1"/>
      <c r="AE64" s="19">
        <v>44</v>
      </c>
      <c r="AF64" s="20">
        <v>67</v>
      </c>
      <c r="AG64" s="8"/>
      <c r="AH64" s="49">
        <v>66</v>
      </c>
      <c r="AI64" s="83">
        <f t="shared" si="57"/>
        <v>2</v>
      </c>
      <c r="AJ64" s="15">
        <f t="shared" si="50"/>
        <v>91.26</v>
      </c>
      <c r="AK64" s="52">
        <v>169</v>
      </c>
      <c r="AL64" s="16">
        <f t="shared" si="36"/>
        <v>8.834291688447465E-3</v>
      </c>
      <c r="AM64" s="17">
        <f>IF(AND(AH64&lt;&gt;"", AK64&lt;&gt;""), SUM(AK$59:AK64), "")</f>
        <v>1757</v>
      </c>
      <c r="AN64" s="16">
        <f t="shared" si="37"/>
        <v>9.1845269210663882E-2</v>
      </c>
      <c r="AO64" s="14"/>
      <c r="AP64" s="19">
        <v>44</v>
      </c>
      <c r="AQ64" s="20">
        <v>68</v>
      </c>
      <c r="AR64" s="8"/>
      <c r="AS64" s="49">
        <v>67</v>
      </c>
      <c r="AT64" s="83">
        <f t="shared" si="58"/>
        <v>2</v>
      </c>
      <c r="AU64" s="15">
        <f t="shared" si="51"/>
        <v>92.3</v>
      </c>
      <c r="AV64" s="52">
        <v>32</v>
      </c>
      <c r="AW64" s="16">
        <f t="shared" si="38"/>
        <v>2.2399552008959822E-3</v>
      </c>
      <c r="AX64" s="17">
        <f>IF(AND(AS64&lt;&gt;"", AV64&lt;&gt;""), SUM(AV$59:AV64), "")</f>
        <v>1116</v>
      </c>
      <c r="AY64" s="16">
        <f t="shared" si="39"/>
        <v>7.8118437631247373E-2</v>
      </c>
      <c r="AZ64" s="14"/>
      <c r="BA64" s="19">
        <v>44</v>
      </c>
      <c r="BB64" s="20">
        <v>69</v>
      </c>
      <c r="BC64" s="8"/>
      <c r="BD64" s="49">
        <v>68</v>
      </c>
      <c r="BE64" s="83">
        <f t="shared" si="59"/>
        <v>2</v>
      </c>
      <c r="BF64" s="15">
        <f t="shared" si="52"/>
        <v>91.84</v>
      </c>
      <c r="BG64" s="52">
        <v>172</v>
      </c>
      <c r="BH64" s="16">
        <f t="shared" si="40"/>
        <v>1.4634561388581638E-2</v>
      </c>
      <c r="BI64" s="17">
        <f>IF(AND(BD64&lt;&gt;"", BG64&lt;&gt;""), SUM(BG$59:BG64), "")</f>
        <v>1045</v>
      </c>
      <c r="BJ64" s="16">
        <f t="shared" si="41"/>
        <v>8.8913468901557047E-2</v>
      </c>
      <c r="BK64" s="14"/>
      <c r="BL64" s="27">
        <v>44</v>
      </c>
      <c r="BM64" s="20">
        <v>77</v>
      </c>
      <c r="BN64" s="8"/>
      <c r="BO64" s="49">
        <v>76</v>
      </c>
      <c r="BP64" s="83">
        <f t="shared" si="60"/>
        <v>1</v>
      </c>
      <c r="BQ64" s="15">
        <f t="shared" si="53"/>
        <v>96.83</v>
      </c>
      <c r="BR64" s="52">
        <v>4</v>
      </c>
      <c r="BS64" s="16">
        <f t="shared" si="42"/>
        <v>1.0551305724083356E-3</v>
      </c>
      <c r="BT64" s="17">
        <f>IF(AND(BO64&lt;&gt;"", BR64&lt;&gt;""), SUM(BR$59:BR64), "")</f>
        <v>122</v>
      </c>
      <c r="BU64" s="16">
        <f t="shared" si="43"/>
        <v>3.218148245845423E-2</v>
      </c>
      <c r="BV64" s="14"/>
      <c r="BW64" s="27">
        <v>44</v>
      </c>
      <c r="BX64" s="20">
        <v>75</v>
      </c>
      <c r="BY64" s="8"/>
      <c r="BZ64" s="49">
        <v>75</v>
      </c>
      <c r="CA64" s="83">
        <f t="shared" si="61"/>
        <v>1</v>
      </c>
      <c r="CB64" s="15">
        <f t="shared" si="54"/>
        <v>95.75</v>
      </c>
      <c r="CC64" s="52">
        <v>37</v>
      </c>
      <c r="CD64" s="16">
        <f t="shared" si="44"/>
        <v>8.7140838436175223E-3</v>
      </c>
      <c r="CE64" s="17">
        <f>IF(AND(BZ64&lt;&gt;"", CC64&lt;&gt;""), SUM(CC$59:CC64), "")</f>
        <v>199</v>
      </c>
      <c r="CF64" s="16">
        <f t="shared" si="45"/>
        <v>4.6867640131888835E-2</v>
      </c>
      <c r="CG64" s="14"/>
      <c r="CH64" s="27">
        <v>44</v>
      </c>
      <c r="CI64" s="20">
        <v>63</v>
      </c>
      <c r="CJ64" s="8"/>
      <c r="CK64" s="49">
        <v>63</v>
      </c>
      <c r="CL64" s="83">
        <f t="shared" si="62"/>
        <v>2</v>
      </c>
      <c r="CM64" s="15">
        <f t="shared" si="55"/>
        <v>93.46</v>
      </c>
      <c r="CN64" s="52">
        <v>23</v>
      </c>
      <c r="CO64" s="16">
        <f t="shared" si="46"/>
        <v>3.9627842866988283E-3</v>
      </c>
      <c r="CP64" s="17">
        <f>IF(AND(CK64&lt;&gt;"", CN64&lt;&gt;""), SUM(CN$59:CN64), "")</f>
        <v>391</v>
      </c>
      <c r="CQ64" s="16">
        <f t="shared" si="47"/>
        <v>6.7367332873880081E-2</v>
      </c>
      <c r="CR64" s="14"/>
      <c r="CS64" s="27">
        <v>44</v>
      </c>
      <c r="CT64" s="20">
        <v>80</v>
      </c>
      <c r="CU64" s="8"/>
      <c r="CV64" s="49">
        <v>80</v>
      </c>
      <c r="CW64" s="83">
        <f t="shared" si="63"/>
        <v>1</v>
      </c>
      <c r="CX64" s="15">
        <f t="shared" si="56"/>
        <v>96.31</v>
      </c>
      <c r="CY64" s="52">
        <v>24</v>
      </c>
      <c r="CZ64" s="16">
        <f t="shared" si="48"/>
        <v>4.5688178183894918E-3</v>
      </c>
      <c r="DA64" s="17">
        <f>IF(AND(CV64&lt;&gt;"", CY64&lt;&gt;""), SUM(CY$59:CY64), "")</f>
        <v>206</v>
      </c>
      <c r="DB64" s="16">
        <f t="shared" si="49"/>
        <v>3.9215686274509803E-2</v>
      </c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</row>
    <row r="65" spans="5:180" ht="16" customHeight="1" x14ac:dyDescent="0.2">
      <c r="E65" s="1"/>
      <c r="F65" s="86"/>
      <c r="G65" s="85">
        <v>1</v>
      </c>
      <c r="H65" s="36"/>
      <c r="I65" s="86"/>
      <c r="J65" s="85">
        <v>1</v>
      </c>
      <c r="K65" s="70"/>
      <c r="L65" s="70"/>
      <c r="M65" s="70"/>
      <c r="N65"/>
      <c r="O65" s="38">
        <v>73</v>
      </c>
      <c r="P65" s="83">
        <f t="shared" si="27"/>
        <v>7</v>
      </c>
      <c r="Q65" s="15">
        <f t="shared" si="18"/>
        <v>12.92</v>
      </c>
      <c r="R65" s="43">
        <v>2753</v>
      </c>
      <c r="S65" s="16">
        <f t="shared" si="0"/>
        <v>9.5940059243770689E-3</v>
      </c>
      <c r="T65" s="17">
        <f>IF(AND(O65&lt;&gt;"", R65&lt;&gt;""), SUM(R$4:R65), "")</f>
        <v>251243</v>
      </c>
      <c r="U65" s="16">
        <f t="shared" si="1"/>
        <v>0.87556368705349363</v>
      </c>
      <c r="W65" s="38">
        <v>99</v>
      </c>
      <c r="X65" s="83">
        <f t="shared" si="28"/>
        <v>5</v>
      </c>
      <c r="Y65" s="15">
        <f t="shared" si="19"/>
        <v>54.53</v>
      </c>
      <c r="Z65" s="43">
        <v>3557</v>
      </c>
      <c r="AA65" s="16">
        <f t="shared" si="2"/>
        <v>1.2437106423449033E-2</v>
      </c>
      <c r="AB65" s="17">
        <f>IF(AND(W65&lt;&gt;"", Z65&lt;&gt;""), SUM(Z$4:Z65), "")</f>
        <v>131808</v>
      </c>
      <c r="AC65" s="16">
        <f t="shared" si="3"/>
        <v>0.46086874429630875</v>
      </c>
      <c r="AD65" s="1"/>
      <c r="AE65" s="19">
        <v>43</v>
      </c>
      <c r="AF65" s="20">
        <v>66</v>
      </c>
      <c r="AG65" s="8"/>
      <c r="AH65" s="49">
        <v>65</v>
      </c>
      <c r="AI65" s="83">
        <f t="shared" si="57"/>
        <v>2</v>
      </c>
      <c r="AJ65" s="15">
        <f t="shared" si="50"/>
        <v>89.93</v>
      </c>
      <c r="AK65" s="52">
        <v>338</v>
      </c>
      <c r="AL65" s="16">
        <f t="shared" si="36"/>
        <v>1.766858337689493E-2</v>
      </c>
      <c r="AM65" s="17">
        <f>IF(AND(AH65&lt;&gt;"", AK65&lt;&gt;""), SUM(AK$59:AK65), "")</f>
        <v>2095</v>
      </c>
      <c r="AN65" s="16">
        <f t="shared" si="37"/>
        <v>0.1095138525875588</v>
      </c>
      <c r="AO65" s="14"/>
      <c r="AP65" s="19">
        <v>43</v>
      </c>
      <c r="AQ65" s="20">
        <v>67</v>
      </c>
      <c r="AR65" s="8"/>
      <c r="AS65" s="49">
        <v>66</v>
      </c>
      <c r="AT65" s="83">
        <f t="shared" si="58"/>
        <v>2</v>
      </c>
      <c r="AU65" s="15">
        <f t="shared" si="51"/>
        <v>91.58</v>
      </c>
      <c r="AV65" s="52">
        <v>173</v>
      </c>
      <c r="AW65" s="16">
        <f t="shared" si="38"/>
        <v>1.2109757804843904E-2</v>
      </c>
      <c r="AX65" s="17">
        <f>IF(AND(AS65&lt;&gt;"", AV65&lt;&gt;""), SUM(AV$59:AV65), "")</f>
        <v>1289</v>
      </c>
      <c r="AY65" s="16">
        <f t="shared" si="39"/>
        <v>9.0228195436091271E-2</v>
      </c>
      <c r="AZ65" s="14"/>
      <c r="BA65" s="19">
        <v>43</v>
      </c>
      <c r="BB65" s="20">
        <v>68</v>
      </c>
      <c r="BC65" s="8"/>
      <c r="BD65" s="49">
        <v>67</v>
      </c>
      <c r="BE65" s="83">
        <f t="shared" si="59"/>
        <v>2</v>
      </c>
      <c r="BF65" s="15">
        <f t="shared" si="52"/>
        <v>90.5</v>
      </c>
      <c r="BG65" s="52">
        <v>143</v>
      </c>
      <c r="BH65" s="16">
        <f t="shared" si="40"/>
        <v>1.2167106270739386E-2</v>
      </c>
      <c r="BI65" s="17">
        <f>IF(AND(BD65&lt;&gt;"", BG65&lt;&gt;""), SUM(BG$59:BG65), "")</f>
        <v>1188</v>
      </c>
      <c r="BJ65" s="16">
        <f t="shared" si="41"/>
        <v>0.10108057517229643</v>
      </c>
      <c r="BK65" s="14"/>
      <c r="BL65" s="27">
        <v>43</v>
      </c>
      <c r="BM65" s="20">
        <v>76</v>
      </c>
      <c r="BN65" s="8"/>
      <c r="BO65" s="49">
        <v>75</v>
      </c>
      <c r="BP65" s="83">
        <f t="shared" si="60"/>
        <v>1</v>
      </c>
      <c r="BQ65" s="15">
        <f t="shared" si="53"/>
        <v>96.37</v>
      </c>
      <c r="BR65" s="52">
        <v>31</v>
      </c>
      <c r="BS65" s="16">
        <f t="shared" si="42"/>
        <v>8.1772619361646006E-3</v>
      </c>
      <c r="BT65" s="17">
        <f>IF(AND(BO65&lt;&gt;"", BR65&lt;&gt;""), SUM(BR$59:BR65), "")</f>
        <v>153</v>
      </c>
      <c r="BU65" s="16">
        <f t="shared" si="43"/>
        <v>4.0358744394618833E-2</v>
      </c>
      <c r="BV65" s="14"/>
      <c r="BW65" s="27">
        <v>43</v>
      </c>
      <c r="BX65" s="20">
        <v>75</v>
      </c>
      <c r="BY65" s="8"/>
      <c r="BZ65" s="49">
        <v>74</v>
      </c>
      <c r="CA65" s="83">
        <f t="shared" si="61"/>
        <v>2</v>
      </c>
      <c r="CB65" s="15">
        <f t="shared" si="54"/>
        <v>94.8</v>
      </c>
      <c r="CC65" s="52">
        <v>44</v>
      </c>
      <c r="CD65" s="16">
        <f t="shared" si="44"/>
        <v>1.0362694300518135E-2</v>
      </c>
      <c r="CE65" s="17">
        <f>IF(AND(BZ65&lt;&gt;"", CC65&lt;&gt;""), SUM(CC$59:CC65), "")</f>
        <v>243</v>
      </c>
      <c r="CF65" s="16">
        <f t="shared" si="45"/>
        <v>5.7230334432406972E-2</v>
      </c>
      <c r="CG65" s="14"/>
      <c r="CH65" s="27">
        <v>43</v>
      </c>
      <c r="CI65" s="20">
        <v>62</v>
      </c>
      <c r="CJ65" s="8"/>
      <c r="CK65" s="49">
        <v>62</v>
      </c>
      <c r="CL65" s="83">
        <f t="shared" si="62"/>
        <v>2</v>
      </c>
      <c r="CM65" s="15">
        <f t="shared" si="55"/>
        <v>93.26</v>
      </c>
      <c r="CN65" s="52">
        <v>0</v>
      </c>
      <c r="CO65" s="16">
        <f t="shared" si="46"/>
        <v>0</v>
      </c>
      <c r="CP65" s="17">
        <f>IF(AND(CK65&lt;&gt;"", CN65&lt;&gt;""), SUM(CN$59:CN65), "")</f>
        <v>391</v>
      </c>
      <c r="CQ65" s="16">
        <f t="shared" si="47"/>
        <v>6.7367332873880081E-2</v>
      </c>
      <c r="CR65" s="14"/>
      <c r="CS65" s="27">
        <v>43</v>
      </c>
      <c r="CT65" s="20">
        <v>79</v>
      </c>
      <c r="CU65" s="8"/>
      <c r="CV65" s="49">
        <v>79</v>
      </c>
      <c r="CW65" s="83">
        <f t="shared" si="63"/>
        <v>1</v>
      </c>
      <c r="CX65" s="15">
        <f t="shared" si="56"/>
        <v>95.9</v>
      </c>
      <c r="CY65" s="52">
        <v>19</v>
      </c>
      <c r="CZ65" s="16">
        <f t="shared" si="48"/>
        <v>3.6169807728916809E-3</v>
      </c>
      <c r="DA65" s="17">
        <f>IF(AND(CV65&lt;&gt;"", CY65&lt;&gt;""), SUM(CY$59:CY65), "")</f>
        <v>225</v>
      </c>
      <c r="DB65" s="16">
        <f t="shared" si="49"/>
        <v>4.2832667047401483E-2</v>
      </c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</row>
    <row r="66" spans="5:180" ht="16" customHeight="1" x14ac:dyDescent="0.2">
      <c r="E66" s="1"/>
      <c r="F66" s="86"/>
      <c r="G66" s="85">
        <v>2</v>
      </c>
      <c r="H66" s="36"/>
      <c r="I66" s="86"/>
      <c r="J66" s="85">
        <v>2</v>
      </c>
      <c r="K66" s="70"/>
      <c r="L66" s="70"/>
      <c r="M66" s="70"/>
      <c r="N66"/>
      <c r="O66" s="38">
        <v>72</v>
      </c>
      <c r="P66" s="83">
        <f t="shared" si="27"/>
        <v>7</v>
      </c>
      <c r="Q66" s="15">
        <f t="shared" si="18"/>
        <v>11.96</v>
      </c>
      <c r="R66" s="43">
        <v>2789</v>
      </c>
      <c r="S66" s="16">
        <f t="shared" si="0"/>
        <v>9.7194633211360858E-3</v>
      </c>
      <c r="T66" s="17">
        <f>IF(AND(O66&lt;&gt;"", R66&lt;&gt;""), SUM(R$4:R66), "")</f>
        <v>254032</v>
      </c>
      <c r="U66" s="16">
        <f t="shared" si="1"/>
        <v>0.88528315037462968</v>
      </c>
      <c r="W66" s="38">
        <v>98</v>
      </c>
      <c r="X66" s="83">
        <f t="shared" si="28"/>
        <v>5</v>
      </c>
      <c r="Y66" s="15">
        <f t="shared" si="19"/>
        <v>53.3</v>
      </c>
      <c r="Z66" s="43">
        <v>3512</v>
      </c>
      <c r="AA66" s="16">
        <f t="shared" si="2"/>
        <v>1.2279763215955301E-2</v>
      </c>
      <c r="AB66" s="17">
        <f>IF(AND(W66&lt;&gt;"", Z66&lt;&gt;""), SUM(Z$4:Z66), "")</f>
        <v>135320</v>
      </c>
      <c r="AC66" s="16">
        <f t="shared" si="3"/>
        <v>0.473148507512264</v>
      </c>
      <c r="AD66" s="1"/>
      <c r="AE66" s="19">
        <v>42</v>
      </c>
      <c r="AF66" s="20">
        <v>65</v>
      </c>
      <c r="AG66" s="8"/>
      <c r="AH66" s="49">
        <v>64</v>
      </c>
      <c r="AI66" s="83">
        <f t="shared" si="57"/>
        <v>2</v>
      </c>
      <c r="AJ66" s="15">
        <f t="shared" si="50"/>
        <v>88.44</v>
      </c>
      <c r="AK66" s="52">
        <v>234</v>
      </c>
      <c r="AL66" s="16">
        <f t="shared" si="36"/>
        <v>1.2232096184004181E-2</v>
      </c>
      <c r="AM66" s="17">
        <f>IF(AND(AH66&lt;&gt;"", AK66&lt;&gt;""), SUM(AK$59:AK66), "")</f>
        <v>2329</v>
      </c>
      <c r="AN66" s="16">
        <f t="shared" si="37"/>
        <v>0.12174594877156299</v>
      </c>
      <c r="AO66" s="14"/>
      <c r="AP66" s="19">
        <v>42</v>
      </c>
      <c r="AQ66" s="20">
        <v>66</v>
      </c>
      <c r="AR66" s="8"/>
      <c r="AS66" s="49">
        <v>65</v>
      </c>
      <c r="AT66" s="83">
        <f t="shared" si="58"/>
        <v>2</v>
      </c>
      <c r="AU66" s="15">
        <f t="shared" si="51"/>
        <v>89.79</v>
      </c>
      <c r="AV66" s="52">
        <v>340</v>
      </c>
      <c r="AW66" s="16">
        <f t="shared" si="38"/>
        <v>2.3799524009519811E-2</v>
      </c>
      <c r="AX66" s="17">
        <f>IF(AND(AS66&lt;&gt;"", AV66&lt;&gt;""), SUM(AV$59:AV66), "")</f>
        <v>1629</v>
      </c>
      <c r="AY66" s="16">
        <f t="shared" si="39"/>
        <v>0.11402771944561109</v>
      </c>
      <c r="AZ66" s="14"/>
      <c r="BA66" s="19">
        <v>42</v>
      </c>
      <c r="BB66" s="20">
        <v>68</v>
      </c>
      <c r="BC66" s="8"/>
      <c r="BD66" s="49">
        <v>66</v>
      </c>
      <c r="BE66" s="83">
        <f t="shared" si="59"/>
        <v>2</v>
      </c>
      <c r="BF66" s="15">
        <f t="shared" si="52"/>
        <v>89.72</v>
      </c>
      <c r="BG66" s="52">
        <v>41</v>
      </c>
      <c r="BH66" s="16">
        <f t="shared" si="40"/>
        <v>3.4884710286735301E-3</v>
      </c>
      <c r="BI66" s="17">
        <f>IF(AND(BD66&lt;&gt;"", BG66&lt;&gt;""), SUM(BG$59:BG66), "")</f>
        <v>1229</v>
      </c>
      <c r="BJ66" s="16">
        <f t="shared" si="41"/>
        <v>0.10456904620096996</v>
      </c>
      <c r="BK66" s="14"/>
      <c r="BL66" s="27">
        <v>42</v>
      </c>
      <c r="BM66" s="20">
        <v>75</v>
      </c>
      <c r="BN66" s="8"/>
      <c r="BO66" s="49">
        <v>74</v>
      </c>
      <c r="BP66" s="83">
        <f t="shared" si="60"/>
        <v>2</v>
      </c>
      <c r="BQ66" s="15">
        <f t="shared" si="53"/>
        <v>95.5</v>
      </c>
      <c r="BR66" s="52">
        <v>35</v>
      </c>
      <c r="BS66" s="16">
        <f t="shared" si="42"/>
        <v>9.2323925085729362E-3</v>
      </c>
      <c r="BT66" s="17">
        <f>IF(AND(BO66&lt;&gt;"", BR66&lt;&gt;""), SUM(BR$59:BR66), "")</f>
        <v>188</v>
      </c>
      <c r="BU66" s="16">
        <f t="shared" si="43"/>
        <v>4.9591136903191772E-2</v>
      </c>
      <c r="BV66" s="14"/>
      <c r="BW66" s="27">
        <v>42</v>
      </c>
      <c r="BX66" s="20">
        <v>74</v>
      </c>
      <c r="BY66" s="8"/>
      <c r="BZ66" s="49">
        <v>73</v>
      </c>
      <c r="CA66" s="83">
        <f t="shared" si="61"/>
        <v>2</v>
      </c>
      <c r="CB66" s="15">
        <f t="shared" si="54"/>
        <v>94.1</v>
      </c>
      <c r="CC66" s="52">
        <v>15</v>
      </c>
      <c r="CD66" s="16">
        <f t="shared" si="44"/>
        <v>3.5327366933584551E-3</v>
      </c>
      <c r="CE66" s="17">
        <f>IF(AND(BZ66&lt;&gt;"", CC66&lt;&gt;""), SUM(CC$59:CC66), "")</f>
        <v>258</v>
      </c>
      <c r="CF66" s="16">
        <f t="shared" si="45"/>
        <v>6.0763071125765428E-2</v>
      </c>
      <c r="CG66" s="14"/>
      <c r="CH66" s="27">
        <v>42</v>
      </c>
      <c r="CI66" s="20">
        <v>62</v>
      </c>
      <c r="CJ66" s="8"/>
      <c r="CK66" s="49">
        <v>61</v>
      </c>
      <c r="CL66" s="83">
        <f t="shared" si="62"/>
        <v>2</v>
      </c>
      <c r="CM66" s="15">
        <f t="shared" si="55"/>
        <v>90.94</v>
      </c>
      <c r="CN66" s="52">
        <v>270</v>
      </c>
      <c r="CO66" s="16">
        <f t="shared" si="46"/>
        <v>4.6519641626464506E-2</v>
      </c>
      <c r="CP66" s="17">
        <f>IF(AND(CK66&lt;&gt;"", CN66&lt;&gt;""), SUM(CN$59:CN66), "")</f>
        <v>661</v>
      </c>
      <c r="CQ66" s="16">
        <f t="shared" si="47"/>
        <v>0.11388697450034459</v>
      </c>
      <c r="CR66" s="14"/>
      <c r="CS66" s="27">
        <v>42</v>
      </c>
      <c r="CT66" s="20">
        <v>78</v>
      </c>
      <c r="CU66" s="8"/>
      <c r="CV66" s="49">
        <v>78</v>
      </c>
      <c r="CW66" s="83">
        <f t="shared" si="63"/>
        <v>2</v>
      </c>
      <c r="CX66" s="15">
        <f t="shared" si="56"/>
        <v>95.46</v>
      </c>
      <c r="CY66" s="52">
        <v>27</v>
      </c>
      <c r="CZ66" s="16">
        <f t="shared" si="48"/>
        <v>5.1399200456881781E-3</v>
      </c>
      <c r="DA66" s="17">
        <f>IF(AND(CV66&lt;&gt;"", CY66&lt;&gt;""), SUM(CY$59:CY66), "")</f>
        <v>252</v>
      </c>
      <c r="DB66" s="16">
        <f t="shared" si="49"/>
        <v>4.7972587093089665E-2</v>
      </c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</row>
    <row r="67" spans="5:180" ht="16" customHeight="1" x14ac:dyDescent="0.2">
      <c r="E67" s="1"/>
      <c r="F67" s="86"/>
      <c r="G67" s="85">
        <v>3</v>
      </c>
      <c r="H67" s="36"/>
      <c r="I67" s="86"/>
      <c r="J67" s="85">
        <v>3</v>
      </c>
      <c r="K67" s="70"/>
      <c r="L67" s="70"/>
      <c r="M67" s="70"/>
      <c r="N67"/>
      <c r="O67" s="38">
        <v>71</v>
      </c>
      <c r="P67" s="83">
        <f t="shared" si="27"/>
        <v>7</v>
      </c>
      <c r="Q67" s="15">
        <f t="shared" si="18"/>
        <v>11.03</v>
      </c>
      <c r="R67" s="43">
        <v>2517</v>
      </c>
      <c r="S67" s="16">
        <f t="shared" si="0"/>
        <v>8.7715629900679565E-3</v>
      </c>
      <c r="T67" s="17">
        <f>IF(AND(O67&lt;&gt;"", R67&lt;&gt;""), SUM(R$4:R67), "")</f>
        <v>256549</v>
      </c>
      <c r="U67" s="16">
        <f t="shared" si="1"/>
        <v>0.89405471336469766</v>
      </c>
      <c r="W67" s="38">
        <v>97</v>
      </c>
      <c r="X67" s="83">
        <f t="shared" si="28"/>
        <v>5</v>
      </c>
      <c r="Y67" s="15">
        <f t="shared" si="19"/>
        <v>52.05</v>
      </c>
      <c r="Z67" s="43">
        <v>3632</v>
      </c>
      <c r="AA67" s="16">
        <f t="shared" si="2"/>
        <v>1.2699345102605253E-2</v>
      </c>
      <c r="AB67" s="17">
        <f>IF(AND(W67&lt;&gt;"", Z67&lt;&gt;""), SUM(Z$4:Z67), "")</f>
        <v>138952</v>
      </c>
      <c r="AC67" s="16">
        <f t="shared" si="3"/>
        <v>0.48584785261486929</v>
      </c>
      <c r="AD67" s="1"/>
      <c r="AE67" s="19">
        <v>41</v>
      </c>
      <c r="AF67" s="20">
        <v>64</v>
      </c>
      <c r="AG67" s="8"/>
      <c r="AH67" s="49">
        <v>63</v>
      </c>
      <c r="AI67" s="83">
        <f t="shared" si="57"/>
        <v>3</v>
      </c>
      <c r="AJ67" s="15">
        <f t="shared" si="50"/>
        <v>86.25</v>
      </c>
      <c r="AK67" s="52">
        <v>601</v>
      </c>
      <c r="AL67" s="16">
        <f t="shared" si="36"/>
        <v>3.1416623105070568E-2</v>
      </c>
      <c r="AM67" s="17">
        <f>IF(AND(AH67&lt;&gt;"", AK67&lt;&gt;""), SUM(AK$59:AK67), "")</f>
        <v>2930</v>
      </c>
      <c r="AN67" s="16">
        <f t="shared" si="37"/>
        <v>0.15316257187663357</v>
      </c>
      <c r="AO67" s="14"/>
      <c r="AP67" s="19">
        <v>41</v>
      </c>
      <c r="AQ67" s="20">
        <v>65</v>
      </c>
      <c r="AR67" s="8"/>
      <c r="AS67" s="49">
        <v>64</v>
      </c>
      <c r="AT67" s="83">
        <f t="shared" si="58"/>
        <v>3</v>
      </c>
      <c r="AU67" s="15">
        <f t="shared" si="51"/>
        <v>87.74</v>
      </c>
      <c r="AV67" s="52">
        <v>246</v>
      </c>
      <c r="AW67" s="16">
        <f t="shared" si="38"/>
        <v>1.7219655606887863E-2</v>
      </c>
      <c r="AX67" s="17">
        <f>IF(AND(AS67&lt;&gt;"", AV67&lt;&gt;""), SUM(AV$59:AV67), "")</f>
        <v>1875</v>
      </c>
      <c r="AY67" s="16">
        <f t="shared" si="39"/>
        <v>0.13124737505249895</v>
      </c>
      <c r="AZ67" s="14"/>
      <c r="BA67" s="19">
        <v>41</v>
      </c>
      <c r="BB67" s="20">
        <v>67</v>
      </c>
      <c r="BC67" s="8"/>
      <c r="BD67" s="49">
        <v>65</v>
      </c>
      <c r="BE67" s="83">
        <f t="shared" si="59"/>
        <v>2</v>
      </c>
      <c r="BF67" s="15">
        <f t="shared" si="52"/>
        <v>88.85</v>
      </c>
      <c r="BG67" s="52">
        <v>162</v>
      </c>
      <c r="BH67" s="16">
        <f t="shared" si="40"/>
        <v>1.3783714796222242E-2</v>
      </c>
      <c r="BI67" s="17">
        <f>IF(AND(BD67&lt;&gt;"", BG67&lt;&gt;""), SUM(BG$59:BG67), "")</f>
        <v>1391</v>
      </c>
      <c r="BJ67" s="16">
        <f t="shared" si="41"/>
        <v>0.11835276099719221</v>
      </c>
      <c r="BK67" s="14"/>
      <c r="BL67" s="27">
        <v>41</v>
      </c>
      <c r="BM67" s="20">
        <v>74</v>
      </c>
      <c r="BN67" s="8"/>
      <c r="BO67" s="49">
        <v>73</v>
      </c>
      <c r="BP67" s="83">
        <f t="shared" si="60"/>
        <v>2</v>
      </c>
      <c r="BQ67" s="15">
        <f t="shared" si="53"/>
        <v>94.92</v>
      </c>
      <c r="BR67" s="52">
        <v>9</v>
      </c>
      <c r="BS67" s="16">
        <f t="shared" si="42"/>
        <v>2.3740437879187551E-3</v>
      </c>
      <c r="BT67" s="17">
        <f>IF(AND(BO67&lt;&gt;"", BR67&lt;&gt;""), SUM(BR$59:BR67), "")</f>
        <v>197</v>
      </c>
      <c r="BU67" s="16">
        <f t="shared" si="43"/>
        <v>5.1965180691110523E-2</v>
      </c>
      <c r="BV67" s="14"/>
      <c r="BW67" s="27">
        <v>41</v>
      </c>
      <c r="BX67" s="20">
        <v>73</v>
      </c>
      <c r="BY67" s="8"/>
      <c r="BZ67" s="49">
        <v>72</v>
      </c>
      <c r="CA67" s="83">
        <f t="shared" si="61"/>
        <v>2</v>
      </c>
      <c r="CB67" s="15">
        <f t="shared" si="54"/>
        <v>93.65</v>
      </c>
      <c r="CC67" s="52">
        <v>23</v>
      </c>
      <c r="CD67" s="16">
        <f t="shared" si="44"/>
        <v>5.4168629298162975E-3</v>
      </c>
      <c r="CE67" s="17">
        <f>IF(AND(BZ67&lt;&gt;"", CC67&lt;&gt;""), SUM(CC$59:CC67), "")</f>
        <v>281</v>
      </c>
      <c r="CF67" s="16">
        <f t="shared" si="45"/>
        <v>6.6179934055581729E-2</v>
      </c>
      <c r="CG67" s="14"/>
      <c r="CH67" s="27">
        <v>41</v>
      </c>
      <c r="CI67" s="20">
        <v>61</v>
      </c>
      <c r="CJ67" s="8"/>
      <c r="CK67" s="49">
        <v>60</v>
      </c>
      <c r="CL67" s="83">
        <f t="shared" si="62"/>
        <v>3</v>
      </c>
      <c r="CM67" s="15">
        <f t="shared" si="55"/>
        <v>87.31</v>
      </c>
      <c r="CN67" s="52">
        <v>151</v>
      </c>
      <c r="CO67" s="16">
        <f t="shared" si="46"/>
        <v>2.6016540317022743E-2</v>
      </c>
      <c r="CP67" s="17">
        <f>IF(AND(CK67&lt;&gt;"", CN67&lt;&gt;""), SUM(CN$59:CN67), "")</f>
        <v>812</v>
      </c>
      <c r="CQ67" s="16">
        <f t="shared" si="47"/>
        <v>0.13990351481736732</v>
      </c>
      <c r="CR67" s="14"/>
      <c r="CS67" s="27">
        <v>41</v>
      </c>
      <c r="CT67" s="20">
        <v>77</v>
      </c>
      <c r="CU67" s="8"/>
      <c r="CV67" s="49">
        <v>77</v>
      </c>
      <c r="CW67" s="83">
        <f t="shared" si="63"/>
        <v>2</v>
      </c>
      <c r="CX67" s="15">
        <f t="shared" si="56"/>
        <v>95.01</v>
      </c>
      <c r="CY67" s="52">
        <v>20</v>
      </c>
      <c r="CZ67" s="16">
        <f t="shared" si="48"/>
        <v>3.8073481819912432E-3</v>
      </c>
      <c r="DA67" s="17">
        <f>IF(AND(CV67&lt;&gt;"", CY67&lt;&gt;""), SUM(CY$59:CY67), "")</f>
        <v>272</v>
      </c>
      <c r="DB67" s="16">
        <f t="shared" si="49"/>
        <v>5.1779935275080909E-2</v>
      </c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</row>
    <row r="68" spans="5:180" ht="16" customHeight="1" x14ac:dyDescent="0.2">
      <c r="E68" s="1"/>
      <c r="F68" s="86"/>
      <c r="G68" s="85">
        <v>4</v>
      </c>
      <c r="H68" s="36"/>
      <c r="I68" s="86"/>
      <c r="J68" s="85">
        <v>4</v>
      </c>
      <c r="K68" s="70"/>
      <c r="L68" s="70"/>
      <c r="M68" s="70"/>
      <c r="N68"/>
      <c r="O68" s="38">
        <v>70</v>
      </c>
      <c r="P68" s="83">
        <f t="shared" si="27"/>
        <v>8</v>
      </c>
      <c r="Q68" s="15">
        <f t="shared" si="18"/>
        <v>9.84</v>
      </c>
      <c r="R68" s="43">
        <v>4302</v>
      </c>
      <c r="S68" s="16">
        <f t="shared" ref="S68:S131" si="64">IF(AND(O68&lt;&gt;"", R68&lt;&gt;""), R68/U$1, "")</f>
        <v>1.4992158912702561E-2</v>
      </c>
      <c r="T68" s="17">
        <f>IF(AND(O68&lt;&gt;"", R68&lt;&gt;""), SUM(R$4:R68), "")</f>
        <v>260851</v>
      </c>
      <c r="U68" s="16">
        <f t="shared" ref="U68:U131" si="65">IF(AND(O68&lt;&gt;"", R68&lt;&gt;""), T68/U$1, "")</f>
        <v>0.90904687227740022</v>
      </c>
      <c r="W68" s="38">
        <v>96</v>
      </c>
      <c r="X68" s="83">
        <f t="shared" si="28"/>
        <v>5</v>
      </c>
      <c r="Y68" s="15">
        <f t="shared" si="19"/>
        <v>50.75</v>
      </c>
      <c r="Z68" s="43">
        <v>3795</v>
      </c>
      <c r="AA68" s="16">
        <f t="shared" ref="AA68:AA131" si="66">IF(AND(W68&lt;&gt;"", Z68&lt;&gt;""), Z68/AC$1, "")</f>
        <v>1.3269277165304775E-2</v>
      </c>
      <c r="AB68" s="17">
        <f>IF(AND(W68&lt;&gt;"", Z68&lt;&gt;""), SUM(Z$4:Z68), "")</f>
        <v>142747</v>
      </c>
      <c r="AC68" s="16">
        <f t="shared" ref="AC68:AC131" si="67">IF(AND(W68&lt;&gt;"", Z68&lt;&gt;""), AB68/AC$1, "")</f>
        <v>0.49911712978017403</v>
      </c>
      <c r="AD68" s="1"/>
      <c r="AE68" s="19">
        <v>40</v>
      </c>
      <c r="AF68" s="20">
        <v>63</v>
      </c>
      <c r="AG68" s="8"/>
      <c r="AH68" s="49">
        <v>62</v>
      </c>
      <c r="AI68" s="83">
        <f t="shared" si="57"/>
        <v>3</v>
      </c>
      <c r="AJ68" s="15">
        <f t="shared" si="50"/>
        <v>84.05</v>
      </c>
      <c r="AK68" s="52">
        <v>242</v>
      </c>
      <c r="AL68" s="16">
        <f t="shared" si="36"/>
        <v>1.265028750653424E-2</v>
      </c>
      <c r="AM68" s="17">
        <f>IF(AND(AH68&lt;&gt;"", AK68&lt;&gt;""), SUM(AK$59:AK68), "")</f>
        <v>3172</v>
      </c>
      <c r="AN68" s="16">
        <f t="shared" si="37"/>
        <v>0.16581285938316781</v>
      </c>
      <c r="AO68" s="14"/>
      <c r="AP68" s="19">
        <v>40</v>
      </c>
      <c r="AQ68" s="20">
        <v>65</v>
      </c>
      <c r="AR68" s="8"/>
      <c r="AS68" s="49">
        <v>63</v>
      </c>
      <c r="AT68" s="83">
        <f t="shared" si="58"/>
        <v>3</v>
      </c>
      <c r="AU68" s="15">
        <f t="shared" si="51"/>
        <v>85.97</v>
      </c>
      <c r="AV68" s="52">
        <v>258</v>
      </c>
      <c r="AW68" s="16">
        <f t="shared" si="38"/>
        <v>1.8059638807223857E-2</v>
      </c>
      <c r="AX68" s="17">
        <f>IF(AND(AS68&lt;&gt;"", AV68&lt;&gt;""), SUM(AV$59:AV68), "")</f>
        <v>2133</v>
      </c>
      <c r="AY68" s="16">
        <f t="shared" si="39"/>
        <v>0.14930701385972281</v>
      </c>
      <c r="AZ68" s="14"/>
      <c r="BA68" s="19">
        <v>40</v>
      </c>
      <c r="BB68" s="20">
        <v>66</v>
      </c>
      <c r="BC68" s="8"/>
      <c r="BD68" s="49">
        <v>64</v>
      </c>
      <c r="BE68" s="83">
        <f t="shared" si="59"/>
        <v>3</v>
      </c>
      <c r="BF68" s="15">
        <f t="shared" si="52"/>
        <v>87.59</v>
      </c>
      <c r="BG68" s="52">
        <v>134</v>
      </c>
      <c r="BH68" s="16">
        <f t="shared" si="40"/>
        <v>1.1401344337615927E-2</v>
      </c>
      <c r="BI68" s="17">
        <f>IF(AND(BD68&lt;&gt;"", BG68&lt;&gt;""), SUM(BG$59:BG68), "")</f>
        <v>1525</v>
      </c>
      <c r="BJ68" s="16">
        <f t="shared" si="41"/>
        <v>0.12975410533480813</v>
      </c>
      <c r="BK68" s="14"/>
      <c r="BL68" s="27">
        <v>40</v>
      </c>
      <c r="BM68" s="20">
        <v>73</v>
      </c>
      <c r="BN68" s="8"/>
      <c r="BO68" s="49">
        <v>72</v>
      </c>
      <c r="BP68" s="83">
        <f t="shared" si="60"/>
        <v>2</v>
      </c>
      <c r="BQ68" s="15">
        <f t="shared" si="53"/>
        <v>94.34</v>
      </c>
      <c r="BR68" s="52">
        <v>35</v>
      </c>
      <c r="BS68" s="16">
        <f t="shared" si="42"/>
        <v>9.2323925085729362E-3</v>
      </c>
      <c r="BT68" s="17">
        <f>IF(AND(BO68&lt;&gt;"", BR68&lt;&gt;""), SUM(BR$59:BR68), "")</f>
        <v>232</v>
      </c>
      <c r="BU68" s="16">
        <f t="shared" si="43"/>
        <v>6.1197573199683462E-2</v>
      </c>
      <c r="BV68" s="14"/>
      <c r="BW68" s="27">
        <v>40</v>
      </c>
      <c r="BX68" s="20">
        <v>72</v>
      </c>
      <c r="BY68" s="8"/>
      <c r="BZ68" s="49">
        <v>71</v>
      </c>
      <c r="CA68" s="83">
        <f t="shared" si="61"/>
        <v>2</v>
      </c>
      <c r="CB68" s="15">
        <f t="shared" si="54"/>
        <v>92.96</v>
      </c>
      <c r="CC68" s="52">
        <v>36</v>
      </c>
      <c r="CD68" s="16">
        <f t="shared" si="44"/>
        <v>8.4785680640602924E-3</v>
      </c>
      <c r="CE68" s="17">
        <f>IF(AND(BZ68&lt;&gt;"", CC68&lt;&gt;""), SUM(CC$59:CC68), "")</f>
        <v>317</v>
      </c>
      <c r="CF68" s="16">
        <f t="shared" si="45"/>
        <v>7.465850211964202E-2</v>
      </c>
      <c r="CG68" s="14"/>
      <c r="CH68" s="27">
        <v>40</v>
      </c>
      <c r="CI68" s="20">
        <v>60</v>
      </c>
      <c r="CJ68" s="8"/>
      <c r="CK68" s="48">
        <v>59</v>
      </c>
      <c r="CL68" s="83">
        <f t="shared" si="62"/>
        <v>3</v>
      </c>
      <c r="CM68" s="15">
        <f t="shared" si="55"/>
        <v>83.47</v>
      </c>
      <c r="CN68" s="52">
        <v>295</v>
      </c>
      <c r="CO68" s="16">
        <f t="shared" si="46"/>
        <v>5.082701585113715E-2</v>
      </c>
      <c r="CP68" s="17">
        <f>IF(AND(CK68&lt;&gt;"", CN68&lt;&gt;""), SUM(CN$59:CN68), "")</f>
        <v>1107</v>
      </c>
      <c r="CQ68" s="16">
        <f t="shared" si="47"/>
        <v>0.19073053066850448</v>
      </c>
      <c r="CR68" s="14"/>
      <c r="CS68" s="27">
        <v>40</v>
      </c>
      <c r="CT68" s="20">
        <v>76</v>
      </c>
      <c r="CU68" s="8"/>
      <c r="CV68" s="49">
        <v>76</v>
      </c>
      <c r="CW68" s="83">
        <f t="shared" si="63"/>
        <v>2</v>
      </c>
      <c r="CX68" s="15">
        <f t="shared" si="56"/>
        <v>94.63</v>
      </c>
      <c r="CY68" s="52">
        <v>20</v>
      </c>
      <c r="CZ68" s="16">
        <f t="shared" si="48"/>
        <v>3.8073481819912432E-3</v>
      </c>
      <c r="DA68" s="17">
        <f>IF(AND(CV68&lt;&gt;"", CY68&lt;&gt;""), SUM(CY$59:CY68), "")</f>
        <v>292</v>
      </c>
      <c r="DB68" s="16">
        <f t="shared" si="49"/>
        <v>5.5587283457072152E-2</v>
      </c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</row>
    <row r="69" spans="5:180" ht="16" customHeight="1" x14ac:dyDescent="0.2">
      <c r="E69" s="1"/>
      <c r="F69" s="86"/>
      <c r="G69" s="85">
        <v>5</v>
      </c>
      <c r="H69" s="36"/>
      <c r="I69" s="86"/>
      <c r="J69" s="85">
        <v>5</v>
      </c>
      <c r="K69" s="70"/>
      <c r="L69" s="70"/>
      <c r="M69" s="70"/>
      <c r="N69"/>
      <c r="O69" s="38">
        <v>69</v>
      </c>
      <c r="P69" s="83">
        <f t="shared" si="27"/>
        <v>8</v>
      </c>
      <c r="Q69" s="15">
        <f t="shared" ref="Q69:Q132" si="68">IF(AND(O69&lt;&gt;"", R69&lt;&gt;""), ROUND(100*(1-(T68+T69)/2/U$1), 2), "")</f>
        <v>8.65</v>
      </c>
      <c r="R69" s="43">
        <v>2570</v>
      </c>
      <c r="S69" s="16">
        <f t="shared" si="64"/>
        <v>8.9562641575187309E-3</v>
      </c>
      <c r="T69" s="17">
        <f>IF(AND(O69&lt;&gt;"", R69&lt;&gt;""), SUM(R$4:R69), "")</f>
        <v>263421</v>
      </c>
      <c r="U69" s="16">
        <f t="shared" si="65"/>
        <v>0.91800313643491893</v>
      </c>
      <c r="W69" s="38">
        <v>95</v>
      </c>
      <c r="X69" s="83">
        <f t="shared" si="28"/>
        <v>5</v>
      </c>
      <c r="Y69" s="15">
        <f t="shared" ref="Y69:Y132" si="69">IF(AND(W69&lt;&gt;"", Z69&lt;&gt;""), ROUND(100*(1-(AB68+AB69)/2/AC$1), 2), "")</f>
        <v>49.42</v>
      </c>
      <c r="Z69" s="43">
        <v>3796</v>
      </c>
      <c r="AA69" s="16">
        <f t="shared" si="66"/>
        <v>1.3272773681026856E-2</v>
      </c>
      <c r="AB69" s="17">
        <f>IF(AND(W69&lt;&gt;"", Z69&lt;&gt;""), SUM(Z$4:Z69), "")</f>
        <v>146543</v>
      </c>
      <c r="AC69" s="16">
        <f t="shared" si="67"/>
        <v>0.51238990346120095</v>
      </c>
      <c r="AD69" s="1"/>
      <c r="AE69" s="19">
        <v>39</v>
      </c>
      <c r="AF69" s="20">
        <v>63</v>
      </c>
      <c r="AG69" s="8"/>
      <c r="AH69" s="49">
        <v>61</v>
      </c>
      <c r="AI69" s="83">
        <f t="shared" si="57"/>
        <v>3</v>
      </c>
      <c r="AJ69" s="15">
        <f t="shared" si="50"/>
        <v>82.41</v>
      </c>
      <c r="AK69" s="52">
        <v>386</v>
      </c>
      <c r="AL69" s="16">
        <f t="shared" si="36"/>
        <v>2.0177731312075273E-2</v>
      </c>
      <c r="AM69" s="17">
        <f>IF(AND(AH69&lt;&gt;"", AK69&lt;&gt;""), SUM(AK$59:AK69), "")</f>
        <v>3558</v>
      </c>
      <c r="AN69" s="16">
        <f t="shared" si="37"/>
        <v>0.18599059069524307</v>
      </c>
      <c r="AO69" s="14"/>
      <c r="AP69" s="19">
        <v>39</v>
      </c>
      <c r="AQ69" s="20">
        <v>64</v>
      </c>
      <c r="AR69" s="8"/>
      <c r="AS69" s="49">
        <v>62</v>
      </c>
      <c r="AT69" s="83">
        <f t="shared" si="58"/>
        <v>3</v>
      </c>
      <c r="AU69" s="15">
        <f t="shared" si="51"/>
        <v>84.57</v>
      </c>
      <c r="AV69" s="52">
        <v>143</v>
      </c>
      <c r="AW69" s="16">
        <f t="shared" si="38"/>
        <v>1.0009799804003921E-2</v>
      </c>
      <c r="AX69" s="17">
        <f>IF(AND(AS69&lt;&gt;"", AV69&lt;&gt;""), SUM(AV$59:AV69), "")</f>
        <v>2276</v>
      </c>
      <c r="AY69" s="16">
        <f t="shared" si="39"/>
        <v>0.15931681366372671</v>
      </c>
      <c r="AZ69" s="14"/>
      <c r="BA69" s="19">
        <v>39</v>
      </c>
      <c r="BB69" s="20">
        <v>65</v>
      </c>
      <c r="BC69" s="8"/>
      <c r="BD69" s="49">
        <v>63</v>
      </c>
      <c r="BE69" s="83">
        <f t="shared" si="59"/>
        <v>3</v>
      </c>
      <c r="BF69" s="15">
        <f t="shared" si="52"/>
        <v>85.94</v>
      </c>
      <c r="BG69" s="52">
        <v>254</v>
      </c>
      <c r="BH69" s="16">
        <f t="shared" si="40"/>
        <v>2.1611503445928697E-2</v>
      </c>
      <c r="BI69" s="17">
        <f>IF(AND(BD69&lt;&gt;"", BG69&lt;&gt;""), SUM(BG$59:BG69), "")</f>
        <v>1779</v>
      </c>
      <c r="BJ69" s="16">
        <f t="shared" si="41"/>
        <v>0.15136560878073682</v>
      </c>
      <c r="BK69" s="14"/>
      <c r="BL69" s="27">
        <v>39</v>
      </c>
      <c r="BM69" s="20">
        <v>72</v>
      </c>
      <c r="BN69" s="8"/>
      <c r="BO69" s="49">
        <v>71</v>
      </c>
      <c r="BP69" s="83">
        <f t="shared" si="60"/>
        <v>2</v>
      </c>
      <c r="BQ69" s="15">
        <f t="shared" si="53"/>
        <v>93.55</v>
      </c>
      <c r="BR69" s="52">
        <v>25</v>
      </c>
      <c r="BS69" s="16">
        <f t="shared" si="42"/>
        <v>6.5945660775520972E-3</v>
      </c>
      <c r="BT69" s="17">
        <f>IF(AND(BO69&lt;&gt;"", BR69&lt;&gt;""), SUM(BR$59:BR69), "")</f>
        <v>257</v>
      </c>
      <c r="BU69" s="16">
        <f t="shared" si="43"/>
        <v>6.7792139277235555E-2</v>
      </c>
      <c r="BV69" s="14"/>
      <c r="BW69" s="27">
        <v>39</v>
      </c>
      <c r="BX69" s="20">
        <v>71</v>
      </c>
      <c r="BY69" s="8"/>
      <c r="BZ69" s="49">
        <v>70</v>
      </c>
      <c r="CA69" s="83">
        <f t="shared" si="61"/>
        <v>2</v>
      </c>
      <c r="CB69" s="15">
        <f t="shared" si="54"/>
        <v>92.22</v>
      </c>
      <c r="CC69" s="52">
        <v>27</v>
      </c>
      <c r="CD69" s="16">
        <f t="shared" si="44"/>
        <v>6.3589260480452188E-3</v>
      </c>
      <c r="CE69" s="17">
        <f>IF(AND(BZ69&lt;&gt;"", CC69&lt;&gt;""), SUM(CC$59:CC69), "")</f>
        <v>344</v>
      </c>
      <c r="CF69" s="16">
        <f t="shared" si="45"/>
        <v>8.1017428167687242E-2</v>
      </c>
      <c r="CG69" s="14"/>
      <c r="CH69" s="27">
        <v>39</v>
      </c>
      <c r="CI69" s="20">
        <v>59</v>
      </c>
      <c r="CJ69" s="8"/>
      <c r="CK69" s="49">
        <v>58</v>
      </c>
      <c r="CL69" s="83">
        <f t="shared" si="62"/>
        <v>3</v>
      </c>
      <c r="CM69" s="15">
        <f t="shared" si="55"/>
        <v>78.12</v>
      </c>
      <c r="CN69" s="52">
        <v>326</v>
      </c>
      <c r="CO69" s="16">
        <f t="shared" si="46"/>
        <v>5.6168159889731221E-2</v>
      </c>
      <c r="CP69" s="17">
        <f>IF(AND(CK69&lt;&gt;"", CN69&lt;&gt;""), SUM(CN$59:CN69), "")</f>
        <v>1433</v>
      </c>
      <c r="CQ69" s="16">
        <f t="shared" si="47"/>
        <v>0.24689869055823571</v>
      </c>
      <c r="CR69" s="14"/>
      <c r="CS69" s="27">
        <v>39</v>
      </c>
      <c r="CT69" s="20">
        <v>75</v>
      </c>
      <c r="CU69" s="8"/>
      <c r="CV69" s="49">
        <v>75</v>
      </c>
      <c r="CW69" s="83">
        <f t="shared" si="63"/>
        <v>2</v>
      </c>
      <c r="CX69" s="15">
        <f t="shared" si="56"/>
        <v>94.26</v>
      </c>
      <c r="CY69" s="52">
        <v>19</v>
      </c>
      <c r="CZ69" s="16">
        <f t="shared" si="48"/>
        <v>3.6169807728916809E-3</v>
      </c>
      <c r="DA69" s="17">
        <f>IF(AND(CV69&lt;&gt;"", CY69&lt;&gt;""), SUM(CY$59:CY69), "")</f>
        <v>311</v>
      </c>
      <c r="DB69" s="16">
        <f t="shared" si="49"/>
        <v>5.9204264229963832E-2</v>
      </c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</row>
    <row r="70" spans="5:180" ht="16" customHeight="1" x14ac:dyDescent="0.2">
      <c r="E70" s="1"/>
      <c r="F70" s="86"/>
      <c r="G70" s="85">
        <v>6</v>
      </c>
      <c r="H70" s="36"/>
      <c r="I70" s="86"/>
      <c r="J70" s="85">
        <v>6</v>
      </c>
      <c r="K70" s="70"/>
      <c r="L70" s="70"/>
      <c r="M70" s="70"/>
      <c r="N70"/>
      <c r="O70" s="38">
        <v>68</v>
      </c>
      <c r="P70" s="83">
        <f t="shared" si="27"/>
        <v>8</v>
      </c>
      <c r="Q70" s="15">
        <f t="shared" si="68"/>
        <v>7.76</v>
      </c>
      <c r="R70" s="43">
        <v>2507</v>
      </c>
      <c r="S70" s="16">
        <f t="shared" si="64"/>
        <v>8.7367137131904513E-3</v>
      </c>
      <c r="T70" s="17">
        <f>IF(AND(O70&lt;&gt;"", R70&lt;&gt;""), SUM(R$4:R70), "")</f>
        <v>265928</v>
      </c>
      <c r="U70" s="16">
        <f t="shared" si="65"/>
        <v>0.92673985014810945</v>
      </c>
      <c r="W70" s="38">
        <v>94</v>
      </c>
      <c r="X70" s="83">
        <f t="shared" si="28"/>
        <v>5</v>
      </c>
      <c r="Y70" s="15">
        <f t="shared" si="69"/>
        <v>48.01</v>
      </c>
      <c r="Z70" s="43">
        <v>4312</v>
      </c>
      <c r="AA70" s="16">
        <f t="shared" si="66"/>
        <v>1.5076975793621656E-2</v>
      </c>
      <c r="AB70" s="17">
        <f>IF(AND(W70&lt;&gt;"", Z70&lt;&gt;""), SUM(Z$4:Z70), "")</f>
        <v>150855</v>
      </c>
      <c r="AC70" s="16">
        <f t="shared" si="67"/>
        <v>0.52746687925482261</v>
      </c>
      <c r="AD70" s="1"/>
      <c r="AE70" s="19">
        <v>38</v>
      </c>
      <c r="AF70" s="20">
        <v>62</v>
      </c>
      <c r="AG70" s="8"/>
      <c r="AH70" s="49">
        <v>60</v>
      </c>
      <c r="AI70" s="83">
        <f t="shared" si="57"/>
        <v>3</v>
      </c>
      <c r="AJ70" s="15">
        <f t="shared" si="50"/>
        <v>80.52</v>
      </c>
      <c r="AK70" s="52">
        <v>337</v>
      </c>
      <c r="AL70" s="16">
        <f t="shared" si="36"/>
        <v>1.7616309461578671E-2</v>
      </c>
      <c r="AM70" s="17">
        <f>IF(AND(AH70&lt;&gt;"", AK70&lt;&gt;""), SUM(AK$59:AK70), "")</f>
        <v>3895</v>
      </c>
      <c r="AN70" s="16">
        <f t="shared" si="37"/>
        <v>0.20360690015682176</v>
      </c>
      <c r="AO70" s="14"/>
      <c r="AP70" s="19">
        <v>38</v>
      </c>
      <c r="AQ70" s="20">
        <v>63</v>
      </c>
      <c r="AR70" s="8"/>
      <c r="AS70" s="49">
        <v>61</v>
      </c>
      <c r="AT70" s="83">
        <f t="shared" si="58"/>
        <v>3</v>
      </c>
      <c r="AU70" s="15">
        <f t="shared" si="51"/>
        <v>82.3</v>
      </c>
      <c r="AV70" s="52">
        <v>504</v>
      </c>
      <c r="AW70" s="16">
        <f t="shared" si="38"/>
        <v>3.527929441411172E-2</v>
      </c>
      <c r="AX70" s="17">
        <f>IF(AND(AS70&lt;&gt;"", AV70&lt;&gt;""), SUM(AV$59:AV70), "")</f>
        <v>2780</v>
      </c>
      <c r="AY70" s="16">
        <f t="shared" si="39"/>
        <v>0.19459610807783845</v>
      </c>
      <c r="AZ70" s="14"/>
      <c r="BA70" s="19">
        <v>38</v>
      </c>
      <c r="BB70" s="20">
        <v>64</v>
      </c>
      <c r="BC70" s="8"/>
      <c r="BD70" s="49">
        <v>62</v>
      </c>
      <c r="BE70" s="83">
        <f t="shared" si="59"/>
        <v>3</v>
      </c>
      <c r="BF70" s="15">
        <f t="shared" si="52"/>
        <v>84.28</v>
      </c>
      <c r="BG70" s="52">
        <v>136</v>
      </c>
      <c r="BH70" s="16">
        <f t="shared" si="40"/>
        <v>1.1571513656087808E-2</v>
      </c>
      <c r="BI70" s="17">
        <f>IF(AND(BD70&lt;&gt;"", BG70&lt;&gt;""), SUM(BG$59:BG70), "")</f>
        <v>1915</v>
      </c>
      <c r="BJ70" s="16">
        <f t="shared" si="41"/>
        <v>0.16293712243682465</v>
      </c>
      <c r="BK70" s="14"/>
      <c r="BL70" s="27">
        <v>38</v>
      </c>
      <c r="BM70" s="20">
        <v>71</v>
      </c>
      <c r="BN70" s="8"/>
      <c r="BO70" s="49">
        <v>70</v>
      </c>
      <c r="BP70" s="83">
        <f t="shared" si="60"/>
        <v>2</v>
      </c>
      <c r="BQ70" s="15">
        <f t="shared" si="53"/>
        <v>92.89</v>
      </c>
      <c r="BR70" s="52">
        <v>25</v>
      </c>
      <c r="BS70" s="16">
        <f t="shared" si="42"/>
        <v>6.5945660775520972E-3</v>
      </c>
      <c r="BT70" s="17">
        <f>IF(AND(BO70&lt;&gt;"", BR70&lt;&gt;""), SUM(BR$59:BR70), "")</f>
        <v>282</v>
      </c>
      <c r="BU70" s="16">
        <f t="shared" si="43"/>
        <v>7.4386705354787655E-2</v>
      </c>
      <c r="BV70" s="14"/>
      <c r="BW70" s="27">
        <v>38</v>
      </c>
      <c r="BX70" s="20">
        <v>70</v>
      </c>
      <c r="BY70" s="8"/>
      <c r="BZ70" s="49">
        <v>69</v>
      </c>
      <c r="CA70" s="83">
        <f t="shared" si="61"/>
        <v>2</v>
      </c>
      <c r="CB70" s="15">
        <f t="shared" si="54"/>
        <v>91.51</v>
      </c>
      <c r="CC70" s="52">
        <v>33</v>
      </c>
      <c r="CD70" s="16">
        <f t="shared" si="44"/>
        <v>7.7720207253886009E-3</v>
      </c>
      <c r="CE70" s="17">
        <f>IF(AND(BZ70&lt;&gt;"", CC70&lt;&gt;""), SUM(CC$59:CC70), "")</f>
        <v>377</v>
      </c>
      <c r="CF70" s="16">
        <f t="shared" si="45"/>
        <v>8.8789448893075842E-2</v>
      </c>
      <c r="CG70" s="14"/>
      <c r="CH70" s="27">
        <v>38</v>
      </c>
      <c r="CI70" s="20">
        <v>58</v>
      </c>
      <c r="CJ70" s="8"/>
      <c r="CK70" s="49">
        <v>57</v>
      </c>
      <c r="CL70" s="83">
        <f t="shared" si="62"/>
        <v>4</v>
      </c>
      <c r="CM70" s="15">
        <f t="shared" si="55"/>
        <v>73.760000000000005</v>
      </c>
      <c r="CN70" s="52">
        <v>180</v>
      </c>
      <c r="CO70" s="16">
        <f t="shared" si="46"/>
        <v>3.1013094417643005E-2</v>
      </c>
      <c r="CP70" s="17">
        <f>IF(AND(CK70&lt;&gt;"", CN70&lt;&gt;""), SUM(CN$59:CN70), "")</f>
        <v>1613</v>
      </c>
      <c r="CQ70" s="16">
        <f t="shared" si="47"/>
        <v>0.27791178497587871</v>
      </c>
      <c r="CR70" s="14"/>
      <c r="CS70" s="27">
        <v>38</v>
      </c>
      <c r="CT70" s="20">
        <v>74</v>
      </c>
      <c r="CU70" s="8"/>
      <c r="CV70" s="49">
        <v>74</v>
      </c>
      <c r="CW70" s="83">
        <f t="shared" si="63"/>
        <v>2</v>
      </c>
      <c r="CX70" s="15">
        <f t="shared" si="56"/>
        <v>93.89</v>
      </c>
      <c r="CY70" s="52">
        <v>20</v>
      </c>
      <c r="CZ70" s="16">
        <f t="shared" si="48"/>
        <v>3.8073481819912432E-3</v>
      </c>
      <c r="DA70" s="17">
        <f>IF(AND(CV70&lt;&gt;"", CY70&lt;&gt;""), SUM(CY$59:CY70), "")</f>
        <v>331</v>
      </c>
      <c r="DB70" s="16">
        <f t="shared" si="49"/>
        <v>6.3011612411955076E-2</v>
      </c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</row>
    <row r="71" spans="5:180" ht="16" customHeight="1" x14ac:dyDescent="0.2">
      <c r="E71" s="1"/>
      <c r="F71" s="86"/>
      <c r="G71" s="85">
        <v>7</v>
      </c>
      <c r="H71" s="36"/>
      <c r="I71" s="86"/>
      <c r="J71" s="85">
        <v>7</v>
      </c>
      <c r="K71" s="70"/>
      <c r="L71" s="70"/>
      <c r="M71" s="70"/>
      <c r="N71"/>
      <c r="O71" s="38">
        <v>67</v>
      </c>
      <c r="P71" s="83">
        <f t="shared" ref="P71:P134" si="70">IF(AND(O71&lt;&gt;"", R71&lt;&gt;""), IF(U70 &gt; $A$36, $B$37, IF(U70 &gt; $A$35, $B$36, IF(U70 &gt; $A$34, $B$35, IF(U70 &gt; $A$33, $B$34, IF(U70 &gt; $A$32, $B$33,IF(U70 &gt; $A$31, $B$32, IF(U70 &gt; $A$30, $B$31, IF(U70 &gt; $A$29, $B$30, $B$29)))))))), "")</f>
        <v>8</v>
      </c>
      <c r="Q71" s="15">
        <f t="shared" si="68"/>
        <v>6.04</v>
      </c>
      <c r="R71" s="43">
        <v>7398</v>
      </c>
      <c r="S71" s="16">
        <f t="shared" si="64"/>
        <v>2.5781495033978044E-2</v>
      </c>
      <c r="T71" s="17">
        <f>IF(AND(O71&lt;&gt;"", R71&lt;&gt;""), SUM(R$4:R71), "")</f>
        <v>273326</v>
      </c>
      <c r="U71" s="16">
        <f t="shared" si="65"/>
        <v>0.95252134518208742</v>
      </c>
      <c r="W71" s="38">
        <v>93</v>
      </c>
      <c r="X71" s="83">
        <f t="shared" ref="X71:X134" si="71">IF(AND(W71&lt;&gt;"", Z71&lt;&gt;""), IF(AC70 &gt; $A$36, $B$37, IF(AC70 &gt; $A$35, $B$36, IF(AC70 &gt; $A$34, $B$35, IF(AC70 &gt; $A$33, $B$34, IF(AC70 &gt; $A$32, $B$33,IF(AC70 &gt; $A$31, $B$32, IF(AC70 &gt; $A$30, $B$31, IF(AC70 &gt; $A$29, $B$30, $B$29)))))))), "")</f>
        <v>5</v>
      </c>
      <c r="Y71" s="15">
        <f t="shared" si="69"/>
        <v>46.45</v>
      </c>
      <c r="Z71" s="43">
        <v>4589</v>
      </c>
      <c r="AA71" s="16">
        <f t="shared" si="66"/>
        <v>1.6045510648638631E-2</v>
      </c>
      <c r="AB71" s="17">
        <f>IF(AND(W71&lt;&gt;"", Z71&lt;&gt;""), SUM(Z$4:Z71), "")</f>
        <v>155444</v>
      </c>
      <c r="AC71" s="16">
        <f t="shared" si="67"/>
        <v>0.54351238990346118</v>
      </c>
      <c r="AD71" s="1"/>
      <c r="AE71" s="19">
        <v>37</v>
      </c>
      <c r="AF71" s="20">
        <v>61</v>
      </c>
      <c r="AG71" s="8"/>
      <c r="AH71" s="49">
        <v>59</v>
      </c>
      <c r="AI71" s="83">
        <f t="shared" si="57"/>
        <v>3</v>
      </c>
      <c r="AJ71" s="15">
        <f t="shared" si="50"/>
        <v>77.87</v>
      </c>
      <c r="AK71" s="52">
        <v>678</v>
      </c>
      <c r="AL71" s="16">
        <f t="shared" si="36"/>
        <v>3.5441714584422371E-2</v>
      </c>
      <c r="AM71" s="17">
        <f>IF(AND(AH71&lt;&gt;"", AK71&lt;&gt;""), SUM(AK$59:AK71), "")</f>
        <v>4573</v>
      </c>
      <c r="AN71" s="16">
        <f t="shared" si="37"/>
        <v>0.23904861474124411</v>
      </c>
      <c r="AO71" s="14"/>
      <c r="AP71" s="19">
        <v>37</v>
      </c>
      <c r="AQ71" s="20">
        <v>62</v>
      </c>
      <c r="AR71" s="8"/>
      <c r="AS71" s="49">
        <v>60</v>
      </c>
      <c r="AT71" s="83">
        <f t="shared" si="58"/>
        <v>3</v>
      </c>
      <c r="AU71" s="15">
        <f t="shared" si="51"/>
        <v>79.83</v>
      </c>
      <c r="AV71" s="52">
        <v>204</v>
      </c>
      <c r="AW71" s="16">
        <f t="shared" si="38"/>
        <v>1.4279714405711887E-2</v>
      </c>
      <c r="AX71" s="17">
        <f>IF(AND(AS71&lt;&gt;"", AV71&lt;&gt;""), SUM(AV$59:AV71), "")</f>
        <v>2984</v>
      </c>
      <c r="AY71" s="16">
        <f t="shared" si="39"/>
        <v>0.20887582248355033</v>
      </c>
      <c r="AZ71" s="14"/>
      <c r="BA71" s="19">
        <v>37</v>
      </c>
      <c r="BB71" s="20">
        <v>63</v>
      </c>
      <c r="BC71" s="8"/>
      <c r="BD71" s="49">
        <v>61</v>
      </c>
      <c r="BE71" s="83">
        <f t="shared" si="59"/>
        <v>3</v>
      </c>
      <c r="BF71" s="15">
        <f t="shared" si="52"/>
        <v>83.11</v>
      </c>
      <c r="BG71" s="52">
        <v>139</v>
      </c>
      <c r="BH71" s="16">
        <f t="shared" si="40"/>
        <v>1.1826767633795627E-2</v>
      </c>
      <c r="BI71" s="17">
        <f>IF(AND(BD71&lt;&gt;"", BG71&lt;&gt;""), SUM(BG$59:BG71), "")</f>
        <v>2054</v>
      </c>
      <c r="BJ71" s="16">
        <f t="shared" si="41"/>
        <v>0.17476389007062026</v>
      </c>
      <c r="BK71" s="14"/>
      <c r="BL71" s="27">
        <v>37</v>
      </c>
      <c r="BM71" s="20">
        <v>70</v>
      </c>
      <c r="BN71" s="8"/>
      <c r="BO71" s="49">
        <v>69</v>
      </c>
      <c r="BP71" s="83">
        <f t="shared" si="60"/>
        <v>2</v>
      </c>
      <c r="BQ71" s="15">
        <f t="shared" si="53"/>
        <v>92.15</v>
      </c>
      <c r="BR71" s="52">
        <v>31</v>
      </c>
      <c r="BS71" s="16">
        <f t="shared" si="42"/>
        <v>8.1772619361646006E-3</v>
      </c>
      <c r="BT71" s="17">
        <f>IF(AND(BO71&lt;&gt;"", BR71&lt;&gt;""), SUM(BR$59:BR71), "")</f>
        <v>313</v>
      </c>
      <c r="BU71" s="16">
        <f t="shared" si="43"/>
        <v>8.256396729095225E-2</v>
      </c>
      <c r="BV71" s="14"/>
      <c r="BW71" s="27">
        <v>37</v>
      </c>
      <c r="BX71" s="20">
        <v>69</v>
      </c>
      <c r="BY71" s="8"/>
      <c r="BZ71" s="49">
        <v>68</v>
      </c>
      <c r="CA71" s="83">
        <f t="shared" si="61"/>
        <v>2</v>
      </c>
      <c r="CB71" s="15">
        <f t="shared" si="54"/>
        <v>90.8</v>
      </c>
      <c r="CC71" s="52">
        <v>27</v>
      </c>
      <c r="CD71" s="16">
        <f t="shared" si="44"/>
        <v>6.3589260480452188E-3</v>
      </c>
      <c r="CE71" s="17">
        <f>IF(AND(BZ71&lt;&gt;"", CC71&lt;&gt;""), SUM(CC$59:CC71), "")</f>
        <v>404</v>
      </c>
      <c r="CF71" s="16">
        <f t="shared" si="45"/>
        <v>9.514837494112105E-2</v>
      </c>
      <c r="CG71" s="14"/>
      <c r="CH71" s="27">
        <v>37</v>
      </c>
      <c r="CI71" s="20">
        <v>58</v>
      </c>
      <c r="CJ71" s="8"/>
      <c r="CK71" s="48">
        <v>56</v>
      </c>
      <c r="CL71" s="83">
        <f t="shared" si="62"/>
        <v>4</v>
      </c>
      <c r="CM71" s="15">
        <f t="shared" si="55"/>
        <v>71.39</v>
      </c>
      <c r="CN71" s="52">
        <v>95</v>
      </c>
      <c r="CO71" s="16">
        <f t="shared" si="46"/>
        <v>1.636802205375603E-2</v>
      </c>
      <c r="CP71" s="17">
        <f>IF(AND(CK71&lt;&gt;"", CN71&lt;&gt;""), SUM(CN$59:CN71), "")</f>
        <v>1708</v>
      </c>
      <c r="CQ71" s="16">
        <f t="shared" si="47"/>
        <v>0.29427980702963474</v>
      </c>
      <c r="CR71" s="14"/>
      <c r="CS71" s="27">
        <v>37</v>
      </c>
      <c r="CT71" s="20">
        <v>73</v>
      </c>
      <c r="CU71" s="8"/>
      <c r="CV71" s="49">
        <v>73</v>
      </c>
      <c r="CW71" s="83">
        <f t="shared" si="63"/>
        <v>2</v>
      </c>
      <c r="CX71" s="15">
        <f t="shared" si="56"/>
        <v>93.62</v>
      </c>
      <c r="CY71" s="52">
        <v>8</v>
      </c>
      <c r="CZ71" s="16">
        <f t="shared" si="48"/>
        <v>1.5229392727964973E-3</v>
      </c>
      <c r="DA71" s="17">
        <f>IF(AND(CV71&lt;&gt;"", CY71&lt;&gt;""), SUM(CY$59:CY71), "")</f>
        <v>339</v>
      </c>
      <c r="DB71" s="16">
        <f t="shared" si="49"/>
        <v>6.453455168475157E-2</v>
      </c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</row>
    <row r="72" spans="5:180" ht="16" customHeight="1" x14ac:dyDescent="0.2">
      <c r="E72" s="1"/>
      <c r="F72" s="86"/>
      <c r="G72" s="85">
        <v>8</v>
      </c>
      <c r="H72" s="36"/>
      <c r="I72" s="86"/>
      <c r="J72" s="85">
        <v>8</v>
      </c>
      <c r="K72" s="70"/>
      <c r="L72" s="70"/>
      <c r="M72" s="70"/>
      <c r="N72"/>
      <c r="O72" s="38">
        <v>66</v>
      </c>
      <c r="P72" s="83">
        <f t="shared" si="70"/>
        <v>8</v>
      </c>
      <c r="Q72" s="15">
        <f t="shared" si="68"/>
        <v>4.4400000000000004</v>
      </c>
      <c r="R72" s="43">
        <v>1773</v>
      </c>
      <c r="S72" s="16">
        <f t="shared" si="64"/>
        <v>6.1787767903816E-3</v>
      </c>
      <c r="T72" s="17">
        <f>IF(AND(O72&lt;&gt;"", R72&lt;&gt;""), SUM(R$4:R72), "")</f>
        <v>275099</v>
      </c>
      <c r="U72" s="16">
        <f t="shared" si="65"/>
        <v>0.95870012197246912</v>
      </c>
      <c r="W72" s="38">
        <v>92</v>
      </c>
      <c r="X72" s="83">
        <f t="shared" si="71"/>
        <v>5</v>
      </c>
      <c r="Y72" s="15">
        <f t="shared" si="69"/>
        <v>44.92</v>
      </c>
      <c r="Z72" s="43">
        <v>4161</v>
      </c>
      <c r="AA72" s="16">
        <f t="shared" si="66"/>
        <v>1.4549001919587131E-2</v>
      </c>
      <c r="AB72" s="17">
        <f>IF(AND(W72&lt;&gt;"", Z72&lt;&gt;""), SUM(Z$4:Z72), "")</f>
        <v>159605</v>
      </c>
      <c r="AC72" s="16">
        <f t="shared" si="67"/>
        <v>0.55806139182304837</v>
      </c>
      <c r="AD72" s="1"/>
      <c r="AE72" s="19">
        <v>36</v>
      </c>
      <c r="AF72" s="20">
        <v>60</v>
      </c>
      <c r="AG72" s="8"/>
      <c r="AH72" s="49">
        <v>58</v>
      </c>
      <c r="AI72" s="83">
        <f t="shared" si="57"/>
        <v>4</v>
      </c>
      <c r="AJ72" s="15">
        <f t="shared" si="50"/>
        <v>75.22</v>
      </c>
      <c r="AK72" s="52">
        <v>335</v>
      </c>
      <c r="AL72" s="16">
        <f t="shared" si="36"/>
        <v>1.7511761630946157E-2</v>
      </c>
      <c r="AM72" s="17">
        <f>IF(AND(AH72&lt;&gt;"", AK72&lt;&gt;""), SUM(AK$59:AK72), "")</f>
        <v>4908</v>
      </c>
      <c r="AN72" s="16">
        <f t="shared" si="37"/>
        <v>0.25656037637219026</v>
      </c>
      <c r="AO72" s="14"/>
      <c r="AP72" s="19">
        <v>36</v>
      </c>
      <c r="AQ72" s="20">
        <v>61</v>
      </c>
      <c r="AR72" s="8"/>
      <c r="AS72" s="49">
        <v>59</v>
      </c>
      <c r="AT72" s="83">
        <f t="shared" si="58"/>
        <v>3</v>
      </c>
      <c r="AU72" s="15">
        <f t="shared" si="51"/>
        <v>78.25</v>
      </c>
      <c r="AV72" s="52">
        <v>247</v>
      </c>
      <c r="AW72" s="16">
        <f t="shared" si="38"/>
        <v>1.7289654206915861E-2</v>
      </c>
      <c r="AX72" s="17">
        <f>IF(AND(AS72&lt;&gt;"", AV72&lt;&gt;""), SUM(AV$59:AV72), "")</f>
        <v>3231</v>
      </c>
      <c r="AY72" s="16">
        <f t="shared" si="39"/>
        <v>0.22616547669046619</v>
      </c>
      <c r="AZ72" s="14"/>
      <c r="BA72" s="19">
        <v>36</v>
      </c>
      <c r="BB72" s="20">
        <v>63</v>
      </c>
      <c r="BC72" s="8"/>
      <c r="BD72" s="49">
        <v>60</v>
      </c>
      <c r="BE72" s="83">
        <f t="shared" si="59"/>
        <v>3</v>
      </c>
      <c r="BF72" s="15">
        <f t="shared" si="52"/>
        <v>81.89</v>
      </c>
      <c r="BG72" s="52">
        <v>148</v>
      </c>
      <c r="BH72" s="16">
        <f t="shared" si="40"/>
        <v>1.2592529566919084E-2</v>
      </c>
      <c r="BI72" s="17">
        <f>IF(AND(BD72&lt;&gt;"", BG72&lt;&gt;""), SUM(BG$59:BG72), "")</f>
        <v>2202</v>
      </c>
      <c r="BJ72" s="16">
        <f t="shared" si="41"/>
        <v>0.18735641963753935</v>
      </c>
      <c r="BK72" s="14"/>
      <c r="BL72" s="27">
        <v>36</v>
      </c>
      <c r="BM72" s="20">
        <v>69</v>
      </c>
      <c r="BN72" s="8"/>
      <c r="BO72" s="49">
        <v>68</v>
      </c>
      <c r="BP72" s="83">
        <f t="shared" si="60"/>
        <v>2</v>
      </c>
      <c r="BQ72" s="15">
        <f t="shared" si="53"/>
        <v>91.51</v>
      </c>
      <c r="BR72" s="52">
        <v>18</v>
      </c>
      <c r="BS72" s="16">
        <f t="shared" si="42"/>
        <v>4.7480875758375103E-3</v>
      </c>
      <c r="BT72" s="17">
        <f>IF(AND(BO72&lt;&gt;"", BR72&lt;&gt;""), SUM(BR$59:BR72), "")</f>
        <v>331</v>
      </c>
      <c r="BU72" s="16">
        <f t="shared" si="43"/>
        <v>8.7312054866789765E-2</v>
      </c>
      <c r="BV72" s="14"/>
      <c r="BW72" s="27">
        <v>36</v>
      </c>
      <c r="BX72" s="20">
        <v>68</v>
      </c>
      <c r="BY72" s="8"/>
      <c r="BZ72" s="49">
        <v>67</v>
      </c>
      <c r="CA72" s="83">
        <f t="shared" si="61"/>
        <v>2</v>
      </c>
      <c r="CB72" s="15">
        <f t="shared" si="54"/>
        <v>90.25</v>
      </c>
      <c r="CC72" s="52">
        <v>20</v>
      </c>
      <c r="CD72" s="16">
        <f t="shared" si="44"/>
        <v>4.7103155911446069E-3</v>
      </c>
      <c r="CE72" s="17">
        <f>IF(AND(BZ72&lt;&gt;"", CC72&lt;&gt;""), SUM(CC$59:CC72), "")</f>
        <v>424</v>
      </c>
      <c r="CF72" s="16">
        <f t="shared" si="45"/>
        <v>9.9858690532265662E-2</v>
      </c>
      <c r="CG72" s="14"/>
      <c r="CH72" s="27">
        <v>36</v>
      </c>
      <c r="CI72" s="20">
        <v>57</v>
      </c>
      <c r="CJ72" s="8"/>
      <c r="CK72" s="49">
        <v>55</v>
      </c>
      <c r="CL72" s="83">
        <f t="shared" si="62"/>
        <v>4</v>
      </c>
      <c r="CM72" s="15">
        <f t="shared" si="55"/>
        <v>69.180000000000007</v>
      </c>
      <c r="CN72" s="52">
        <v>162</v>
      </c>
      <c r="CO72" s="16">
        <f t="shared" si="46"/>
        <v>2.7911784975878703E-2</v>
      </c>
      <c r="CP72" s="17">
        <f>IF(AND(CK72&lt;&gt;"", CN72&lt;&gt;""), SUM(CN$59:CN72), "")</f>
        <v>1870</v>
      </c>
      <c r="CQ72" s="16">
        <f t="shared" si="47"/>
        <v>0.32219159200551345</v>
      </c>
      <c r="CR72" s="14"/>
      <c r="CS72" s="27">
        <v>36</v>
      </c>
      <c r="CT72" s="20">
        <v>72</v>
      </c>
      <c r="CU72" s="8"/>
      <c r="CV72" s="49">
        <v>72</v>
      </c>
      <c r="CW72" s="83">
        <f t="shared" si="63"/>
        <v>2</v>
      </c>
      <c r="CX72" s="15">
        <f t="shared" si="56"/>
        <v>93.38</v>
      </c>
      <c r="CY72" s="52">
        <v>18</v>
      </c>
      <c r="CZ72" s="16">
        <f t="shared" si="48"/>
        <v>3.4266133637921186E-3</v>
      </c>
      <c r="DA72" s="17">
        <f>IF(AND(CV72&lt;&gt;"", CY72&lt;&gt;""), SUM(CY$59:CY72), "")</f>
        <v>357</v>
      </c>
      <c r="DB72" s="16">
        <f t="shared" si="49"/>
        <v>6.7961165048543687E-2</v>
      </c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</row>
    <row r="73" spans="5:180" ht="16" customHeight="1" x14ac:dyDescent="0.2">
      <c r="E73" s="1"/>
      <c r="F73" s="86"/>
      <c r="G73" s="85">
        <v>9</v>
      </c>
      <c r="H73" s="36"/>
      <c r="I73" s="86"/>
      <c r="J73" s="85">
        <v>9</v>
      </c>
      <c r="K73" s="70"/>
      <c r="L73" s="70"/>
      <c r="M73" s="70"/>
      <c r="N73"/>
      <c r="O73" s="38">
        <v>65</v>
      </c>
      <c r="P73" s="83">
        <f t="shared" si="70"/>
        <v>8</v>
      </c>
      <c r="Q73" s="15">
        <f t="shared" si="68"/>
        <v>3.79</v>
      </c>
      <c r="R73" s="43">
        <v>1949</v>
      </c>
      <c r="S73" s="16">
        <f t="shared" si="64"/>
        <v>6.7921240634256841E-3</v>
      </c>
      <c r="T73" s="17">
        <f>IF(AND(O73&lt;&gt;"", R73&lt;&gt;""), SUM(R$4:R73), "")</f>
        <v>277048</v>
      </c>
      <c r="U73" s="16">
        <f t="shared" si="65"/>
        <v>0.96549224603589479</v>
      </c>
      <c r="W73" s="38">
        <v>91</v>
      </c>
      <c r="X73" s="83">
        <f t="shared" si="71"/>
        <v>5</v>
      </c>
      <c r="Y73" s="15">
        <f t="shared" si="69"/>
        <v>43.34</v>
      </c>
      <c r="Z73" s="43">
        <v>4875</v>
      </c>
      <c r="AA73" s="16">
        <f t="shared" si="66"/>
        <v>1.7045514145154355E-2</v>
      </c>
      <c r="AB73" s="17">
        <f>IF(AND(W73&lt;&gt;"", Z73&lt;&gt;""), SUM(Z$4:Z73), "")</f>
        <v>164480</v>
      </c>
      <c r="AC73" s="16">
        <f t="shared" si="67"/>
        <v>0.57510690596820269</v>
      </c>
      <c r="AD73" s="1"/>
      <c r="AE73" s="19">
        <v>35</v>
      </c>
      <c r="AF73" s="20">
        <v>59</v>
      </c>
      <c r="AG73" s="8"/>
      <c r="AH73" s="49">
        <v>57</v>
      </c>
      <c r="AI73" s="83">
        <f t="shared" si="57"/>
        <v>4</v>
      </c>
      <c r="AJ73" s="15">
        <f t="shared" si="50"/>
        <v>73.3</v>
      </c>
      <c r="AK73" s="52">
        <v>400</v>
      </c>
      <c r="AL73" s="16">
        <f t="shared" si="36"/>
        <v>2.0909566126502875E-2</v>
      </c>
      <c r="AM73" s="17">
        <f>IF(AND(AH73&lt;&gt;"", AK73&lt;&gt;""), SUM(AK$59:AK73), "")</f>
        <v>5308</v>
      </c>
      <c r="AN73" s="16">
        <f t="shared" si="37"/>
        <v>0.27746994249869317</v>
      </c>
      <c r="AO73" s="14"/>
      <c r="AP73" s="19">
        <v>35</v>
      </c>
      <c r="AQ73" s="20">
        <v>61</v>
      </c>
      <c r="AR73" s="8"/>
      <c r="AS73" s="49">
        <v>58</v>
      </c>
      <c r="AT73" s="83">
        <f t="shared" si="58"/>
        <v>3</v>
      </c>
      <c r="AU73" s="15">
        <f t="shared" si="51"/>
        <v>76.459999999999994</v>
      </c>
      <c r="AV73" s="52">
        <v>263</v>
      </c>
      <c r="AW73" s="16">
        <f t="shared" si="38"/>
        <v>1.8409631807363852E-2</v>
      </c>
      <c r="AX73" s="17">
        <f>IF(AND(AS73&lt;&gt;"", AV73&lt;&gt;""), SUM(AV$59:AV73), "")</f>
        <v>3494</v>
      </c>
      <c r="AY73" s="16">
        <f t="shared" si="39"/>
        <v>0.24457510849783004</v>
      </c>
      <c r="AZ73" s="14"/>
      <c r="BA73" s="19">
        <v>35</v>
      </c>
      <c r="BB73" s="20">
        <v>62</v>
      </c>
      <c r="BC73" s="8"/>
      <c r="BD73" s="49">
        <v>59</v>
      </c>
      <c r="BE73" s="83">
        <f t="shared" si="59"/>
        <v>3</v>
      </c>
      <c r="BF73" s="15">
        <f t="shared" si="52"/>
        <v>79.92</v>
      </c>
      <c r="BG73" s="52">
        <v>316</v>
      </c>
      <c r="BH73" s="16">
        <f t="shared" si="40"/>
        <v>2.6886752318556965E-2</v>
      </c>
      <c r="BI73" s="17">
        <f>IF(AND(BD73&lt;&gt;"", BG73&lt;&gt;""), SUM(BG$59:BG73), "")</f>
        <v>2518</v>
      </c>
      <c r="BJ73" s="16">
        <f t="shared" si="41"/>
        <v>0.21424317195609632</v>
      </c>
      <c r="BK73" s="14"/>
      <c r="BL73" s="27">
        <v>35</v>
      </c>
      <c r="BM73" s="20">
        <v>68</v>
      </c>
      <c r="BN73" s="8"/>
      <c r="BO73" s="49">
        <v>67</v>
      </c>
      <c r="BP73" s="83">
        <f t="shared" si="60"/>
        <v>2</v>
      </c>
      <c r="BQ73" s="15">
        <f t="shared" si="53"/>
        <v>90.74</v>
      </c>
      <c r="BR73" s="52">
        <v>40</v>
      </c>
      <c r="BS73" s="16">
        <f t="shared" si="42"/>
        <v>1.0551305724083356E-2</v>
      </c>
      <c r="BT73" s="17">
        <f>IF(AND(BO73&lt;&gt;"", BR73&lt;&gt;""), SUM(BR$59:BR73), "")</f>
        <v>371</v>
      </c>
      <c r="BU73" s="16">
        <f t="shared" si="43"/>
        <v>9.7863360590873125E-2</v>
      </c>
      <c r="BV73" s="14"/>
      <c r="BW73" s="27">
        <v>35</v>
      </c>
      <c r="BX73" s="20">
        <v>67</v>
      </c>
      <c r="BY73" s="8"/>
      <c r="BZ73" s="49">
        <v>66</v>
      </c>
      <c r="CA73" s="83">
        <f t="shared" si="61"/>
        <v>2</v>
      </c>
      <c r="CB73" s="15">
        <f t="shared" si="54"/>
        <v>89.53</v>
      </c>
      <c r="CC73" s="52">
        <v>41</v>
      </c>
      <c r="CD73" s="16">
        <f t="shared" si="44"/>
        <v>9.6561469618464436E-3</v>
      </c>
      <c r="CE73" s="17">
        <f>IF(AND(BZ73&lt;&gt;"", CC73&lt;&gt;""), SUM(CC$59:CC73), "")</f>
        <v>465</v>
      </c>
      <c r="CF73" s="16">
        <f t="shared" si="45"/>
        <v>0.1095148374941121</v>
      </c>
      <c r="CG73" s="14"/>
      <c r="CH73" s="27">
        <v>35</v>
      </c>
      <c r="CI73" s="20">
        <v>56</v>
      </c>
      <c r="CJ73" s="8"/>
      <c r="CK73" s="49">
        <v>54</v>
      </c>
      <c r="CL73" s="83">
        <f t="shared" si="62"/>
        <v>4</v>
      </c>
      <c r="CM73" s="15">
        <f t="shared" si="55"/>
        <v>66.52</v>
      </c>
      <c r="CN73" s="52">
        <v>146</v>
      </c>
      <c r="CO73" s="16">
        <f t="shared" si="46"/>
        <v>2.5155065472088216E-2</v>
      </c>
      <c r="CP73" s="17">
        <f>IF(AND(CK73&lt;&gt;"", CN73&lt;&gt;""), SUM(CN$59:CN73), "")</f>
        <v>2016</v>
      </c>
      <c r="CQ73" s="16">
        <f t="shared" si="47"/>
        <v>0.34734665747760163</v>
      </c>
      <c r="CR73" s="14"/>
      <c r="CS73" s="27">
        <v>35</v>
      </c>
      <c r="CT73" s="20">
        <v>71</v>
      </c>
      <c r="CU73" s="8"/>
      <c r="CV73" s="49">
        <v>71</v>
      </c>
      <c r="CW73" s="83">
        <f t="shared" si="63"/>
        <v>2</v>
      </c>
      <c r="CX73" s="15">
        <f t="shared" si="56"/>
        <v>92.98</v>
      </c>
      <c r="CY73" s="52">
        <v>23</v>
      </c>
      <c r="CZ73" s="16">
        <f t="shared" si="48"/>
        <v>4.3784504092899299E-3</v>
      </c>
      <c r="DA73" s="17">
        <f>IF(AND(CV73&lt;&gt;"", CY73&lt;&gt;""), SUM(CY$59:CY73), "")</f>
        <v>380</v>
      </c>
      <c r="DB73" s="16">
        <f t="shared" si="49"/>
        <v>7.2339615457833614E-2</v>
      </c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</row>
    <row r="74" spans="5:180" ht="16" customHeight="1" x14ac:dyDescent="0.2">
      <c r="E74" s="1"/>
      <c r="F74" s="1"/>
      <c r="G74" s="1"/>
      <c r="H74" s="1"/>
      <c r="I74" s="1"/>
      <c r="J74" s="1"/>
      <c r="K74" s="1"/>
      <c r="L74" s="1"/>
      <c r="M74" s="1"/>
      <c r="N74"/>
      <c r="O74" s="38">
        <v>64</v>
      </c>
      <c r="P74" s="83">
        <f t="shared" si="70"/>
        <v>9</v>
      </c>
      <c r="Q74" s="15">
        <f t="shared" si="68"/>
        <v>3.18</v>
      </c>
      <c r="R74" s="43">
        <v>1526</v>
      </c>
      <c r="S74" s="16">
        <f t="shared" si="64"/>
        <v>5.3179996515072313E-3</v>
      </c>
      <c r="T74" s="17">
        <f>IF(AND(O74&lt;&gt;"", R74&lt;&gt;""), SUM(R$4:R74), "")</f>
        <v>278574</v>
      </c>
      <c r="U74" s="16">
        <f t="shared" si="65"/>
        <v>0.97081024568740204</v>
      </c>
      <c r="W74" s="38">
        <v>90</v>
      </c>
      <c r="X74" s="83">
        <f t="shared" si="71"/>
        <v>5</v>
      </c>
      <c r="Y74" s="15">
        <f t="shared" si="69"/>
        <v>41.65</v>
      </c>
      <c r="Z74" s="43">
        <v>4809</v>
      </c>
      <c r="AA74" s="16">
        <f t="shared" si="66"/>
        <v>1.6814744107496879E-2</v>
      </c>
      <c r="AB74" s="17">
        <f>IF(AND(W74&lt;&gt;"", Z74&lt;&gt;""), SUM(Z$4:Z74), "")</f>
        <v>169289</v>
      </c>
      <c r="AC74" s="16">
        <f t="shared" si="67"/>
        <v>0.59192165007569952</v>
      </c>
      <c r="AD74" s="1"/>
      <c r="AE74" s="19">
        <v>34</v>
      </c>
      <c r="AF74" s="20">
        <v>59</v>
      </c>
      <c r="AG74" s="8"/>
      <c r="AH74" s="49">
        <v>56</v>
      </c>
      <c r="AI74" s="83">
        <f t="shared" si="57"/>
        <v>4</v>
      </c>
      <c r="AJ74" s="15">
        <f t="shared" si="50"/>
        <v>71.31</v>
      </c>
      <c r="AK74" s="52">
        <v>359</v>
      </c>
      <c r="AL74" s="16">
        <f t="shared" si="36"/>
        <v>1.876633559853633E-2</v>
      </c>
      <c r="AM74" s="17">
        <f>IF(AND(AH74&lt;&gt;"", AK74&lt;&gt;""), SUM(AK$59:AK74), "")</f>
        <v>5667</v>
      </c>
      <c r="AN74" s="16">
        <f t="shared" si="37"/>
        <v>0.29623627809722947</v>
      </c>
      <c r="AO74" s="14"/>
      <c r="AP74" s="19">
        <v>34</v>
      </c>
      <c r="AQ74" s="20">
        <v>60</v>
      </c>
      <c r="AR74" s="8"/>
      <c r="AS74" s="49">
        <v>57</v>
      </c>
      <c r="AT74" s="83">
        <f t="shared" si="58"/>
        <v>4</v>
      </c>
      <c r="AU74" s="15">
        <f t="shared" si="51"/>
        <v>74.81</v>
      </c>
      <c r="AV74" s="52">
        <v>209</v>
      </c>
      <c r="AW74" s="16">
        <f t="shared" si="38"/>
        <v>1.4629707405851884E-2</v>
      </c>
      <c r="AX74" s="17">
        <f>IF(AND(AS74&lt;&gt;"", AV74&lt;&gt;""), SUM(AV$59:AV74), "")</f>
        <v>3703</v>
      </c>
      <c r="AY74" s="16">
        <f t="shared" si="39"/>
        <v>0.25920481590368194</v>
      </c>
      <c r="AZ74" s="14"/>
      <c r="BA74" s="19">
        <v>34</v>
      </c>
      <c r="BB74" s="20">
        <v>61</v>
      </c>
      <c r="BC74" s="8"/>
      <c r="BD74" s="49">
        <v>58</v>
      </c>
      <c r="BE74" s="83">
        <f t="shared" si="59"/>
        <v>3</v>
      </c>
      <c r="BF74" s="15">
        <f t="shared" si="52"/>
        <v>77.84</v>
      </c>
      <c r="BG74" s="52">
        <v>173</v>
      </c>
      <c r="BH74" s="16">
        <f t="shared" si="40"/>
        <v>1.4719646047817579E-2</v>
      </c>
      <c r="BI74" s="17">
        <f>IF(AND(BD74&lt;&gt;"", BG74&lt;&gt;""), SUM(BG$59:BG74), "")</f>
        <v>2691</v>
      </c>
      <c r="BJ74" s="16">
        <f t="shared" si="41"/>
        <v>0.22896281800391388</v>
      </c>
      <c r="BK74" s="14"/>
      <c r="BL74" s="27">
        <v>34</v>
      </c>
      <c r="BM74" s="20">
        <v>67</v>
      </c>
      <c r="BN74" s="8"/>
      <c r="BO74" s="49">
        <v>66</v>
      </c>
      <c r="BP74" s="83">
        <f t="shared" si="60"/>
        <v>2</v>
      </c>
      <c r="BQ74" s="15">
        <f t="shared" si="53"/>
        <v>89.75</v>
      </c>
      <c r="BR74" s="52">
        <v>35</v>
      </c>
      <c r="BS74" s="16">
        <f t="shared" si="42"/>
        <v>9.2323925085729362E-3</v>
      </c>
      <c r="BT74" s="17">
        <f>IF(AND(BO74&lt;&gt;"", BR74&lt;&gt;""), SUM(BR$59:BR74), "")</f>
        <v>406</v>
      </c>
      <c r="BU74" s="16">
        <f t="shared" si="43"/>
        <v>0.10709575309944605</v>
      </c>
      <c r="BV74" s="14"/>
      <c r="BW74" s="27">
        <v>34</v>
      </c>
      <c r="BX74" s="20">
        <v>66</v>
      </c>
      <c r="BY74" s="8"/>
      <c r="BZ74" s="49">
        <v>65</v>
      </c>
      <c r="CA74" s="83">
        <f t="shared" si="61"/>
        <v>2</v>
      </c>
      <c r="CB74" s="15">
        <f t="shared" si="54"/>
        <v>88.73</v>
      </c>
      <c r="CC74" s="52">
        <v>27</v>
      </c>
      <c r="CD74" s="16">
        <f t="shared" si="44"/>
        <v>6.3589260480452188E-3</v>
      </c>
      <c r="CE74" s="17">
        <f>IF(AND(BZ74&lt;&gt;"", CC74&lt;&gt;""), SUM(CC$59:CC74), "")</f>
        <v>492</v>
      </c>
      <c r="CF74" s="16">
        <f t="shared" si="45"/>
        <v>0.11587376354215732</v>
      </c>
      <c r="CG74" s="14"/>
      <c r="CH74" s="27">
        <v>34</v>
      </c>
      <c r="CI74" s="20">
        <v>55</v>
      </c>
      <c r="CJ74" s="8"/>
      <c r="CK74" s="48">
        <v>53</v>
      </c>
      <c r="CL74" s="83">
        <f t="shared" si="62"/>
        <v>4</v>
      </c>
      <c r="CM74" s="15">
        <f t="shared" si="55"/>
        <v>63.06</v>
      </c>
      <c r="CN74" s="52">
        <v>256</v>
      </c>
      <c r="CO74" s="16">
        <f t="shared" si="46"/>
        <v>4.4107512060647829E-2</v>
      </c>
      <c r="CP74" s="17">
        <f>IF(AND(CK74&lt;&gt;"", CN74&lt;&gt;""), SUM(CN$59:CN74), "")</f>
        <v>2272</v>
      </c>
      <c r="CQ74" s="16">
        <f t="shared" si="47"/>
        <v>0.39145416953824946</v>
      </c>
      <c r="CR74" s="14"/>
      <c r="CS74" s="27">
        <v>34</v>
      </c>
      <c r="CT74" s="20">
        <v>70</v>
      </c>
      <c r="CU74" s="8"/>
      <c r="CV74" s="49">
        <v>70</v>
      </c>
      <c r="CW74" s="83">
        <f t="shared" si="63"/>
        <v>2</v>
      </c>
      <c r="CX74" s="15">
        <f t="shared" si="56"/>
        <v>92.7</v>
      </c>
      <c r="CY74" s="52">
        <v>7</v>
      </c>
      <c r="CZ74" s="16">
        <f t="shared" si="48"/>
        <v>1.332571863696935E-3</v>
      </c>
      <c r="DA74" s="17">
        <f>IF(AND(CV74&lt;&gt;"", CY74&lt;&gt;""), SUM(CY$59:CY74), "")</f>
        <v>387</v>
      </c>
      <c r="DB74" s="16">
        <f t="shared" si="49"/>
        <v>7.3672187321530552E-2</v>
      </c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</row>
    <row r="75" spans="5:180" ht="16" customHeight="1" thickBot="1" x14ac:dyDescent="0.25">
      <c r="E75" s="1"/>
      <c r="F75" s="117" t="s">
        <v>8</v>
      </c>
      <c r="G75" s="118"/>
      <c r="H75" s="36"/>
      <c r="I75" s="117" t="s">
        <v>31</v>
      </c>
      <c r="J75" s="118"/>
      <c r="K75" s="36"/>
      <c r="L75"/>
      <c r="M75"/>
      <c r="N75"/>
      <c r="O75" s="38">
        <v>63</v>
      </c>
      <c r="P75" s="83">
        <f t="shared" si="70"/>
        <v>9</v>
      </c>
      <c r="Q75" s="15">
        <f t="shared" si="68"/>
        <v>2.68</v>
      </c>
      <c r="R75" s="43">
        <v>1382</v>
      </c>
      <c r="S75" s="16">
        <f t="shared" si="64"/>
        <v>4.8161700644711626E-3</v>
      </c>
      <c r="T75" s="17">
        <f>IF(AND(O75&lt;&gt;"", R75&lt;&gt;""), SUM(R$4:R75), "")</f>
        <v>279956</v>
      </c>
      <c r="U75" s="16">
        <f t="shared" si="65"/>
        <v>0.97562641575187314</v>
      </c>
      <c r="W75" s="38">
        <v>89</v>
      </c>
      <c r="X75" s="83">
        <f t="shared" si="71"/>
        <v>5</v>
      </c>
      <c r="Y75" s="15">
        <f t="shared" si="69"/>
        <v>39.93</v>
      </c>
      <c r="Z75" s="43">
        <v>5032</v>
      </c>
      <c r="AA75" s="16">
        <f t="shared" si="66"/>
        <v>1.7594467113521375E-2</v>
      </c>
      <c r="AB75" s="17">
        <f>IF(AND(W75&lt;&gt;"", Z75&lt;&gt;""), SUM(Z$4:Z75), "")</f>
        <v>174321</v>
      </c>
      <c r="AC75" s="16">
        <f t="shared" si="67"/>
        <v>0.60951611718922094</v>
      </c>
      <c r="AD75" s="1"/>
      <c r="AE75" s="19">
        <v>33</v>
      </c>
      <c r="AF75" s="20">
        <v>58</v>
      </c>
      <c r="AG75" s="8"/>
      <c r="AH75" s="49">
        <v>55</v>
      </c>
      <c r="AI75" s="83">
        <f t="shared" si="57"/>
        <v>4</v>
      </c>
      <c r="AJ75" s="15">
        <f t="shared" si="50"/>
        <v>68.41</v>
      </c>
      <c r="AK75" s="52">
        <v>751</v>
      </c>
      <c r="AL75" s="16">
        <f t="shared" si="36"/>
        <v>3.9257710402509145E-2</v>
      </c>
      <c r="AM75" s="17">
        <f>IF(AND(AH75&lt;&gt;"", AK75&lt;&gt;""), SUM(AK$59:AK75), "")</f>
        <v>6418</v>
      </c>
      <c r="AN75" s="16">
        <f t="shared" si="37"/>
        <v>0.3354939884997386</v>
      </c>
      <c r="AO75" s="14"/>
      <c r="AP75" s="19">
        <v>33</v>
      </c>
      <c r="AQ75" s="20">
        <v>59</v>
      </c>
      <c r="AR75" s="8"/>
      <c r="AS75" s="49">
        <v>56</v>
      </c>
      <c r="AT75" s="83">
        <f t="shared" si="58"/>
        <v>4</v>
      </c>
      <c r="AU75" s="15">
        <f t="shared" si="51"/>
        <v>72.25</v>
      </c>
      <c r="AV75" s="52">
        <v>522</v>
      </c>
      <c r="AW75" s="16">
        <f t="shared" si="38"/>
        <v>3.6539269214615706E-2</v>
      </c>
      <c r="AX75" s="17">
        <f>IF(AND(AS75&lt;&gt;"", AV75&lt;&gt;""), SUM(AV$59:AV75), "")</f>
        <v>4225</v>
      </c>
      <c r="AY75" s="16">
        <f t="shared" si="39"/>
        <v>0.29574408511829764</v>
      </c>
      <c r="AZ75" s="14"/>
      <c r="BA75" s="19">
        <v>33</v>
      </c>
      <c r="BB75" s="20">
        <v>60</v>
      </c>
      <c r="BC75" s="8"/>
      <c r="BD75" s="49">
        <v>57</v>
      </c>
      <c r="BE75" s="83">
        <f t="shared" si="59"/>
        <v>3</v>
      </c>
      <c r="BF75" s="15">
        <f t="shared" si="52"/>
        <v>76.239999999999995</v>
      </c>
      <c r="BG75" s="52">
        <v>203</v>
      </c>
      <c r="BH75" s="16">
        <f t="shared" si="40"/>
        <v>1.7272185824895772E-2</v>
      </c>
      <c r="BI75" s="17">
        <f>IF(AND(BD75&lt;&gt;"", BG75&lt;&gt;""), SUM(BG$59:BG75), "")</f>
        <v>2894</v>
      </c>
      <c r="BJ75" s="16">
        <f t="shared" si="41"/>
        <v>0.24623500382880967</v>
      </c>
      <c r="BK75" s="14"/>
      <c r="BL75" s="27">
        <v>33</v>
      </c>
      <c r="BM75" s="20">
        <v>66</v>
      </c>
      <c r="BN75" s="8"/>
      <c r="BO75" s="49">
        <v>65</v>
      </c>
      <c r="BP75" s="83">
        <f t="shared" si="60"/>
        <v>2</v>
      </c>
      <c r="BQ75" s="15">
        <f t="shared" si="53"/>
        <v>88.92</v>
      </c>
      <c r="BR75" s="52">
        <v>28</v>
      </c>
      <c r="BS75" s="16">
        <f t="shared" si="42"/>
        <v>7.3859140068583485E-3</v>
      </c>
      <c r="BT75" s="17">
        <f>IF(AND(BO75&lt;&gt;"", BR75&lt;&gt;""), SUM(BR$59:BR75), "")</f>
        <v>434</v>
      </c>
      <c r="BU75" s="16">
        <f t="shared" si="43"/>
        <v>0.11448166710630441</v>
      </c>
      <c r="BV75" s="14"/>
      <c r="BW75" s="27">
        <v>33</v>
      </c>
      <c r="BX75" s="20">
        <v>65</v>
      </c>
      <c r="BY75" s="8"/>
      <c r="BZ75" s="49">
        <v>64</v>
      </c>
      <c r="CA75" s="83">
        <f t="shared" si="61"/>
        <v>3</v>
      </c>
      <c r="CB75" s="15">
        <f t="shared" si="54"/>
        <v>88.11</v>
      </c>
      <c r="CC75" s="52">
        <v>26</v>
      </c>
      <c r="CD75" s="16">
        <f t="shared" si="44"/>
        <v>6.1234102684879889E-3</v>
      </c>
      <c r="CE75" s="17">
        <f>IF(AND(BZ75&lt;&gt;"", CC75&lt;&gt;""), SUM(CC$59:CC75), "")</f>
        <v>518</v>
      </c>
      <c r="CF75" s="16">
        <f t="shared" si="45"/>
        <v>0.12199717381064532</v>
      </c>
      <c r="CG75" s="14"/>
      <c r="CH75" s="27">
        <v>33</v>
      </c>
      <c r="CI75" s="20">
        <v>54</v>
      </c>
      <c r="CJ75" s="8"/>
      <c r="CK75" s="49">
        <v>52</v>
      </c>
      <c r="CL75" s="83">
        <f t="shared" si="62"/>
        <v>4</v>
      </c>
      <c r="CM75" s="15">
        <f t="shared" si="55"/>
        <v>60.1</v>
      </c>
      <c r="CN75" s="52">
        <v>88</v>
      </c>
      <c r="CO75" s="16">
        <f t="shared" si="46"/>
        <v>1.5161957270847692E-2</v>
      </c>
      <c r="CP75" s="17">
        <f>IF(AND(CK75&lt;&gt;"", CN75&lt;&gt;""), SUM(CN$59:CN75), "")</f>
        <v>2360</v>
      </c>
      <c r="CQ75" s="16">
        <f t="shared" si="47"/>
        <v>0.4066161268090972</v>
      </c>
      <c r="CR75" s="14"/>
      <c r="CS75" s="27">
        <v>33</v>
      </c>
      <c r="CT75" s="20">
        <v>69</v>
      </c>
      <c r="CU75" s="8"/>
      <c r="CV75" s="49">
        <v>69</v>
      </c>
      <c r="CW75" s="83">
        <f t="shared" si="63"/>
        <v>2</v>
      </c>
      <c r="CX75" s="15">
        <f t="shared" si="56"/>
        <v>92.43</v>
      </c>
      <c r="CY75" s="52">
        <v>21</v>
      </c>
      <c r="CZ75" s="16">
        <f t="shared" si="48"/>
        <v>3.9977155910908054E-3</v>
      </c>
      <c r="DA75" s="17">
        <f>IF(AND(CV75&lt;&gt;"", CY75&lt;&gt;""), SUM(CY$59:CY75), "")</f>
        <v>408</v>
      </c>
      <c r="DB75" s="16">
        <f t="shared" si="49"/>
        <v>7.7669902912621352E-2</v>
      </c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</row>
    <row r="76" spans="5:180" ht="16" customHeight="1" x14ac:dyDescent="0.2">
      <c r="E76" s="1"/>
      <c r="F76" s="30" t="s">
        <v>30</v>
      </c>
      <c r="G76" s="30" t="s">
        <v>14</v>
      </c>
      <c r="H76" s="36"/>
      <c r="I76" s="30" t="s">
        <v>30</v>
      </c>
      <c r="J76" s="30" t="s">
        <v>14</v>
      </c>
      <c r="K76" s="36"/>
      <c r="L76"/>
      <c r="M76"/>
      <c r="N76"/>
      <c r="O76" s="38">
        <v>62</v>
      </c>
      <c r="P76" s="83">
        <f t="shared" si="70"/>
        <v>9</v>
      </c>
      <c r="Q76" s="15">
        <f t="shared" si="68"/>
        <v>2.23</v>
      </c>
      <c r="R76" s="43">
        <v>1184</v>
      </c>
      <c r="S76" s="16">
        <f t="shared" si="64"/>
        <v>4.1261543822965676E-3</v>
      </c>
      <c r="T76" s="17">
        <f>IF(AND(O76&lt;&gt;"", R76&lt;&gt;""), SUM(R$4:R76), "")</f>
        <v>281140</v>
      </c>
      <c r="U76" s="16">
        <f t="shared" si="65"/>
        <v>0.97975257013416972</v>
      </c>
      <c r="W76" s="38">
        <v>88</v>
      </c>
      <c r="X76" s="83">
        <f t="shared" si="71"/>
        <v>6</v>
      </c>
      <c r="Y76" s="15">
        <f t="shared" si="69"/>
        <v>38.01</v>
      </c>
      <c r="Z76" s="43">
        <v>5930</v>
      </c>
      <c r="AA76" s="16">
        <f t="shared" si="66"/>
        <v>2.0734338231951858E-2</v>
      </c>
      <c r="AB76" s="17">
        <f>IF(AND(W76&lt;&gt;"", Z76&lt;&gt;""), SUM(Z$4:Z76), "")</f>
        <v>180251</v>
      </c>
      <c r="AC76" s="16">
        <f t="shared" si="67"/>
        <v>0.63025045542117275</v>
      </c>
      <c r="AD76" s="1"/>
      <c r="AE76" s="19">
        <v>32</v>
      </c>
      <c r="AF76" s="20">
        <v>57</v>
      </c>
      <c r="AG76" s="8"/>
      <c r="AH76" s="49">
        <v>54</v>
      </c>
      <c r="AI76" s="83">
        <f t="shared" si="57"/>
        <v>4</v>
      </c>
      <c r="AJ76" s="15">
        <f t="shared" si="50"/>
        <v>65.38</v>
      </c>
      <c r="AK76" s="52">
        <v>408</v>
      </c>
      <c r="AL76" s="16">
        <f t="shared" si="36"/>
        <v>2.1327757449032932E-2</v>
      </c>
      <c r="AM76" s="17">
        <f>IF(AND(AH76&lt;&gt;"", AK76&lt;&gt;""), SUM(AK$59:AK76), "")</f>
        <v>6826</v>
      </c>
      <c r="AN76" s="16">
        <f t="shared" si="37"/>
        <v>0.35682174594877158</v>
      </c>
      <c r="AO76" s="14"/>
      <c r="AP76" s="19">
        <v>32</v>
      </c>
      <c r="AQ76" s="20">
        <v>58</v>
      </c>
      <c r="AR76" s="8"/>
      <c r="AS76" s="49">
        <v>55</v>
      </c>
      <c r="AT76" s="83">
        <f t="shared" si="58"/>
        <v>4</v>
      </c>
      <c r="AU76" s="15">
        <f t="shared" si="51"/>
        <v>69.56</v>
      </c>
      <c r="AV76" s="52">
        <v>246</v>
      </c>
      <c r="AW76" s="16">
        <f t="shared" si="38"/>
        <v>1.7219655606887863E-2</v>
      </c>
      <c r="AX76" s="17">
        <f>IF(AND(AS76&lt;&gt;"", AV76&lt;&gt;""), SUM(AV$59:AV76), "")</f>
        <v>4471</v>
      </c>
      <c r="AY76" s="16">
        <f t="shared" si="39"/>
        <v>0.31296374072518551</v>
      </c>
      <c r="AZ76" s="14"/>
      <c r="BA76" s="19">
        <v>32</v>
      </c>
      <c r="BB76" s="20">
        <v>59</v>
      </c>
      <c r="BC76" s="8"/>
      <c r="BD76" s="49">
        <v>56</v>
      </c>
      <c r="BE76" s="83">
        <f t="shared" si="59"/>
        <v>4</v>
      </c>
      <c r="BF76" s="15">
        <f t="shared" si="52"/>
        <v>74.510000000000005</v>
      </c>
      <c r="BG76" s="52">
        <v>203</v>
      </c>
      <c r="BH76" s="16">
        <f t="shared" si="40"/>
        <v>1.7272185824895772E-2</v>
      </c>
      <c r="BI76" s="17">
        <f>IF(AND(BD76&lt;&gt;"", BG76&lt;&gt;""), SUM(BG$59:BG76), "")</f>
        <v>3097</v>
      </c>
      <c r="BJ76" s="16">
        <f t="shared" si="41"/>
        <v>0.26350718965370545</v>
      </c>
      <c r="BK76" s="14"/>
      <c r="BL76" s="27">
        <v>32</v>
      </c>
      <c r="BM76" s="20">
        <v>65</v>
      </c>
      <c r="BN76" s="8"/>
      <c r="BO76" s="49">
        <v>64</v>
      </c>
      <c r="BP76" s="83">
        <f t="shared" si="60"/>
        <v>3</v>
      </c>
      <c r="BQ76" s="15">
        <f t="shared" si="53"/>
        <v>88.12</v>
      </c>
      <c r="BR76" s="52">
        <v>33</v>
      </c>
      <c r="BS76" s="16">
        <f t="shared" si="42"/>
        <v>8.7048272223687675E-3</v>
      </c>
      <c r="BT76" s="17">
        <f>IF(AND(BO76&lt;&gt;"", BR76&lt;&gt;""), SUM(BR$59:BR76), "")</f>
        <v>467</v>
      </c>
      <c r="BU76" s="16">
        <f t="shared" si="43"/>
        <v>0.12318649432867318</v>
      </c>
      <c r="BV76" s="14"/>
      <c r="BW76" s="27">
        <v>32</v>
      </c>
      <c r="BX76" s="20">
        <v>64</v>
      </c>
      <c r="BY76" s="8"/>
      <c r="BZ76" s="49">
        <v>63</v>
      </c>
      <c r="CA76" s="83">
        <f t="shared" si="61"/>
        <v>3</v>
      </c>
      <c r="CB76" s="15">
        <f t="shared" si="54"/>
        <v>87.12</v>
      </c>
      <c r="CC76" s="52">
        <v>58</v>
      </c>
      <c r="CD76" s="16">
        <f t="shared" si="44"/>
        <v>1.3659915214319359E-2</v>
      </c>
      <c r="CE76" s="17">
        <f>IF(AND(BZ76&lt;&gt;"", CC76&lt;&gt;""), SUM(CC$59:CC76), "")</f>
        <v>576</v>
      </c>
      <c r="CF76" s="16">
        <f t="shared" si="45"/>
        <v>0.13565708902496468</v>
      </c>
      <c r="CG76" s="14"/>
      <c r="CH76" s="27">
        <v>32</v>
      </c>
      <c r="CI76" s="20">
        <v>53</v>
      </c>
      <c r="CJ76" s="8"/>
      <c r="CK76" s="49">
        <v>51</v>
      </c>
      <c r="CL76" s="83">
        <f t="shared" si="62"/>
        <v>5</v>
      </c>
      <c r="CM76" s="15">
        <f t="shared" si="55"/>
        <v>58.08</v>
      </c>
      <c r="CN76" s="52">
        <v>146</v>
      </c>
      <c r="CO76" s="16">
        <f t="shared" si="46"/>
        <v>2.5155065472088216E-2</v>
      </c>
      <c r="CP76" s="17">
        <f>IF(AND(CK76&lt;&gt;"", CN76&lt;&gt;""), SUM(CN$59:CN76), "")</f>
        <v>2506</v>
      </c>
      <c r="CQ76" s="16">
        <f t="shared" si="47"/>
        <v>0.43177119228118538</v>
      </c>
      <c r="CR76" s="14"/>
      <c r="CS76" s="27">
        <v>32</v>
      </c>
      <c r="CT76" s="20">
        <v>68</v>
      </c>
      <c r="CU76" s="8"/>
      <c r="CV76" s="49">
        <v>68</v>
      </c>
      <c r="CW76" s="83">
        <f t="shared" si="63"/>
        <v>2</v>
      </c>
      <c r="CX76" s="15">
        <f t="shared" si="56"/>
        <v>92.11</v>
      </c>
      <c r="CY76" s="52">
        <v>13</v>
      </c>
      <c r="CZ76" s="16">
        <f t="shared" si="48"/>
        <v>2.4747763182943082E-3</v>
      </c>
      <c r="DA76" s="17">
        <f>IF(AND(CV76&lt;&gt;"", CY76&lt;&gt;""), SUM(CY$59:CY76), "")</f>
        <v>421</v>
      </c>
      <c r="DB76" s="16">
        <f t="shared" si="49"/>
        <v>8.0144679230915672E-2</v>
      </c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</row>
    <row r="77" spans="5:180" ht="16" customHeight="1" x14ac:dyDescent="0.2">
      <c r="E77" s="1"/>
      <c r="F77" s="86"/>
      <c r="G77" s="85">
        <v>1</v>
      </c>
      <c r="H77" s="36"/>
      <c r="I77" s="86"/>
      <c r="J77" s="85">
        <v>1</v>
      </c>
      <c r="K77" s="70"/>
      <c r="L77"/>
      <c r="M77"/>
      <c r="N77"/>
      <c r="O77" s="38">
        <v>61</v>
      </c>
      <c r="P77" s="83">
        <f t="shared" si="70"/>
        <v>9</v>
      </c>
      <c r="Q77" s="15">
        <f t="shared" si="68"/>
        <v>1.8</v>
      </c>
      <c r="R77" s="43">
        <v>1273</v>
      </c>
      <c r="S77" s="16">
        <f t="shared" si="64"/>
        <v>4.4363129465063598E-3</v>
      </c>
      <c r="T77" s="17">
        <f>IF(AND(O77&lt;&gt;"", R77&lt;&gt;""), SUM(R$4:R77), "")</f>
        <v>282413</v>
      </c>
      <c r="U77" s="16">
        <f t="shared" si="65"/>
        <v>0.98418888308067609</v>
      </c>
      <c r="W77" s="38">
        <v>87</v>
      </c>
      <c r="X77" s="83">
        <f t="shared" si="71"/>
        <v>6</v>
      </c>
      <c r="Y77" s="15">
        <f t="shared" si="69"/>
        <v>35.979999999999997</v>
      </c>
      <c r="Z77" s="43">
        <v>5670</v>
      </c>
      <c r="AA77" s="16">
        <f t="shared" si="66"/>
        <v>1.9825244144210295E-2</v>
      </c>
      <c r="AB77" s="17">
        <f>IF(AND(W77&lt;&gt;"", Z77&lt;&gt;""), SUM(Z$4:Z77), "")</f>
        <v>185921</v>
      </c>
      <c r="AC77" s="16">
        <f t="shared" si="67"/>
        <v>0.65007569956538314</v>
      </c>
      <c r="AD77" s="1"/>
      <c r="AE77" s="19">
        <v>31</v>
      </c>
      <c r="AF77" s="20">
        <v>56</v>
      </c>
      <c r="AG77" s="8"/>
      <c r="AH77" s="49">
        <v>53</v>
      </c>
      <c r="AI77" s="83">
        <f t="shared" si="57"/>
        <v>4</v>
      </c>
      <c r="AJ77" s="15">
        <f t="shared" si="50"/>
        <v>63.31</v>
      </c>
      <c r="AK77" s="52">
        <v>385</v>
      </c>
      <c r="AL77" s="16">
        <f t="shared" si="36"/>
        <v>2.0125457396759017E-2</v>
      </c>
      <c r="AM77" s="17">
        <f>IF(AND(AH77&lt;&gt;"", AK77&lt;&gt;""), SUM(AK$59:AK77), "")</f>
        <v>7211</v>
      </c>
      <c r="AN77" s="16">
        <f t="shared" si="37"/>
        <v>0.37694720334553056</v>
      </c>
      <c r="AO77" s="14"/>
      <c r="AP77" s="19">
        <v>31</v>
      </c>
      <c r="AQ77" s="20">
        <v>57</v>
      </c>
      <c r="AR77" s="8"/>
      <c r="AS77" s="49">
        <v>54</v>
      </c>
      <c r="AT77" s="83">
        <f t="shared" si="58"/>
        <v>4</v>
      </c>
      <c r="AU77" s="15">
        <f t="shared" si="51"/>
        <v>67.849999999999994</v>
      </c>
      <c r="AV77" s="52">
        <v>245</v>
      </c>
      <c r="AW77" s="16">
        <f t="shared" si="38"/>
        <v>1.7149657006859862E-2</v>
      </c>
      <c r="AX77" s="17">
        <f>IF(AND(AS77&lt;&gt;"", AV77&lt;&gt;""), SUM(AV$59:AV77), "")</f>
        <v>4716</v>
      </c>
      <c r="AY77" s="16">
        <f t="shared" si="39"/>
        <v>0.33011339773204534</v>
      </c>
      <c r="AZ77" s="14"/>
      <c r="BA77" s="19">
        <v>31</v>
      </c>
      <c r="BB77" s="20">
        <v>59</v>
      </c>
      <c r="BC77" s="8"/>
      <c r="BD77" s="49">
        <v>55</v>
      </c>
      <c r="BE77" s="83">
        <f t="shared" si="59"/>
        <v>4</v>
      </c>
      <c r="BF77" s="15">
        <f t="shared" si="52"/>
        <v>72.739999999999995</v>
      </c>
      <c r="BG77" s="52">
        <v>213</v>
      </c>
      <c r="BH77" s="16">
        <f t="shared" si="40"/>
        <v>1.8123032417255169E-2</v>
      </c>
      <c r="BI77" s="17">
        <f>IF(AND(BD77&lt;&gt;"", BG77&lt;&gt;""), SUM(BG$59:BG77), "")</f>
        <v>3310</v>
      </c>
      <c r="BJ77" s="16">
        <f t="shared" si="41"/>
        <v>0.28163022207096061</v>
      </c>
      <c r="BK77" s="14"/>
      <c r="BL77" s="27">
        <v>31</v>
      </c>
      <c r="BM77" s="20">
        <v>64</v>
      </c>
      <c r="BN77" s="8"/>
      <c r="BO77" s="49">
        <v>63</v>
      </c>
      <c r="BP77" s="83">
        <f t="shared" si="60"/>
        <v>3</v>
      </c>
      <c r="BQ77" s="15">
        <f t="shared" si="53"/>
        <v>87.34</v>
      </c>
      <c r="BR77" s="52">
        <v>26</v>
      </c>
      <c r="BS77" s="16">
        <f t="shared" si="42"/>
        <v>6.8583487206541806E-3</v>
      </c>
      <c r="BT77" s="17">
        <f>IF(AND(BO77&lt;&gt;"", BR77&lt;&gt;""), SUM(BR$59:BR77), "")</f>
        <v>493</v>
      </c>
      <c r="BU77" s="16">
        <f t="shared" si="43"/>
        <v>0.13004484304932734</v>
      </c>
      <c r="BV77" s="14"/>
      <c r="BW77" s="27">
        <v>31</v>
      </c>
      <c r="BX77" s="20">
        <v>63</v>
      </c>
      <c r="BY77" s="8"/>
      <c r="BZ77" s="49">
        <v>62</v>
      </c>
      <c r="CA77" s="83">
        <f t="shared" si="61"/>
        <v>3</v>
      </c>
      <c r="CB77" s="15">
        <f t="shared" si="54"/>
        <v>86.2</v>
      </c>
      <c r="CC77" s="52">
        <v>20</v>
      </c>
      <c r="CD77" s="16">
        <f t="shared" si="44"/>
        <v>4.7103155911446069E-3</v>
      </c>
      <c r="CE77" s="17">
        <f>IF(AND(BZ77&lt;&gt;"", CC77&lt;&gt;""), SUM(CC$59:CC77), "")</f>
        <v>596</v>
      </c>
      <c r="CF77" s="16">
        <f t="shared" si="45"/>
        <v>0.14036740461610928</v>
      </c>
      <c r="CG77" s="14"/>
      <c r="CH77" s="27">
        <v>31</v>
      </c>
      <c r="CI77" s="20">
        <v>53</v>
      </c>
      <c r="CJ77" s="8"/>
      <c r="CK77" s="48">
        <v>50</v>
      </c>
      <c r="CL77" s="83">
        <f t="shared" si="62"/>
        <v>5</v>
      </c>
      <c r="CM77" s="15">
        <f t="shared" si="55"/>
        <v>55.94</v>
      </c>
      <c r="CN77" s="52">
        <v>102</v>
      </c>
      <c r="CO77" s="16">
        <f t="shared" si="46"/>
        <v>1.7574086836664369E-2</v>
      </c>
      <c r="CP77" s="17">
        <f>IF(AND(CK77&lt;&gt;"", CN77&lt;&gt;""), SUM(CN$59:CN77), "")</f>
        <v>2608</v>
      </c>
      <c r="CQ77" s="16">
        <f t="shared" si="47"/>
        <v>0.44934527911784977</v>
      </c>
      <c r="CR77" s="14"/>
      <c r="CS77" s="27">
        <v>31</v>
      </c>
      <c r="CT77" s="20">
        <v>67</v>
      </c>
      <c r="CU77" s="8"/>
      <c r="CV77" s="49">
        <v>67</v>
      </c>
      <c r="CW77" s="83">
        <f t="shared" si="63"/>
        <v>2</v>
      </c>
      <c r="CX77" s="15">
        <f t="shared" si="56"/>
        <v>91.83</v>
      </c>
      <c r="CY77" s="52">
        <v>16</v>
      </c>
      <c r="CZ77" s="16">
        <f t="shared" si="48"/>
        <v>3.0458785455929945E-3</v>
      </c>
      <c r="DA77" s="17">
        <f>IF(AND(CV77&lt;&gt;"", CY77&lt;&gt;""), SUM(CY$59:CY77), "")</f>
        <v>437</v>
      </c>
      <c r="DB77" s="16">
        <f t="shared" si="49"/>
        <v>8.3190557776508661E-2</v>
      </c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</row>
    <row r="78" spans="5:180" ht="16" customHeight="1" x14ac:dyDescent="0.2">
      <c r="E78" s="1"/>
      <c r="F78" s="86"/>
      <c r="G78" s="85">
        <v>2</v>
      </c>
      <c r="H78" s="36"/>
      <c r="I78" s="86"/>
      <c r="J78" s="85">
        <v>2</v>
      </c>
      <c r="K78" s="70"/>
      <c r="L78"/>
      <c r="M78"/>
      <c r="N78"/>
      <c r="O78" s="38">
        <v>60</v>
      </c>
      <c r="P78" s="83">
        <f t="shared" si="70"/>
        <v>9</v>
      </c>
      <c r="Q78" s="15">
        <f t="shared" si="68"/>
        <v>1.45</v>
      </c>
      <c r="R78" s="43">
        <v>727</v>
      </c>
      <c r="S78" s="16">
        <f t="shared" si="64"/>
        <v>2.5335424289945983E-3</v>
      </c>
      <c r="T78" s="17">
        <f>IF(AND(O78&lt;&gt;"", R78&lt;&gt;""), SUM(R$4:R78), "")</f>
        <v>283140</v>
      </c>
      <c r="U78" s="16">
        <f t="shared" si="65"/>
        <v>0.98672242550967071</v>
      </c>
      <c r="W78" s="38">
        <v>86</v>
      </c>
      <c r="X78" s="83">
        <f t="shared" si="71"/>
        <v>6</v>
      </c>
      <c r="Y78" s="15">
        <f t="shared" si="69"/>
        <v>33.93</v>
      </c>
      <c r="Z78" s="43">
        <v>6072</v>
      </c>
      <c r="AA78" s="16">
        <f t="shared" si="66"/>
        <v>2.1230843464487639E-2</v>
      </c>
      <c r="AB78" s="17">
        <f>IF(AND(W78&lt;&gt;"", Z78&lt;&gt;""), SUM(Z$4:Z78), "")</f>
        <v>191993</v>
      </c>
      <c r="AC78" s="16">
        <f t="shared" si="67"/>
        <v>0.67130654302987069</v>
      </c>
      <c r="AD78" s="1"/>
      <c r="AE78" s="19">
        <v>30</v>
      </c>
      <c r="AF78" s="20">
        <v>55</v>
      </c>
      <c r="AG78" s="8"/>
      <c r="AH78" s="49">
        <v>52</v>
      </c>
      <c r="AI78" s="83">
        <f t="shared" si="57"/>
        <v>4</v>
      </c>
      <c r="AJ78" s="15">
        <f t="shared" si="50"/>
        <v>61.23</v>
      </c>
      <c r="AK78" s="52">
        <v>412</v>
      </c>
      <c r="AL78" s="16">
        <f t="shared" si="36"/>
        <v>2.153685311029796E-2</v>
      </c>
      <c r="AM78" s="17">
        <f>IF(AND(AH78&lt;&gt;"", AK78&lt;&gt;""), SUM(AK$59:AK78), "")</f>
        <v>7623</v>
      </c>
      <c r="AN78" s="16">
        <f t="shared" si="37"/>
        <v>0.39848405645582852</v>
      </c>
      <c r="AO78" s="14"/>
      <c r="AP78" s="19">
        <v>30</v>
      </c>
      <c r="AQ78" s="20">
        <v>56</v>
      </c>
      <c r="AR78" s="8"/>
      <c r="AS78" s="49">
        <v>53</v>
      </c>
      <c r="AT78" s="83">
        <f t="shared" si="58"/>
        <v>4</v>
      </c>
      <c r="AU78" s="15">
        <f t="shared" si="51"/>
        <v>65.930000000000007</v>
      </c>
      <c r="AV78" s="52">
        <v>302</v>
      </c>
      <c r="AW78" s="16">
        <f t="shared" si="38"/>
        <v>2.1139577208455832E-2</v>
      </c>
      <c r="AX78" s="17">
        <f>IF(AND(AS78&lt;&gt;"", AV78&lt;&gt;""), SUM(AV$59:AV78), "")</f>
        <v>5018</v>
      </c>
      <c r="AY78" s="16">
        <f t="shared" si="39"/>
        <v>0.35125297494050117</v>
      </c>
      <c r="AZ78" s="14"/>
      <c r="BA78" s="19">
        <v>30</v>
      </c>
      <c r="BB78" s="20">
        <v>58</v>
      </c>
      <c r="BC78" s="8"/>
      <c r="BD78" s="49">
        <v>54</v>
      </c>
      <c r="BE78" s="83">
        <f t="shared" si="59"/>
        <v>4</v>
      </c>
      <c r="BF78" s="15">
        <f t="shared" si="52"/>
        <v>69.94</v>
      </c>
      <c r="BG78" s="52">
        <v>445</v>
      </c>
      <c r="BH78" s="16">
        <f t="shared" si="40"/>
        <v>3.7862673359993194E-2</v>
      </c>
      <c r="BI78" s="17">
        <f>IF(AND(BD78&lt;&gt;"", BG78&lt;&gt;""), SUM(BG$59:BG78), "")</f>
        <v>3755</v>
      </c>
      <c r="BJ78" s="16">
        <f t="shared" si="41"/>
        <v>0.31949289543095377</v>
      </c>
      <c r="BK78" s="14"/>
      <c r="BL78" s="27">
        <v>30</v>
      </c>
      <c r="BM78" s="20">
        <v>63</v>
      </c>
      <c r="BN78" s="8"/>
      <c r="BO78" s="49">
        <v>62</v>
      </c>
      <c r="BP78" s="83">
        <f t="shared" si="60"/>
        <v>3</v>
      </c>
      <c r="BQ78" s="15">
        <f t="shared" si="53"/>
        <v>86.49</v>
      </c>
      <c r="BR78" s="52">
        <v>38</v>
      </c>
      <c r="BS78" s="16">
        <f t="shared" si="42"/>
        <v>1.0023740437879188E-2</v>
      </c>
      <c r="BT78" s="17">
        <f>IF(AND(BO78&lt;&gt;"", BR78&lt;&gt;""), SUM(BR$59:BR78), "")</f>
        <v>531</v>
      </c>
      <c r="BU78" s="16">
        <f t="shared" si="43"/>
        <v>0.14006858348720655</v>
      </c>
      <c r="BV78" s="14"/>
      <c r="BW78" s="27">
        <v>30</v>
      </c>
      <c r="BX78" s="20">
        <v>63</v>
      </c>
      <c r="BY78" s="8"/>
      <c r="BZ78" s="49">
        <v>61</v>
      </c>
      <c r="CA78" s="83">
        <f t="shared" si="61"/>
        <v>3</v>
      </c>
      <c r="CB78" s="15">
        <f t="shared" si="54"/>
        <v>85.56</v>
      </c>
      <c r="CC78" s="52">
        <v>34</v>
      </c>
      <c r="CD78" s="16">
        <f t="shared" si="44"/>
        <v>8.0075365049458308E-3</v>
      </c>
      <c r="CE78" s="17">
        <f>IF(AND(BZ78&lt;&gt;"", CC78&lt;&gt;""), SUM(CC$59:CC78), "")</f>
        <v>630</v>
      </c>
      <c r="CF78" s="16">
        <f t="shared" si="45"/>
        <v>0.14837494112105512</v>
      </c>
      <c r="CG78" s="14"/>
      <c r="CH78" s="27">
        <v>30</v>
      </c>
      <c r="CI78" s="20">
        <v>52</v>
      </c>
      <c r="CJ78" s="8"/>
      <c r="CK78" s="49">
        <v>49</v>
      </c>
      <c r="CL78" s="83">
        <f t="shared" si="62"/>
        <v>5</v>
      </c>
      <c r="CM78" s="15">
        <f t="shared" si="55"/>
        <v>52.87</v>
      </c>
      <c r="CN78" s="52">
        <v>255</v>
      </c>
      <c r="CO78" s="16">
        <f t="shared" si="46"/>
        <v>4.3935217091660921E-2</v>
      </c>
      <c r="CP78" s="17">
        <f>IF(AND(CK78&lt;&gt;"", CN78&lt;&gt;""), SUM(CN$59:CN78), "")</f>
        <v>2863</v>
      </c>
      <c r="CQ78" s="16">
        <f t="shared" si="47"/>
        <v>0.4932804962095107</v>
      </c>
      <c r="CR78" s="14"/>
      <c r="CS78" s="27">
        <v>30</v>
      </c>
      <c r="CT78" s="20">
        <v>66</v>
      </c>
      <c r="CU78" s="8"/>
      <c r="CV78" s="49">
        <v>66</v>
      </c>
      <c r="CW78" s="83">
        <f t="shared" si="63"/>
        <v>2</v>
      </c>
      <c r="CX78" s="15">
        <f t="shared" si="56"/>
        <v>91.49</v>
      </c>
      <c r="CY78" s="52">
        <v>20</v>
      </c>
      <c r="CZ78" s="16">
        <f t="shared" si="48"/>
        <v>3.8073481819912432E-3</v>
      </c>
      <c r="DA78" s="17">
        <f>IF(AND(CV78&lt;&gt;"", CY78&lt;&gt;""), SUM(CY$59:CY78), "")</f>
        <v>457</v>
      </c>
      <c r="DB78" s="16">
        <f t="shared" si="49"/>
        <v>8.6997905958499905E-2</v>
      </c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</row>
    <row r="79" spans="5:180" ht="16" customHeight="1" x14ac:dyDescent="0.2">
      <c r="E79" s="1"/>
      <c r="F79" s="86"/>
      <c r="G79" s="85">
        <v>3</v>
      </c>
      <c r="H79" s="36"/>
      <c r="I79" s="86"/>
      <c r="J79" s="85">
        <v>3</v>
      </c>
      <c r="K79" s="70"/>
      <c r="L79"/>
      <c r="M79"/>
      <c r="N79"/>
      <c r="O79" s="38">
        <v>59</v>
      </c>
      <c r="P79" s="83">
        <f t="shared" si="70"/>
        <v>9</v>
      </c>
      <c r="Q79" s="15">
        <f t="shared" si="68"/>
        <v>1.21</v>
      </c>
      <c r="R79" s="43">
        <v>666</v>
      </c>
      <c r="S79" s="16">
        <f t="shared" si="64"/>
        <v>2.3209618400418189E-3</v>
      </c>
      <c r="T79" s="17">
        <f>IF(AND(O79&lt;&gt;"", R79&lt;&gt;""), SUM(R$4:R79), "")</f>
        <v>283806</v>
      </c>
      <c r="U79" s="16">
        <f t="shared" si="65"/>
        <v>0.98904338734971253</v>
      </c>
      <c r="W79" s="38">
        <v>85</v>
      </c>
      <c r="X79" s="83">
        <f t="shared" si="71"/>
        <v>6</v>
      </c>
      <c r="Y79" s="15">
        <f t="shared" si="69"/>
        <v>31.86</v>
      </c>
      <c r="Z79" s="43">
        <v>5767</v>
      </c>
      <c r="AA79" s="16">
        <f t="shared" si="66"/>
        <v>2.0164406169252341E-2</v>
      </c>
      <c r="AB79" s="17">
        <f>IF(AND(W79&lt;&gt;"", Z79&lt;&gt;""), SUM(Z$4:Z79), "")</f>
        <v>197760</v>
      </c>
      <c r="AC79" s="16">
        <f t="shared" si="67"/>
        <v>0.69147094919912311</v>
      </c>
      <c r="AD79" s="1"/>
      <c r="AE79" s="19">
        <v>29</v>
      </c>
      <c r="AF79" s="20">
        <v>55</v>
      </c>
      <c r="AG79" s="8"/>
      <c r="AH79" s="49">
        <v>51</v>
      </c>
      <c r="AI79" s="83">
        <f t="shared" si="57"/>
        <v>4</v>
      </c>
      <c r="AJ79" s="15">
        <f t="shared" si="50"/>
        <v>58.94</v>
      </c>
      <c r="AK79" s="52">
        <v>464</v>
      </c>
      <c r="AL79" s="16">
        <f t="shared" si="36"/>
        <v>2.4255096706743334E-2</v>
      </c>
      <c r="AM79" s="17">
        <f>IF(AND(AH79&lt;&gt;"", AK79&lt;&gt;""), SUM(AK$59:AK79), "")</f>
        <v>8087</v>
      </c>
      <c r="AN79" s="16">
        <f t="shared" si="37"/>
        <v>0.42273915316257188</v>
      </c>
      <c r="AO79" s="14"/>
      <c r="AP79" s="19">
        <v>29</v>
      </c>
      <c r="AQ79" s="20">
        <v>56</v>
      </c>
      <c r="AR79" s="8"/>
      <c r="AS79" s="49">
        <v>52</v>
      </c>
      <c r="AT79" s="83">
        <f t="shared" si="58"/>
        <v>4</v>
      </c>
      <c r="AU79" s="15">
        <f t="shared" si="51"/>
        <v>62.57</v>
      </c>
      <c r="AV79" s="52">
        <v>658</v>
      </c>
      <c r="AW79" s="16">
        <f t="shared" si="38"/>
        <v>4.6059078818423631E-2</v>
      </c>
      <c r="AX79" s="17">
        <f>IF(AND(AS79&lt;&gt;"", AV79&lt;&gt;""), SUM(AV$59:AV79), "")</f>
        <v>5676</v>
      </c>
      <c r="AY79" s="16">
        <f t="shared" si="39"/>
        <v>0.39731205375892481</v>
      </c>
      <c r="AZ79" s="14"/>
      <c r="BA79" s="19">
        <v>29</v>
      </c>
      <c r="BB79" s="20">
        <v>57</v>
      </c>
      <c r="BC79" s="8"/>
      <c r="BD79" s="49">
        <v>53</v>
      </c>
      <c r="BE79" s="83">
        <f t="shared" si="59"/>
        <v>4</v>
      </c>
      <c r="BF79" s="15">
        <f t="shared" si="52"/>
        <v>67</v>
      </c>
      <c r="BG79" s="52">
        <v>248</v>
      </c>
      <c r="BH79" s="16">
        <f t="shared" si="40"/>
        <v>2.1100995490513062E-2</v>
      </c>
      <c r="BI79" s="17">
        <f>IF(AND(BD79&lt;&gt;"", BG79&lt;&gt;""), SUM(BG$59:BG79), "")</f>
        <v>4003</v>
      </c>
      <c r="BJ79" s="16">
        <f t="shared" si="41"/>
        <v>0.34059389092146686</v>
      </c>
      <c r="BK79" s="14"/>
      <c r="BL79" s="27">
        <v>29</v>
      </c>
      <c r="BM79" s="20">
        <v>62</v>
      </c>
      <c r="BN79" s="8"/>
      <c r="BO79" s="49">
        <v>61</v>
      </c>
      <c r="BP79" s="83">
        <f t="shared" si="60"/>
        <v>3</v>
      </c>
      <c r="BQ79" s="15">
        <f t="shared" si="53"/>
        <v>85.54</v>
      </c>
      <c r="BR79" s="52">
        <v>34</v>
      </c>
      <c r="BS79" s="16">
        <f t="shared" si="42"/>
        <v>8.9686098654708519E-3</v>
      </c>
      <c r="BT79" s="17">
        <f>IF(AND(BO79&lt;&gt;"", BR79&lt;&gt;""), SUM(BR$59:BR79), "")</f>
        <v>565</v>
      </c>
      <c r="BU79" s="16">
        <f t="shared" si="43"/>
        <v>0.1490371933526774</v>
      </c>
      <c r="BV79" s="14"/>
      <c r="BW79" s="27">
        <v>29</v>
      </c>
      <c r="BX79" s="20">
        <v>62</v>
      </c>
      <c r="BY79" s="8"/>
      <c r="BZ79" s="49">
        <v>60</v>
      </c>
      <c r="CA79" s="83">
        <f t="shared" si="61"/>
        <v>3</v>
      </c>
      <c r="CB79" s="15">
        <f t="shared" si="54"/>
        <v>84.92</v>
      </c>
      <c r="CC79" s="52">
        <v>21</v>
      </c>
      <c r="CD79" s="16">
        <f t="shared" si="44"/>
        <v>4.9458313707018368E-3</v>
      </c>
      <c r="CE79" s="17">
        <f>IF(AND(BZ79&lt;&gt;"", CC79&lt;&gt;""), SUM(CC$59:CC79), "")</f>
        <v>651</v>
      </c>
      <c r="CF79" s="16">
        <f t="shared" si="45"/>
        <v>0.15332077249175693</v>
      </c>
      <c r="CG79" s="14"/>
      <c r="CH79" s="27">
        <v>29</v>
      </c>
      <c r="CI79" s="20">
        <v>51</v>
      </c>
      <c r="CJ79" s="8"/>
      <c r="CK79" s="49">
        <v>48</v>
      </c>
      <c r="CL79" s="83">
        <f t="shared" si="62"/>
        <v>5</v>
      </c>
      <c r="CM79" s="15">
        <f t="shared" si="55"/>
        <v>49.71</v>
      </c>
      <c r="CN79" s="52">
        <v>112</v>
      </c>
      <c r="CO79" s="16">
        <f t="shared" si="46"/>
        <v>1.9297036526533425E-2</v>
      </c>
      <c r="CP79" s="17">
        <f>IF(AND(CK79&lt;&gt;"", CN79&lt;&gt;""), SUM(CN$59:CN79), "")</f>
        <v>2975</v>
      </c>
      <c r="CQ79" s="16">
        <f t="shared" si="47"/>
        <v>0.51257753273604412</v>
      </c>
      <c r="CR79" s="14"/>
      <c r="CS79" s="27">
        <v>29</v>
      </c>
      <c r="CT79" s="20">
        <v>65</v>
      </c>
      <c r="CU79" s="8"/>
      <c r="CV79" s="49">
        <v>65</v>
      </c>
      <c r="CW79" s="83">
        <f t="shared" si="63"/>
        <v>2</v>
      </c>
      <c r="CX79" s="15">
        <f t="shared" si="56"/>
        <v>91.1</v>
      </c>
      <c r="CY79" s="52">
        <v>21</v>
      </c>
      <c r="CZ79" s="16">
        <f t="shared" si="48"/>
        <v>3.9977155910908054E-3</v>
      </c>
      <c r="DA79" s="17">
        <f>IF(AND(CV79&lt;&gt;"", CY79&lt;&gt;""), SUM(CY$59:CY79), "")</f>
        <v>478</v>
      </c>
      <c r="DB79" s="16">
        <f t="shared" si="49"/>
        <v>9.0995621549590705E-2</v>
      </c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</row>
    <row r="80" spans="5:180" ht="16" customHeight="1" x14ac:dyDescent="0.2">
      <c r="E80" s="1"/>
      <c r="F80" s="86"/>
      <c r="G80" s="85">
        <v>4</v>
      </c>
      <c r="H80" s="36"/>
      <c r="I80" s="86"/>
      <c r="J80" s="85">
        <v>4</v>
      </c>
      <c r="K80" s="70"/>
      <c r="L80"/>
      <c r="M80"/>
      <c r="N80"/>
      <c r="O80" s="38">
        <v>58</v>
      </c>
      <c r="P80" s="83">
        <f t="shared" si="70"/>
        <v>9</v>
      </c>
      <c r="Q80" s="15">
        <f t="shared" si="68"/>
        <v>0.99</v>
      </c>
      <c r="R80" s="43">
        <v>588</v>
      </c>
      <c r="S80" s="16">
        <f t="shared" si="64"/>
        <v>2.0491374803972818E-3</v>
      </c>
      <c r="T80" s="17">
        <f>IF(AND(O80&lt;&gt;"", R80&lt;&gt;""), SUM(R$4:R80), "")</f>
        <v>284394</v>
      </c>
      <c r="U80" s="16">
        <f t="shared" si="65"/>
        <v>0.99109252483010979</v>
      </c>
      <c r="W80" s="38">
        <v>84</v>
      </c>
      <c r="X80" s="83">
        <f t="shared" si="71"/>
        <v>6</v>
      </c>
      <c r="Y80" s="15">
        <f t="shared" si="69"/>
        <v>29.65</v>
      </c>
      <c r="Z80" s="43">
        <v>6889</v>
      </c>
      <c r="AA80" s="16">
        <f t="shared" si="66"/>
        <v>2.4087496809429402E-2</v>
      </c>
      <c r="AB80" s="17">
        <f>IF(AND(W80&lt;&gt;"", Z80&lt;&gt;""), SUM(Z$4:Z80), "")</f>
        <v>204649</v>
      </c>
      <c r="AC80" s="16">
        <f t="shared" si="67"/>
        <v>0.71555844600855245</v>
      </c>
      <c r="AD80" s="1"/>
      <c r="AE80" s="19">
        <v>28</v>
      </c>
      <c r="AF80" s="20">
        <v>54</v>
      </c>
      <c r="AG80" s="8"/>
      <c r="AH80" s="49">
        <v>50</v>
      </c>
      <c r="AI80" s="83">
        <f t="shared" si="57"/>
        <v>5</v>
      </c>
      <c r="AJ80" s="15">
        <f t="shared" si="50"/>
        <v>55.33</v>
      </c>
      <c r="AK80" s="52">
        <v>917</v>
      </c>
      <c r="AL80" s="16">
        <f t="shared" si="36"/>
        <v>4.7935180345007843E-2</v>
      </c>
      <c r="AM80" s="17">
        <f>IF(AND(AH80&lt;&gt;"", AK80&lt;&gt;""), SUM(AK$59:AK80), "")</f>
        <v>9004</v>
      </c>
      <c r="AN80" s="16">
        <f t="shared" si="37"/>
        <v>0.4706743335075797</v>
      </c>
      <c r="AO80" s="14"/>
      <c r="AP80" s="19">
        <v>28</v>
      </c>
      <c r="AQ80" s="20">
        <v>55</v>
      </c>
      <c r="AR80" s="8"/>
      <c r="AS80" s="49">
        <v>51</v>
      </c>
      <c r="AT80" s="83">
        <f t="shared" si="58"/>
        <v>4</v>
      </c>
      <c r="AU80" s="15">
        <f t="shared" si="51"/>
        <v>59.06</v>
      </c>
      <c r="AV80" s="52">
        <v>344</v>
      </c>
      <c r="AW80" s="16">
        <f t="shared" si="38"/>
        <v>2.4079518409631809E-2</v>
      </c>
      <c r="AX80" s="17">
        <f>IF(AND(AS80&lt;&gt;"", AV80&lt;&gt;""), SUM(AV$59:AV80), "")</f>
        <v>6020</v>
      </c>
      <c r="AY80" s="16">
        <f t="shared" si="39"/>
        <v>0.42139157216855661</v>
      </c>
      <c r="AZ80" s="14"/>
      <c r="BA80" s="19">
        <v>28</v>
      </c>
      <c r="BB80" s="20">
        <v>56</v>
      </c>
      <c r="BC80" s="8"/>
      <c r="BD80" s="49">
        <v>52</v>
      </c>
      <c r="BE80" s="83">
        <f t="shared" si="59"/>
        <v>4</v>
      </c>
      <c r="BF80" s="15">
        <f t="shared" si="52"/>
        <v>64.849999999999994</v>
      </c>
      <c r="BG80" s="52">
        <v>257</v>
      </c>
      <c r="BH80" s="16">
        <f t="shared" si="40"/>
        <v>2.1866757423636519E-2</v>
      </c>
      <c r="BI80" s="17">
        <f>IF(AND(BD80&lt;&gt;"", BG80&lt;&gt;""), SUM(BG$59:BG80), "")</f>
        <v>4260</v>
      </c>
      <c r="BJ80" s="16">
        <f t="shared" si="41"/>
        <v>0.36246064834510339</v>
      </c>
      <c r="BK80" s="14"/>
      <c r="BL80" s="27">
        <v>28</v>
      </c>
      <c r="BM80" s="20">
        <v>61</v>
      </c>
      <c r="BN80" s="8"/>
      <c r="BO80" s="49">
        <v>60</v>
      </c>
      <c r="BP80" s="83">
        <f t="shared" si="60"/>
        <v>3</v>
      </c>
      <c r="BQ80" s="15">
        <f t="shared" si="53"/>
        <v>84.69</v>
      </c>
      <c r="BR80" s="52">
        <v>31</v>
      </c>
      <c r="BS80" s="16">
        <f t="shared" si="42"/>
        <v>8.1772619361646006E-3</v>
      </c>
      <c r="BT80" s="17">
        <f>IF(AND(BO80&lt;&gt;"", BR80&lt;&gt;""), SUM(BR$59:BR80), "")</f>
        <v>596</v>
      </c>
      <c r="BU80" s="16">
        <f t="shared" si="43"/>
        <v>0.15721445528884198</v>
      </c>
      <c r="BV80" s="14"/>
      <c r="BW80" s="27">
        <v>28</v>
      </c>
      <c r="BX80" s="20">
        <v>61</v>
      </c>
      <c r="BY80" s="8"/>
      <c r="BZ80" s="49">
        <v>59</v>
      </c>
      <c r="CA80" s="83">
        <f t="shared" si="61"/>
        <v>3</v>
      </c>
      <c r="CB80" s="15">
        <f t="shared" si="54"/>
        <v>84.28</v>
      </c>
      <c r="CC80" s="52">
        <v>33</v>
      </c>
      <c r="CD80" s="16">
        <f t="shared" si="44"/>
        <v>7.7720207253886009E-3</v>
      </c>
      <c r="CE80" s="17">
        <f>IF(AND(BZ80&lt;&gt;"", CC80&lt;&gt;""), SUM(CC$59:CC80), "")</f>
        <v>684</v>
      </c>
      <c r="CF80" s="16">
        <f t="shared" si="45"/>
        <v>0.16109279321714554</v>
      </c>
      <c r="CG80" s="14"/>
      <c r="CH80" s="27">
        <v>28</v>
      </c>
      <c r="CI80" s="20">
        <v>50</v>
      </c>
      <c r="CJ80" s="8"/>
      <c r="CK80" s="48">
        <v>47</v>
      </c>
      <c r="CL80" s="83">
        <f t="shared" si="62"/>
        <v>5</v>
      </c>
      <c r="CM80" s="15">
        <f t="shared" si="55"/>
        <v>47.49</v>
      </c>
      <c r="CN80" s="52">
        <v>145</v>
      </c>
      <c r="CO80" s="16">
        <f t="shared" si="46"/>
        <v>2.4982770503101309E-2</v>
      </c>
      <c r="CP80" s="17">
        <f>IF(AND(CK80&lt;&gt;"", CN80&lt;&gt;""), SUM(CN$59:CN80), "")</f>
        <v>3120</v>
      </c>
      <c r="CQ80" s="16">
        <f t="shared" si="47"/>
        <v>0.53756030323914539</v>
      </c>
      <c r="CR80" s="14"/>
      <c r="CS80" s="27">
        <v>28</v>
      </c>
      <c r="CT80" s="20">
        <v>64</v>
      </c>
      <c r="CU80" s="8"/>
      <c r="CV80" s="49">
        <v>64</v>
      </c>
      <c r="CW80" s="83">
        <f t="shared" si="63"/>
        <v>2</v>
      </c>
      <c r="CX80" s="15">
        <f t="shared" si="56"/>
        <v>90.67</v>
      </c>
      <c r="CY80" s="52">
        <v>24</v>
      </c>
      <c r="CZ80" s="16">
        <f t="shared" si="48"/>
        <v>4.5688178183894918E-3</v>
      </c>
      <c r="DA80" s="17">
        <f>IF(AND(CV80&lt;&gt;"", CY80&lt;&gt;""), SUM(CY$59:CY80), "")</f>
        <v>502</v>
      </c>
      <c r="DB80" s="16">
        <f t="shared" si="49"/>
        <v>9.5564439367980203E-2</v>
      </c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</row>
    <row r="81" spans="5:180" ht="16" customHeight="1" x14ac:dyDescent="0.2">
      <c r="E81" s="1"/>
      <c r="F81" s="86"/>
      <c r="G81" s="85">
        <v>5</v>
      </c>
      <c r="H81" s="36"/>
      <c r="I81" s="86"/>
      <c r="J81" s="85">
        <v>5</v>
      </c>
      <c r="K81" s="70"/>
      <c r="L81"/>
      <c r="M81"/>
      <c r="N81"/>
      <c r="O81" s="38">
        <v>57</v>
      </c>
      <c r="P81" s="83">
        <f t="shared" si="70"/>
        <v>9</v>
      </c>
      <c r="Q81" s="15">
        <f t="shared" si="68"/>
        <v>0.83</v>
      </c>
      <c r="R81" s="43">
        <v>352</v>
      </c>
      <c r="S81" s="16">
        <f t="shared" si="64"/>
        <v>1.2266945460881686E-3</v>
      </c>
      <c r="T81" s="17">
        <f>IF(AND(O81&lt;&gt;"", R81&lt;&gt;""), SUM(R$4:R81), "")</f>
        <v>284746</v>
      </c>
      <c r="U81" s="16">
        <f t="shared" si="65"/>
        <v>0.99231921937619794</v>
      </c>
      <c r="W81" s="38">
        <v>83</v>
      </c>
      <c r="X81" s="83">
        <f t="shared" si="71"/>
        <v>6</v>
      </c>
      <c r="Y81" s="15">
        <f t="shared" si="69"/>
        <v>27.14</v>
      </c>
      <c r="Z81" s="43">
        <v>7480</v>
      </c>
      <c r="AA81" s="16">
        <f t="shared" si="66"/>
        <v>2.6153937601180424E-2</v>
      </c>
      <c r="AB81" s="17">
        <f>IF(AND(W81&lt;&gt;"", Z81&lt;&gt;""), SUM(Z$4:Z81), "")</f>
        <v>212129</v>
      </c>
      <c r="AC81" s="16">
        <f t="shared" si="67"/>
        <v>0.74171238360973291</v>
      </c>
      <c r="AD81" s="1"/>
      <c r="AE81" s="19">
        <v>27</v>
      </c>
      <c r="AF81" s="20">
        <v>53</v>
      </c>
      <c r="AG81" s="8"/>
      <c r="AH81" s="49">
        <v>49</v>
      </c>
      <c r="AI81" s="83">
        <f t="shared" si="57"/>
        <v>5</v>
      </c>
      <c r="AJ81" s="15">
        <f t="shared" si="50"/>
        <v>51.67</v>
      </c>
      <c r="AK81" s="52">
        <v>484</v>
      </c>
      <c r="AL81" s="16">
        <f t="shared" si="36"/>
        <v>2.5300575013068479E-2</v>
      </c>
      <c r="AM81" s="17">
        <f>IF(AND(AH81&lt;&gt;"", AK81&lt;&gt;""), SUM(AK$59:AK81), "")</f>
        <v>9488</v>
      </c>
      <c r="AN81" s="16">
        <f t="shared" si="37"/>
        <v>0.49597490852064818</v>
      </c>
      <c r="AO81" s="14"/>
      <c r="AP81" s="19">
        <v>27</v>
      </c>
      <c r="AQ81" s="20">
        <v>54</v>
      </c>
      <c r="AR81" s="8"/>
      <c r="AS81" s="49">
        <v>50</v>
      </c>
      <c r="AT81" s="83">
        <f t="shared" si="58"/>
        <v>5</v>
      </c>
      <c r="AU81" s="15">
        <f t="shared" si="51"/>
        <v>56.76</v>
      </c>
      <c r="AV81" s="52">
        <v>315</v>
      </c>
      <c r="AW81" s="16">
        <f t="shared" si="38"/>
        <v>2.2049559008819823E-2</v>
      </c>
      <c r="AX81" s="17">
        <f>IF(AND(AS81&lt;&gt;"", AV81&lt;&gt;""), SUM(AV$59:AV81), "")</f>
        <v>6335</v>
      </c>
      <c r="AY81" s="16">
        <f t="shared" si="39"/>
        <v>0.44344113117737644</v>
      </c>
      <c r="AZ81" s="14"/>
      <c r="BA81" s="19">
        <v>27</v>
      </c>
      <c r="BB81" s="20">
        <v>55</v>
      </c>
      <c r="BC81" s="8"/>
      <c r="BD81" s="49">
        <v>51</v>
      </c>
      <c r="BE81" s="83">
        <f t="shared" si="59"/>
        <v>4</v>
      </c>
      <c r="BF81" s="15">
        <f t="shared" si="52"/>
        <v>62.66</v>
      </c>
      <c r="BG81" s="52">
        <v>257</v>
      </c>
      <c r="BH81" s="16">
        <f t="shared" si="40"/>
        <v>2.1866757423636519E-2</v>
      </c>
      <c r="BI81" s="17">
        <f>IF(AND(BD81&lt;&gt;"", BG81&lt;&gt;""), SUM(BG$59:BG81), "")</f>
        <v>4517</v>
      </c>
      <c r="BJ81" s="16">
        <f t="shared" si="41"/>
        <v>0.38432740576873992</v>
      </c>
      <c r="BK81" s="14"/>
      <c r="BL81" s="27">
        <v>27</v>
      </c>
      <c r="BM81" s="20">
        <v>60</v>
      </c>
      <c r="BN81" s="8"/>
      <c r="BO81" s="49">
        <v>59</v>
      </c>
      <c r="BP81" s="83">
        <f t="shared" si="60"/>
        <v>3</v>
      </c>
      <c r="BQ81" s="15">
        <f t="shared" si="53"/>
        <v>83.86</v>
      </c>
      <c r="BR81" s="52">
        <v>32</v>
      </c>
      <c r="BS81" s="16">
        <f t="shared" si="42"/>
        <v>8.4410445792666849E-3</v>
      </c>
      <c r="BT81" s="17">
        <f>IF(AND(BO81&lt;&gt;"", BR81&lt;&gt;""), SUM(BR$59:BR81), "")</f>
        <v>628</v>
      </c>
      <c r="BU81" s="16">
        <f t="shared" si="43"/>
        <v>0.16565549986810868</v>
      </c>
      <c r="BV81" s="14"/>
      <c r="BW81" s="27">
        <v>27</v>
      </c>
      <c r="BX81" s="20">
        <v>60</v>
      </c>
      <c r="BY81" s="8"/>
      <c r="BZ81" s="49">
        <v>58</v>
      </c>
      <c r="CA81" s="83">
        <f t="shared" si="61"/>
        <v>3</v>
      </c>
      <c r="CB81" s="15">
        <f t="shared" si="54"/>
        <v>83.41</v>
      </c>
      <c r="CC81" s="52">
        <v>41</v>
      </c>
      <c r="CD81" s="16">
        <f t="shared" si="44"/>
        <v>9.6561469618464436E-3</v>
      </c>
      <c r="CE81" s="17">
        <f>IF(AND(BZ81&lt;&gt;"", CC81&lt;&gt;""), SUM(CC$59:CC81), "")</f>
        <v>725</v>
      </c>
      <c r="CF81" s="16">
        <f t="shared" si="45"/>
        <v>0.170748940178992</v>
      </c>
      <c r="CG81" s="14"/>
      <c r="CH81" s="27">
        <v>27</v>
      </c>
      <c r="CI81" s="20">
        <v>49</v>
      </c>
      <c r="CJ81" s="8"/>
      <c r="CK81" s="49">
        <v>46</v>
      </c>
      <c r="CL81" s="83">
        <f t="shared" si="62"/>
        <v>5</v>
      </c>
      <c r="CM81" s="15">
        <f t="shared" si="55"/>
        <v>45.19</v>
      </c>
      <c r="CN81" s="52">
        <v>122</v>
      </c>
      <c r="CO81" s="16">
        <f t="shared" si="46"/>
        <v>2.101998621640248E-2</v>
      </c>
      <c r="CP81" s="17">
        <f>IF(AND(CK81&lt;&gt;"", CN81&lt;&gt;""), SUM(CN$59:CN81), "")</f>
        <v>3242</v>
      </c>
      <c r="CQ81" s="16">
        <f t="shared" si="47"/>
        <v>0.55858028945554794</v>
      </c>
      <c r="CR81" s="14"/>
      <c r="CS81" s="27">
        <v>27</v>
      </c>
      <c r="CT81" s="20">
        <v>63</v>
      </c>
      <c r="CU81" s="8"/>
      <c r="CV81" s="49">
        <v>63</v>
      </c>
      <c r="CW81" s="83">
        <f t="shared" si="63"/>
        <v>2</v>
      </c>
      <c r="CX81" s="15">
        <f t="shared" si="56"/>
        <v>90.23</v>
      </c>
      <c r="CY81" s="52">
        <v>22</v>
      </c>
      <c r="CZ81" s="16">
        <f t="shared" si="48"/>
        <v>4.1880830001903672E-3</v>
      </c>
      <c r="DA81" s="17">
        <f>IF(AND(CV81&lt;&gt;"", CY81&lt;&gt;""), SUM(CY$59:CY81), "")</f>
        <v>524</v>
      </c>
      <c r="DB81" s="16">
        <f t="shared" si="49"/>
        <v>9.9752522368170574E-2</v>
      </c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</row>
    <row r="82" spans="5:180" ht="16" customHeight="1" x14ac:dyDescent="0.2">
      <c r="E82" s="1"/>
      <c r="F82" s="86"/>
      <c r="G82" s="85">
        <v>6</v>
      </c>
      <c r="H82" s="36"/>
      <c r="I82" s="86"/>
      <c r="J82" s="85">
        <v>6</v>
      </c>
      <c r="K82" s="70"/>
      <c r="L82"/>
      <c r="M82"/>
      <c r="N82"/>
      <c r="O82" s="38">
        <v>56</v>
      </c>
      <c r="P82" s="83">
        <f t="shared" si="70"/>
        <v>9</v>
      </c>
      <c r="Q82" s="15">
        <f t="shared" si="68"/>
        <v>0.66</v>
      </c>
      <c r="R82" s="43">
        <v>595</v>
      </c>
      <c r="S82" s="16">
        <f t="shared" si="64"/>
        <v>2.0735319742115352E-3</v>
      </c>
      <c r="T82" s="17">
        <f>IF(AND(O82&lt;&gt;"", R82&lt;&gt;""), SUM(R$4:R82), "")</f>
        <v>285341</v>
      </c>
      <c r="U82" s="16">
        <f t="shared" si="65"/>
        <v>0.9943927513504095</v>
      </c>
      <c r="W82" s="38">
        <v>82</v>
      </c>
      <c r="X82" s="83">
        <f t="shared" si="71"/>
        <v>6</v>
      </c>
      <c r="Y82" s="15">
        <f t="shared" si="69"/>
        <v>24.57</v>
      </c>
      <c r="Z82" s="43">
        <v>7219</v>
      </c>
      <c r="AA82" s="16">
        <f t="shared" si="66"/>
        <v>2.5241346997716775E-2</v>
      </c>
      <c r="AB82" s="17">
        <f>IF(AND(W82&lt;&gt;"", Z82&lt;&gt;""), SUM(Z$4:Z82), "")</f>
        <v>219348</v>
      </c>
      <c r="AC82" s="16">
        <f t="shared" si="67"/>
        <v>0.76695373060744965</v>
      </c>
      <c r="AD82" s="1"/>
      <c r="AE82" s="19">
        <v>26</v>
      </c>
      <c r="AF82" s="20">
        <v>52</v>
      </c>
      <c r="AG82" s="8"/>
      <c r="AH82" s="49">
        <v>48</v>
      </c>
      <c r="AI82" s="83">
        <f t="shared" si="57"/>
        <v>5</v>
      </c>
      <c r="AJ82" s="15">
        <f t="shared" si="50"/>
        <v>49.26</v>
      </c>
      <c r="AK82" s="52">
        <v>436</v>
      </c>
      <c r="AL82" s="16">
        <f t="shared" si="36"/>
        <v>2.2791427077888133E-2</v>
      </c>
      <c r="AM82" s="17">
        <f>IF(AND(AH82&lt;&gt;"", AK82&lt;&gt;""), SUM(AK$59:AK82), "")</f>
        <v>9924</v>
      </c>
      <c r="AN82" s="16">
        <f t="shared" si="37"/>
        <v>0.51876633559853635</v>
      </c>
      <c r="AO82" s="14"/>
      <c r="AP82" s="19">
        <v>26</v>
      </c>
      <c r="AQ82" s="20">
        <v>53</v>
      </c>
      <c r="AR82" s="8"/>
      <c r="AS82" s="49">
        <v>49</v>
      </c>
      <c r="AT82" s="83">
        <f t="shared" si="58"/>
        <v>5</v>
      </c>
      <c r="AU82" s="15">
        <f t="shared" si="51"/>
        <v>54.46</v>
      </c>
      <c r="AV82" s="52">
        <v>343</v>
      </c>
      <c r="AW82" s="16">
        <f t="shared" si="38"/>
        <v>2.4009519809603808E-2</v>
      </c>
      <c r="AX82" s="17">
        <f>IF(AND(AS82&lt;&gt;"", AV82&lt;&gt;""), SUM(AV$59:AV82), "")</f>
        <v>6678</v>
      </c>
      <c r="AY82" s="16">
        <f t="shared" si="39"/>
        <v>0.46745065098698024</v>
      </c>
      <c r="AZ82" s="14"/>
      <c r="BA82" s="19">
        <v>26</v>
      </c>
      <c r="BB82" s="20">
        <v>54</v>
      </c>
      <c r="BC82" s="8"/>
      <c r="BD82" s="49">
        <v>50</v>
      </c>
      <c r="BE82" s="83">
        <f t="shared" si="59"/>
        <v>4</v>
      </c>
      <c r="BF82" s="15">
        <f t="shared" si="52"/>
        <v>60.31</v>
      </c>
      <c r="BG82" s="52">
        <v>295</v>
      </c>
      <c r="BH82" s="16">
        <f t="shared" si="40"/>
        <v>2.509997447460223E-2</v>
      </c>
      <c r="BI82" s="17">
        <f>IF(AND(BD82&lt;&gt;"", BG82&lt;&gt;""), SUM(BG$59:BG82), "")</f>
        <v>4812</v>
      </c>
      <c r="BJ82" s="16">
        <f t="shared" si="41"/>
        <v>0.40942738024334213</v>
      </c>
      <c r="BK82" s="14"/>
      <c r="BL82" s="27">
        <v>26</v>
      </c>
      <c r="BM82" s="20">
        <v>59</v>
      </c>
      <c r="BN82" s="8"/>
      <c r="BO82" s="49">
        <v>58</v>
      </c>
      <c r="BP82" s="83">
        <f t="shared" si="60"/>
        <v>3</v>
      </c>
      <c r="BQ82" s="15">
        <f t="shared" si="53"/>
        <v>82.79</v>
      </c>
      <c r="BR82" s="52">
        <v>49</v>
      </c>
      <c r="BS82" s="16">
        <f t="shared" si="42"/>
        <v>1.292534951200211E-2</v>
      </c>
      <c r="BT82" s="17">
        <f>IF(AND(BO82&lt;&gt;"", BR82&lt;&gt;""), SUM(BR$59:BR82), "")</f>
        <v>677</v>
      </c>
      <c r="BU82" s="16">
        <f t="shared" si="43"/>
        <v>0.17858084938011079</v>
      </c>
      <c r="BV82" s="14"/>
      <c r="BW82" s="27">
        <v>26</v>
      </c>
      <c r="BX82" s="20">
        <v>59</v>
      </c>
      <c r="BY82" s="8"/>
      <c r="BZ82" s="49">
        <v>57</v>
      </c>
      <c r="CA82" s="83">
        <f t="shared" si="61"/>
        <v>3</v>
      </c>
      <c r="CB82" s="15">
        <f t="shared" si="54"/>
        <v>82.45</v>
      </c>
      <c r="CC82" s="52">
        <v>40</v>
      </c>
      <c r="CD82" s="16">
        <f t="shared" si="44"/>
        <v>9.4206311822892137E-3</v>
      </c>
      <c r="CE82" s="17">
        <f>IF(AND(BZ82&lt;&gt;"", CC82&lt;&gt;""), SUM(CC$59:CC82), "")</f>
        <v>765</v>
      </c>
      <c r="CF82" s="16">
        <f t="shared" si="45"/>
        <v>0.1801695713612812</v>
      </c>
      <c r="CG82" s="14"/>
      <c r="CH82" s="27">
        <v>26</v>
      </c>
      <c r="CI82" s="20">
        <v>49</v>
      </c>
      <c r="CJ82" s="8"/>
      <c r="CK82" s="49">
        <v>45</v>
      </c>
      <c r="CL82" s="83">
        <f t="shared" si="62"/>
        <v>5</v>
      </c>
      <c r="CM82" s="15">
        <f t="shared" si="55"/>
        <v>41.82</v>
      </c>
      <c r="CN82" s="52">
        <v>269</v>
      </c>
      <c r="CO82" s="16">
        <f t="shared" si="46"/>
        <v>4.6347346657477605E-2</v>
      </c>
      <c r="CP82" s="17">
        <f>IF(AND(CK82&lt;&gt;"", CN82&lt;&gt;""), SUM(CN$59:CN82), "")</f>
        <v>3511</v>
      </c>
      <c r="CQ82" s="16">
        <f t="shared" si="47"/>
        <v>0.60492763611302547</v>
      </c>
      <c r="CR82" s="14"/>
      <c r="CS82" s="27">
        <v>26</v>
      </c>
      <c r="CT82" s="20">
        <v>62</v>
      </c>
      <c r="CU82" s="8"/>
      <c r="CV82" s="49">
        <v>62</v>
      </c>
      <c r="CW82" s="83">
        <f t="shared" si="63"/>
        <v>2</v>
      </c>
      <c r="CX82" s="15">
        <f t="shared" si="56"/>
        <v>89.77</v>
      </c>
      <c r="CY82" s="52">
        <v>27</v>
      </c>
      <c r="CZ82" s="16">
        <f t="shared" si="48"/>
        <v>5.1399200456881781E-3</v>
      </c>
      <c r="DA82" s="17">
        <f>IF(AND(CV82&lt;&gt;"", CY82&lt;&gt;""), SUM(CY$59:CY82), "")</f>
        <v>551</v>
      </c>
      <c r="DB82" s="16">
        <f t="shared" si="49"/>
        <v>0.10489244241385874</v>
      </c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</row>
    <row r="83" spans="5:180" ht="16" customHeight="1" x14ac:dyDescent="0.2">
      <c r="E83" s="1"/>
      <c r="F83" s="86"/>
      <c r="G83" s="85">
        <v>7</v>
      </c>
      <c r="H83" s="36"/>
      <c r="I83" s="86"/>
      <c r="J83" s="85">
        <v>7</v>
      </c>
      <c r="K83" s="70"/>
      <c r="L83"/>
      <c r="M83"/>
      <c r="N83"/>
      <c r="O83" s="38">
        <v>55</v>
      </c>
      <c r="P83" s="83">
        <f t="shared" si="70"/>
        <v>9</v>
      </c>
      <c r="Q83" s="15">
        <f t="shared" si="68"/>
        <v>0.54</v>
      </c>
      <c r="R83" s="43">
        <v>131</v>
      </c>
      <c r="S83" s="16">
        <f t="shared" si="64"/>
        <v>4.5652552709531276E-4</v>
      </c>
      <c r="T83" s="17">
        <f>IF(AND(O83&lt;&gt;"", R83&lt;&gt;""), SUM(R$4:R83), "")</f>
        <v>285472</v>
      </c>
      <c r="U83" s="16">
        <f t="shared" si="65"/>
        <v>0.9948492768775048</v>
      </c>
      <c r="W83" s="38">
        <v>81</v>
      </c>
      <c r="X83" s="83">
        <f t="shared" si="71"/>
        <v>6</v>
      </c>
      <c r="Y83" s="15">
        <f t="shared" si="69"/>
        <v>21.41</v>
      </c>
      <c r="Z83" s="43">
        <v>10827</v>
      </c>
      <c r="AA83" s="16">
        <f t="shared" si="66"/>
        <v>3.7856775722992037E-2</v>
      </c>
      <c r="AB83" s="17">
        <f>IF(AND(W83&lt;&gt;"", Z83&lt;&gt;""), SUM(Z$4:Z83), "")</f>
        <v>230175</v>
      </c>
      <c r="AC83" s="16">
        <f t="shared" si="67"/>
        <v>0.80481050633044171</v>
      </c>
      <c r="AD83" s="1"/>
      <c r="AE83" s="19">
        <v>25</v>
      </c>
      <c r="AF83" s="20">
        <v>51</v>
      </c>
      <c r="AG83" s="8"/>
      <c r="AH83" s="49">
        <v>47</v>
      </c>
      <c r="AI83" s="83">
        <f t="shared" si="57"/>
        <v>5</v>
      </c>
      <c r="AJ83" s="15">
        <f t="shared" si="50"/>
        <v>46.83</v>
      </c>
      <c r="AK83" s="52">
        <v>495</v>
      </c>
      <c r="AL83" s="16">
        <f t="shared" si="36"/>
        <v>2.5875588081547309E-2</v>
      </c>
      <c r="AM83" s="17">
        <f>IF(AND(AH83&lt;&gt;"", AK83&lt;&gt;""), SUM(AK$59:AK83), "")</f>
        <v>10419</v>
      </c>
      <c r="AN83" s="16">
        <f t="shared" si="37"/>
        <v>0.54464192368008368</v>
      </c>
      <c r="AO83" s="14"/>
      <c r="AP83" s="19">
        <v>25</v>
      </c>
      <c r="AQ83" s="20">
        <v>52</v>
      </c>
      <c r="AR83" s="8"/>
      <c r="AS83" s="49">
        <v>48</v>
      </c>
      <c r="AT83" s="83">
        <f t="shared" si="58"/>
        <v>5</v>
      </c>
      <c r="AU83" s="15">
        <f t="shared" si="51"/>
        <v>51.95</v>
      </c>
      <c r="AV83" s="52">
        <v>374</v>
      </c>
      <c r="AW83" s="16">
        <f t="shared" si="38"/>
        <v>2.6179476410471792E-2</v>
      </c>
      <c r="AX83" s="17">
        <f>IF(AND(AS83&lt;&gt;"", AV83&lt;&gt;""), SUM(AV$59:AV83), "")</f>
        <v>7052</v>
      </c>
      <c r="AY83" s="16">
        <f t="shared" si="39"/>
        <v>0.49363012739745205</v>
      </c>
      <c r="AZ83" s="14"/>
      <c r="BA83" s="19">
        <v>25</v>
      </c>
      <c r="BB83" s="20">
        <v>54</v>
      </c>
      <c r="BC83" s="8"/>
      <c r="BD83" s="49">
        <v>49</v>
      </c>
      <c r="BE83" s="83">
        <f t="shared" si="59"/>
        <v>5</v>
      </c>
      <c r="BF83" s="15">
        <f t="shared" si="52"/>
        <v>56.16</v>
      </c>
      <c r="BG83" s="52">
        <v>680</v>
      </c>
      <c r="BH83" s="16">
        <f t="shared" si="40"/>
        <v>5.7857568280439038E-2</v>
      </c>
      <c r="BI83" s="17">
        <f>IF(AND(BD83&lt;&gt;"", BG83&lt;&gt;""), SUM(BG$59:BG83), "")</f>
        <v>5492</v>
      </c>
      <c r="BJ83" s="16">
        <f t="shared" si="41"/>
        <v>0.46728494852378116</v>
      </c>
      <c r="BK83" s="14"/>
      <c r="BL83" s="27">
        <v>25</v>
      </c>
      <c r="BM83" s="20">
        <v>58</v>
      </c>
      <c r="BN83" s="8"/>
      <c r="BO83" s="49">
        <v>57</v>
      </c>
      <c r="BP83" s="83">
        <f t="shared" si="60"/>
        <v>3</v>
      </c>
      <c r="BQ83" s="15">
        <f t="shared" si="53"/>
        <v>81.36</v>
      </c>
      <c r="BR83" s="52">
        <v>59</v>
      </c>
      <c r="BS83" s="16">
        <f t="shared" si="42"/>
        <v>1.556317594302295E-2</v>
      </c>
      <c r="BT83" s="17">
        <f>IF(AND(BO83&lt;&gt;"", BR83&lt;&gt;""), SUM(BR$59:BR83), "")</f>
        <v>736</v>
      </c>
      <c r="BU83" s="16">
        <f t="shared" si="43"/>
        <v>0.19414402532313374</v>
      </c>
      <c r="BV83" s="14"/>
      <c r="BW83" s="27">
        <v>25</v>
      </c>
      <c r="BX83" s="20">
        <v>58</v>
      </c>
      <c r="BY83" s="8"/>
      <c r="BZ83" s="49">
        <v>56</v>
      </c>
      <c r="CA83" s="83">
        <f t="shared" si="61"/>
        <v>3</v>
      </c>
      <c r="CB83" s="15">
        <f t="shared" si="54"/>
        <v>81.36</v>
      </c>
      <c r="CC83" s="52">
        <v>53</v>
      </c>
      <c r="CD83" s="16">
        <f t="shared" si="44"/>
        <v>1.2482336316533208E-2</v>
      </c>
      <c r="CE83" s="17">
        <f>IF(AND(BZ83&lt;&gt;"", CC83&lt;&gt;""), SUM(CC$59:CC83), "")</f>
        <v>818</v>
      </c>
      <c r="CF83" s="16">
        <f t="shared" si="45"/>
        <v>0.19265190767781443</v>
      </c>
      <c r="CG83" s="14"/>
      <c r="CH83" s="27">
        <v>25</v>
      </c>
      <c r="CI83" s="20">
        <v>48</v>
      </c>
      <c r="CJ83" s="8"/>
      <c r="CK83" s="48">
        <v>44</v>
      </c>
      <c r="CL83" s="83">
        <f t="shared" si="62"/>
        <v>6</v>
      </c>
      <c r="CM83" s="15">
        <f t="shared" si="55"/>
        <v>38.26</v>
      </c>
      <c r="CN83" s="52">
        <v>145</v>
      </c>
      <c r="CO83" s="16">
        <f t="shared" si="46"/>
        <v>2.4982770503101309E-2</v>
      </c>
      <c r="CP83" s="17">
        <f>IF(AND(CK83&lt;&gt;"", CN83&lt;&gt;""), SUM(CN$59:CN83), "")</f>
        <v>3656</v>
      </c>
      <c r="CQ83" s="16">
        <f t="shared" si="47"/>
        <v>0.62991040661612685</v>
      </c>
      <c r="CR83" s="14"/>
      <c r="CS83" s="27">
        <v>25</v>
      </c>
      <c r="CT83" s="20">
        <v>61</v>
      </c>
      <c r="CU83" s="8"/>
      <c r="CV83" s="49">
        <v>61</v>
      </c>
      <c r="CW83" s="83">
        <f t="shared" si="63"/>
        <v>2</v>
      </c>
      <c r="CX83" s="15">
        <f t="shared" si="56"/>
        <v>89.26</v>
      </c>
      <c r="CY83" s="52">
        <v>26</v>
      </c>
      <c r="CZ83" s="16">
        <f t="shared" si="48"/>
        <v>4.9495526365886163E-3</v>
      </c>
      <c r="DA83" s="17">
        <f>IF(AND(CV83&lt;&gt;"", CY83&lt;&gt;""), SUM(CY$59:CY83), "")</f>
        <v>577</v>
      </c>
      <c r="DB83" s="16">
        <f t="shared" si="49"/>
        <v>0.10984199505044737</v>
      </c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</row>
    <row r="84" spans="5:180" ht="16" customHeight="1" x14ac:dyDescent="0.2">
      <c r="E84" s="1"/>
      <c r="F84" s="86"/>
      <c r="G84" s="85">
        <v>8</v>
      </c>
      <c r="H84" s="36"/>
      <c r="I84" s="86"/>
      <c r="J84" s="85">
        <v>8</v>
      </c>
      <c r="K84" s="70"/>
      <c r="L84"/>
      <c r="M84"/>
      <c r="N84"/>
      <c r="O84" s="38">
        <v>54</v>
      </c>
      <c r="P84" s="83">
        <f t="shared" si="70"/>
        <v>9</v>
      </c>
      <c r="Q84" s="15">
        <f t="shared" si="68"/>
        <v>0.49</v>
      </c>
      <c r="R84" s="43">
        <v>153</v>
      </c>
      <c r="S84" s="16">
        <f t="shared" si="64"/>
        <v>5.3319393622582327E-4</v>
      </c>
      <c r="T84" s="17">
        <f>IF(AND(O84&lt;&gt;"", R84&lt;&gt;""), SUM(R$4:R84), "")</f>
        <v>285625</v>
      </c>
      <c r="U84" s="16">
        <f t="shared" si="65"/>
        <v>0.99538247081373066</v>
      </c>
      <c r="W84" s="38">
        <v>80</v>
      </c>
      <c r="X84" s="83">
        <f t="shared" si="71"/>
        <v>7</v>
      </c>
      <c r="Y84" s="15">
        <f t="shared" si="69"/>
        <v>17</v>
      </c>
      <c r="Z84" s="43">
        <v>14432</v>
      </c>
      <c r="AA84" s="16">
        <f t="shared" si="66"/>
        <v>5.0461714901101053E-2</v>
      </c>
      <c r="AB84" s="17">
        <f>IF(AND(W84&lt;&gt;"", Z84&lt;&gt;""), SUM(Z$4:Z84), "")</f>
        <v>244607</v>
      </c>
      <c r="AC84" s="16">
        <f t="shared" si="67"/>
        <v>0.85527222123154278</v>
      </c>
      <c r="AD84" s="1"/>
      <c r="AE84" s="19">
        <v>24</v>
      </c>
      <c r="AF84" s="20">
        <v>50</v>
      </c>
      <c r="AG84" s="8"/>
      <c r="AH84" s="49">
        <v>46</v>
      </c>
      <c r="AI84" s="83">
        <f t="shared" si="57"/>
        <v>5</v>
      </c>
      <c r="AJ84" s="15">
        <f t="shared" si="50"/>
        <v>42.88</v>
      </c>
      <c r="AK84" s="52">
        <v>1016</v>
      </c>
      <c r="AL84" s="16">
        <f t="shared" si="36"/>
        <v>5.3110297961317304E-2</v>
      </c>
      <c r="AM84" s="17">
        <f>IF(AND(AH84&lt;&gt;"", AK84&lt;&gt;""), SUM(AK$59:AK84), "")</f>
        <v>11435</v>
      </c>
      <c r="AN84" s="16">
        <f t="shared" si="37"/>
        <v>0.59775222164140096</v>
      </c>
      <c r="AO84" s="14"/>
      <c r="AP84" s="19">
        <v>24</v>
      </c>
      <c r="AQ84" s="20">
        <v>52</v>
      </c>
      <c r="AR84" s="8"/>
      <c r="AS84" s="49">
        <v>47</v>
      </c>
      <c r="AT84" s="83">
        <f t="shared" si="58"/>
        <v>5</v>
      </c>
      <c r="AU84" s="15">
        <f t="shared" si="51"/>
        <v>47.51</v>
      </c>
      <c r="AV84" s="52">
        <v>894</v>
      </c>
      <c r="AW84" s="16">
        <f t="shared" si="38"/>
        <v>6.25787484250315E-2</v>
      </c>
      <c r="AX84" s="17">
        <f>IF(AND(AS84&lt;&gt;"", AV84&lt;&gt;""), SUM(AV$59:AV84), "")</f>
        <v>7946</v>
      </c>
      <c r="AY84" s="16">
        <f t="shared" si="39"/>
        <v>0.55620887582248357</v>
      </c>
      <c r="AZ84" s="14"/>
      <c r="BA84" s="19">
        <v>24</v>
      </c>
      <c r="BB84" s="20">
        <v>53</v>
      </c>
      <c r="BC84" s="8"/>
      <c r="BD84" s="49">
        <v>48</v>
      </c>
      <c r="BE84" s="83">
        <f t="shared" si="59"/>
        <v>5</v>
      </c>
      <c r="BF84" s="15">
        <f t="shared" si="52"/>
        <v>51.82</v>
      </c>
      <c r="BG84" s="52">
        <v>341</v>
      </c>
      <c r="BH84" s="16">
        <f t="shared" si="40"/>
        <v>2.9013868799455458E-2</v>
      </c>
      <c r="BI84" s="17">
        <f>IF(AND(BD84&lt;&gt;"", BG84&lt;&gt;""), SUM(BG$59:BG84), "")</f>
        <v>5833</v>
      </c>
      <c r="BJ84" s="16">
        <f t="shared" si="41"/>
        <v>0.49629881732323661</v>
      </c>
      <c r="BK84" s="14"/>
      <c r="BL84" s="27">
        <v>24</v>
      </c>
      <c r="BM84" s="20">
        <v>57</v>
      </c>
      <c r="BN84" s="8"/>
      <c r="BO84" s="49">
        <v>56</v>
      </c>
      <c r="BP84" s="83">
        <f t="shared" si="60"/>
        <v>3</v>
      </c>
      <c r="BQ84" s="15">
        <f t="shared" si="53"/>
        <v>79.66</v>
      </c>
      <c r="BR84" s="52">
        <v>70</v>
      </c>
      <c r="BS84" s="16">
        <f t="shared" si="42"/>
        <v>1.8464785017145872E-2</v>
      </c>
      <c r="BT84" s="17">
        <f>IF(AND(BO84&lt;&gt;"", BR84&lt;&gt;""), SUM(BR$59:BR84), "")</f>
        <v>806</v>
      </c>
      <c r="BU84" s="16">
        <f t="shared" si="43"/>
        <v>0.21260881034027962</v>
      </c>
      <c r="BV84" s="14"/>
      <c r="BW84" s="27">
        <v>24</v>
      </c>
      <c r="BX84" s="20">
        <v>57</v>
      </c>
      <c r="BY84" s="8"/>
      <c r="BZ84" s="49">
        <v>55</v>
      </c>
      <c r="CA84" s="83">
        <f t="shared" si="61"/>
        <v>3</v>
      </c>
      <c r="CB84" s="15">
        <f t="shared" si="54"/>
        <v>80.040000000000006</v>
      </c>
      <c r="CC84" s="52">
        <v>59</v>
      </c>
      <c r="CD84" s="16">
        <f t="shared" si="44"/>
        <v>1.3895430993876589E-2</v>
      </c>
      <c r="CE84" s="17">
        <f>IF(AND(BZ84&lt;&gt;"", CC84&lt;&gt;""), SUM(CC$59:CC84), "")</f>
        <v>877</v>
      </c>
      <c r="CF84" s="16">
        <f t="shared" si="45"/>
        <v>0.20654733867169101</v>
      </c>
      <c r="CG84" s="14"/>
      <c r="CH84" s="27">
        <v>24</v>
      </c>
      <c r="CI84" s="20">
        <v>47</v>
      </c>
      <c r="CJ84" s="8"/>
      <c r="CK84" s="49">
        <v>43</v>
      </c>
      <c r="CL84" s="83">
        <f t="shared" si="62"/>
        <v>6</v>
      </c>
      <c r="CM84" s="15">
        <f t="shared" si="55"/>
        <v>35.46</v>
      </c>
      <c r="CN84" s="52">
        <v>180</v>
      </c>
      <c r="CO84" s="16">
        <f t="shared" si="46"/>
        <v>3.1013094417643005E-2</v>
      </c>
      <c r="CP84" s="17">
        <f>IF(AND(CK84&lt;&gt;"", CN84&lt;&gt;""), SUM(CN$59:CN84), "")</f>
        <v>3836</v>
      </c>
      <c r="CQ84" s="16">
        <f t="shared" si="47"/>
        <v>0.66092350103376984</v>
      </c>
      <c r="CR84" s="14"/>
      <c r="CS84" s="27">
        <v>24</v>
      </c>
      <c r="CT84" s="20">
        <v>60</v>
      </c>
      <c r="CU84" s="8"/>
      <c r="CV84" s="49">
        <v>60</v>
      </c>
      <c r="CW84" s="83">
        <f t="shared" si="63"/>
        <v>2</v>
      </c>
      <c r="CX84" s="15">
        <f t="shared" si="56"/>
        <v>88.54</v>
      </c>
      <c r="CY84" s="52">
        <v>50</v>
      </c>
      <c r="CZ84" s="16">
        <f t="shared" si="48"/>
        <v>9.5183704549781072E-3</v>
      </c>
      <c r="DA84" s="17">
        <f>IF(AND(CV84&lt;&gt;"", CY84&lt;&gt;""), SUM(CY$59:CY84), "")</f>
        <v>627</v>
      </c>
      <c r="DB84" s="16">
        <f t="shared" si="49"/>
        <v>0.11936036550542548</v>
      </c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</row>
    <row r="85" spans="5:180" ht="16" customHeight="1" x14ac:dyDescent="0.2">
      <c r="E85" s="1"/>
      <c r="F85" s="86"/>
      <c r="G85" s="85">
        <v>9</v>
      </c>
      <c r="H85" s="36"/>
      <c r="I85" s="86"/>
      <c r="J85" s="85">
        <v>9</v>
      </c>
      <c r="K85" s="70"/>
      <c r="L85"/>
      <c r="M85"/>
      <c r="N85"/>
      <c r="O85" s="38">
        <v>53</v>
      </c>
      <c r="P85" s="83">
        <f t="shared" si="70"/>
        <v>9</v>
      </c>
      <c r="Q85" s="15">
        <f t="shared" si="68"/>
        <v>0.45</v>
      </c>
      <c r="R85" s="43">
        <v>74</v>
      </c>
      <c r="S85" s="16">
        <f t="shared" si="64"/>
        <v>2.5788464889353547E-4</v>
      </c>
      <c r="T85" s="17">
        <f>IF(AND(O85&lt;&gt;"", R85&lt;&gt;""), SUM(R$4:R85), "")</f>
        <v>285699</v>
      </c>
      <c r="U85" s="16">
        <f t="shared" si="65"/>
        <v>0.99564035546262419</v>
      </c>
      <c r="W85" s="38">
        <v>79</v>
      </c>
      <c r="X85" s="83">
        <f t="shared" si="71"/>
        <v>7</v>
      </c>
      <c r="Y85" s="15">
        <f t="shared" si="69"/>
        <v>12.56</v>
      </c>
      <c r="Z85" s="43">
        <v>10962</v>
      </c>
      <c r="AA85" s="16">
        <f t="shared" si="66"/>
        <v>3.8328805345473234E-2</v>
      </c>
      <c r="AB85" s="17">
        <f>IF(AND(W85&lt;&gt;"", Z85&lt;&gt;""), SUM(Z$4:Z85), "")</f>
        <v>255569</v>
      </c>
      <c r="AC85" s="16">
        <f t="shared" si="67"/>
        <v>0.89360102657701601</v>
      </c>
      <c r="AD85" s="1"/>
      <c r="AE85" s="19">
        <v>23</v>
      </c>
      <c r="AF85" s="20">
        <v>50</v>
      </c>
      <c r="AG85" s="8"/>
      <c r="AH85" s="49">
        <v>45</v>
      </c>
      <c r="AI85" s="83">
        <f t="shared" si="57"/>
        <v>5</v>
      </c>
      <c r="AJ85" s="15">
        <f t="shared" si="50"/>
        <v>38.83</v>
      </c>
      <c r="AK85" s="52">
        <v>534</v>
      </c>
      <c r="AL85" s="16">
        <f t="shared" si="36"/>
        <v>2.7914270778881339E-2</v>
      </c>
      <c r="AM85" s="17">
        <f>IF(AND(AH85&lt;&gt;"", AK85&lt;&gt;""), SUM(AK$59:AK85), "")</f>
        <v>11969</v>
      </c>
      <c r="AN85" s="16">
        <f t="shared" si="37"/>
        <v>0.62566649242028227</v>
      </c>
      <c r="AO85" s="14"/>
      <c r="AP85" s="19">
        <v>23</v>
      </c>
      <c r="AQ85" s="20">
        <v>51</v>
      </c>
      <c r="AR85" s="8"/>
      <c r="AS85" s="49">
        <v>46</v>
      </c>
      <c r="AT85" s="83">
        <f t="shared" si="58"/>
        <v>5</v>
      </c>
      <c r="AU85" s="15">
        <f t="shared" si="51"/>
        <v>42.89</v>
      </c>
      <c r="AV85" s="52">
        <v>426</v>
      </c>
      <c r="AW85" s="16">
        <f t="shared" si="38"/>
        <v>2.981940361192776E-2</v>
      </c>
      <c r="AX85" s="17">
        <f>IF(AND(AS85&lt;&gt;"", AV85&lt;&gt;""), SUM(AV$59:AV85), "")</f>
        <v>8372</v>
      </c>
      <c r="AY85" s="16">
        <f t="shared" si="39"/>
        <v>0.58602827943441127</v>
      </c>
      <c r="AZ85" s="14"/>
      <c r="BA85" s="19">
        <v>23</v>
      </c>
      <c r="BB85" s="20">
        <v>52</v>
      </c>
      <c r="BC85" s="8"/>
      <c r="BD85" s="49">
        <v>47</v>
      </c>
      <c r="BE85" s="83">
        <f t="shared" si="59"/>
        <v>5</v>
      </c>
      <c r="BF85" s="15">
        <f t="shared" si="52"/>
        <v>48.63</v>
      </c>
      <c r="BG85" s="52">
        <v>410</v>
      </c>
      <c r="BH85" s="16">
        <f t="shared" si="40"/>
        <v>3.4884710286735301E-2</v>
      </c>
      <c r="BI85" s="17">
        <f>IF(AND(BD85&lt;&gt;"", BG85&lt;&gt;""), SUM(BG$59:BG85), "")</f>
        <v>6243</v>
      </c>
      <c r="BJ85" s="16">
        <f t="shared" si="41"/>
        <v>0.53118352760997189</v>
      </c>
      <c r="BK85" s="14"/>
      <c r="BL85" s="27">
        <v>23</v>
      </c>
      <c r="BM85" s="20">
        <v>56</v>
      </c>
      <c r="BN85" s="8"/>
      <c r="BO85" s="49">
        <v>55</v>
      </c>
      <c r="BP85" s="83">
        <f t="shared" si="60"/>
        <v>3</v>
      </c>
      <c r="BQ85" s="15">
        <f t="shared" si="53"/>
        <v>77.91</v>
      </c>
      <c r="BR85" s="52">
        <v>63</v>
      </c>
      <c r="BS85" s="16">
        <f t="shared" si="42"/>
        <v>1.6618306515431284E-2</v>
      </c>
      <c r="BT85" s="17">
        <f>IF(AND(BO85&lt;&gt;"", BR85&lt;&gt;""), SUM(BR$59:BR85), "")</f>
        <v>869</v>
      </c>
      <c r="BU85" s="16">
        <f t="shared" si="43"/>
        <v>0.2292271168557109</v>
      </c>
      <c r="BV85" s="14"/>
      <c r="BW85" s="27">
        <v>23</v>
      </c>
      <c r="BX85" s="20">
        <v>56</v>
      </c>
      <c r="BY85" s="8"/>
      <c r="BZ85" s="49">
        <v>54</v>
      </c>
      <c r="CA85" s="83">
        <f t="shared" si="61"/>
        <v>3</v>
      </c>
      <c r="CB85" s="15">
        <f t="shared" si="54"/>
        <v>78.38</v>
      </c>
      <c r="CC85" s="52">
        <v>82</v>
      </c>
      <c r="CD85" s="16">
        <f t="shared" si="44"/>
        <v>1.9312293923692887E-2</v>
      </c>
      <c r="CE85" s="17">
        <f>IF(AND(BZ85&lt;&gt;"", CC85&lt;&gt;""), SUM(CC$59:CC85), "")</f>
        <v>959</v>
      </c>
      <c r="CF85" s="16">
        <f t="shared" si="45"/>
        <v>0.22585963259538389</v>
      </c>
      <c r="CG85" s="14"/>
      <c r="CH85" s="27">
        <v>23</v>
      </c>
      <c r="CI85" s="20">
        <v>46</v>
      </c>
      <c r="CJ85" s="8"/>
      <c r="CK85" s="49">
        <v>42</v>
      </c>
      <c r="CL85" s="83">
        <f t="shared" si="62"/>
        <v>6</v>
      </c>
      <c r="CM85" s="15">
        <f t="shared" si="55"/>
        <v>32.68</v>
      </c>
      <c r="CN85" s="52">
        <v>142</v>
      </c>
      <c r="CO85" s="16">
        <f t="shared" si="46"/>
        <v>2.4465885596140591E-2</v>
      </c>
      <c r="CP85" s="17">
        <f>IF(AND(CK85&lt;&gt;"", CN85&lt;&gt;""), SUM(CN$59:CN85), "")</f>
        <v>3978</v>
      </c>
      <c r="CQ85" s="16">
        <f t="shared" si="47"/>
        <v>0.68538938662991045</v>
      </c>
      <c r="CR85" s="14"/>
      <c r="CS85" s="27">
        <v>23</v>
      </c>
      <c r="CT85" s="20">
        <v>59</v>
      </c>
      <c r="CU85" s="8"/>
      <c r="CV85" s="49">
        <v>59</v>
      </c>
      <c r="CW85" s="83">
        <f t="shared" si="63"/>
        <v>3</v>
      </c>
      <c r="CX85" s="15">
        <f t="shared" si="56"/>
        <v>87.66</v>
      </c>
      <c r="CY85" s="52">
        <v>42</v>
      </c>
      <c r="CZ85" s="16">
        <f t="shared" si="48"/>
        <v>7.9954311821816108E-3</v>
      </c>
      <c r="DA85" s="17">
        <f>IF(AND(CV85&lt;&gt;"", CY85&lt;&gt;""), SUM(CY$59:CY85), "")</f>
        <v>669</v>
      </c>
      <c r="DB85" s="16">
        <f t="shared" si="49"/>
        <v>0.12735579668760708</v>
      </c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</row>
    <row r="86" spans="5:180" ht="16" customHeight="1" x14ac:dyDescent="0.2">
      <c r="E86" s="1"/>
      <c r="F86" s="1"/>
      <c r="G86" s="1"/>
      <c r="H86" s="1"/>
      <c r="I86" s="1"/>
      <c r="J86" s="1"/>
      <c r="K86" s="1"/>
      <c r="L86"/>
      <c r="M86"/>
      <c r="N86"/>
      <c r="O86" s="38">
        <v>52</v>
      </c>
      <c r="P86" s="83">
        <f t="shared" si="70"/>
        <v>9</v>
      </c>
      <c r="Q86" s="15">
        <f t="shared" si="68"/>
        <v>0.43</v>
      </c>
      <c r="R86" s="43">
        <v>54</v>
      </c>
      <c r="S86" s="16">
        <f t="shared" si="64"/>
        <v>1.8818609513852587E-4</v>
      </c>
      <c r="T86" s="17">
        <f>IF(AND(O86&lt;&gt;"", R86&lt;&gt;""), SUM(R$4:R86), "")</f>
        <v>285753</v>
      </c>
      <c r="U86" s="16">
        <f t="shared" si="65"/>
        <v>0.99582854155776268</v>
      </c>
      <c r="W86" s="38">
        <v>78</v>
      </c>
      <c r="X86" s="83">
        <f t="shared" si="71"/>
        <v>8</v>
      </c>
      <c r="Y86" s="15">
        <f t="shared" si="69"/>
        <v>9.7200000000000006</v>
      </c>
      <c r="Z86" s="43">
        <v>5249</v>
      </c>
      <c r="AA86" s="16">
        <f t="shared" si="66"/>
        <v>1.8353211025213374E-2</v>
      </c>
      <c r="AB86" s="17">
        <f>IF(AND(W86&lt;&gt;"", Z86&lt;&gt;""), SUM(Z$4:Z86), "")</f>
        <v>260818</v>
      </c>
      <c r="AC86" s="16">
        <f t="shared" si="67"/>
        <v>0.91195423760222938</v>
      </c>
      <c r="AD86" s="1"/>
      <c r="AE86" s="19">
        <v>22</v>
      </c>
      <c r="AF86" s="20">
        <v>49</v>
      </c>
      <c r="AG86" s="8"/>
      <c r="AH86" s="49">
        <v>44</v>
      </c>
      <c r="AI86" s="83">
        <f t="shared" si="57"/>
        <v>6</v>
      </c>
      <c r="AJ86" s="15">
        <f t="shared" si="50"/>
        <v>35.909999999999997</v>
      </c>
      <c r="AK86" s="52">
        <v>582</v>
      </c>
      <c r="AL86" s="16">
        <f t="shared" si="36"/>
        <v>3.0423418714061682E-2</v>
      </c>
      <c r="AM86" s="17">
        <f>IF(AND(AH86&lt;&gt;"", AK86&lt;&gt;""), SUM(AK$59:AK86), "")</f>
        <v>12551</v>
      </c>
      <c r="AN86" s="16">
        <f t="shared" si="37"/>
        <v>0.65608991113434401</v>
      </c>
      <c r="AO86" s="14"/>
      <c r="AP86" s="19">
        <v>22</v>
      </c>
      <c r="AQ86" s="20">
        <v>50</v>
      </c>
      <c r="AR86" s="8"/>
      <c r="AS86" s="49">
        <v>45</v>
      </c>
      <c r="AT86" s="83">
        <f t="shared" si="58"/>
        <v>5</v>
      </c>
      <c r="AU86" s="15">
        <f t="shared" si="51"/>
        <v>39.71</v>
      </c>
      <c r="AV86" s="52">
        <v>482</v>
      </c>
      <c r="AW86" s="16">
        <f t="shared" si="38"/>
        <v>3.3739325213495729E-2</v>
      </c>
      <c r="AX86" s="17">
        <f>IF(AND(AS86&lt;&gt;"", AV86&lt;&gt;""), SUM(AV$59:AV86), "")</f>
        <v>8854</v>
      </c>
      <c r="AY86" s="16">
        <f t="shared" si="39"/>
        <v>0.61976760464790703</v>
      </c>
      <c r="AZ86" s="14"/>
      <c r="BA86" s="19">
        <v>22</v>
      </c>
      <c r="BB86" s="20">
        <v>51</v>
      </c>
      <c r="BC86" s="8"/>
      <c r="BD86" s="49">
        <v>46</v>
      </c>
      <c r="BE86" s="83">
        <f t="shared" si="59"/>
        <v>5</v>
      </c>
      <c r="BF86" s="15">
        <f t="shared" si="52"/>
        <v>45.19</v>
      </c>
      <c r="BG86" s="52">
        <v>398</v>
      </c>
      <c r="BH86" s="16">
        <f t="shared" si="40"/>
        <v>3.3863694375904023E-2</v>
      </c>
      <c r="BI86" s="17">
        <f>IF(AND(BD86&lt;&gt;"", BG86&lt;&gt;""), SUM(BG$59:BG86), "")</f>
        <v>6641</v>
      </c>
      <c r="BJ86" s="16">
        <f t="shared" si="41"/>
        <v>0.56504722198587598</v>
      </c>
      <c r="BK86" s="14"/>
      <c r="BL86" s="27">
        <v>22</v>
      </c>
      <c r="BM86" s="20">
        <v>55</v>
      </c>
      <c r="BN86" s="8"/>
      <c r="BO86" s="49">
        <v>54</v>
      </c>
      <c r="BP86" s="83">
        <f t="shared" si="60"/>
        <v>3</v>
      </c>
      <c r="BQ86" s="15">
        <f t="shared" si="53"/>
        <v>76.09</v>
      </c>
      <c r="BR86" s="52">
        <v>75</v>
      </c>
      <c r="BS86" s="16">
        <f t="shared" si="42"/>
        <v>1.9783698232656292E-2</v>
      </c>
      <c r="BT86" s="17">
        <f>IF(AND(BO86&lt;&gt;"", BR86&lt;&gt;""), SUM(BR$59:BR86), "")</f>
        <v>944</v>
      </c>
      <c r="BU86" s="16">
        <f t="shared" si="43"/>
        <v>0.2490108150883672</v>
      </c>
      <c r="BV86" s="14"/>
      <c r="BW86" s="27">
        <v>22</v>
      </c>
      <c r="BX86" s="20">
        <v>55</v>
      </c>
      <c r="BY86" s="8"/>
      <c r="BZ86" s="49">
        <v>53</v>
      </c>
      <c r="CA86" s="83">
        <f t="shared" si="61"/>
        <v>3</v>
      </c>
      <c r="CB86" s="15">
        <f t="shared" si="54"/>
        <v>76.58</v>
      </c>
      <c r="CC86" s="52">
        <v>71</v>
      </c>
      <c r="CD86" s="16">
        <f t="shared" si="44"/>
        <v>1.6721620348563355E-2</v>
      </c>
      <c r="CE86" s="17">
        <f>IF(AND(BZ86&lt;&gt;"", CC86&lt;&gt;""), SUM(CC$59:CC86), "")</f>
        <v>1030</v>
      </c>
      <c r="CF86" s="16">
        <f t="shared" si="45"/>
        <v>0.24258125294394725</v>
      </c>
      <c r="CG86" s="14"/>
      <c r="CH86" s="27">
        <v>22</v>
      </c>
      <c r="CI86" s="20">
        <v>45</v>
      </c>
      <c r="CJ86" s="8"/>
      <c r="CK86" s="48">
        <v>41</v>
      </c>
      <c r="CL86" s="83">
        <f t="shared" si="62"/>
        <v>6</v>
      </c>
      <c r="CM86" s="15">
        <f t="shared" si="55"/>
        <v>29.85</v>
      </c>
      <c r="CN86" s="52">
        <v>187</v>
      </c>
      <c r="CO86" s="16">
        <f t="shared" si="46"/>
        <v>3.2219159200551344E-2</v>
      </c>
      <c r="CP86" s="17">
        <f>IF(AND(CK86&lt;&gt;"", CN86&lt;&gt;""), SUM(CN$59:CN86), "")</f>
        <v>4165</v>
      </c>
      <c r="CQ86" s="16">
        <f t="shared" si="47"/>
        <v>0.71760854583046174</v>
      </c>
      <c r="CR86" s="14"/>
      <c r="CS86" s="27">
        <v>22</v>
      </c>
      <c r="CT86" s="20">
        <v>58</v>
      </c>
      <c r="CU86" s="8"/>
      <c r="CV86" s="49">
        <v>58</v>
      </c>
      <c r="CW86" s="83">
        <f t="shared" si="63"/>
        <v>3</v>
      </c>
      <c r="CX86" s="15">
        <f t="shared" si="56"/>
        <v>86.76</v>
      </c>
      <c r="CY86" s="52">
        <v>53</v>
      </c>
      <c r="CZ86" s="16">
        <f t="shared" si="48"/>
        <v>1.0089472682276794E-2</v>
      </c>
      <c r="DA86" s="17">
        <f>IF(AND(CV86&lt;&gt;"", CY86&lt;&gt;""), SUM(CY$59:CY86), "")</f>
        <v>722</v>
      </c>
      <c r="DB86" s="16">
        <f t="shared" si="49"/>
        <v>0.13744526936988388</v>
      </c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</row>
    <row r="87" spans="5:180" ht="16" customHeight="1" thickBot="1" x14ac:dyDescent="0.25">
      <c r="E87" s="1"/>
      <c r="F87" s="117" t="s">
        <v>9</v>
      </c>
      <c r="G87" s="118"/>
      <c r="H87" s="36"/>
      <c r="I87" s="117" t="s">
        <v>32</v>
      </c>
      <c r="J87" s="118"/>
      <c r="K87" s="36"/>
      <c r="L87" s="36"/>
      <c r="M87" s="36"/>
      <c r="N87"/>
      <c r="O87" s="38">
        <v>51</v>
      </c>
      <c r="P87" s="83">
        <f t="shared" si="70"/>
        <v>9</v>
      </c>
      <c r="Q87" s="15">
        <f t="shared" si="68"/>
        <v>0.4</v>
      </c>
      <c r="R87" s="43">
        <v>72</v>
      </c>
      <c r="S87" s="16">
        <f t="shared" si="64"/>
        <v>2.5091479351803451E-4</v>
      </c>
      <c r="T87" s="17">
        <f>IF(AND(O87&lt;&gt;"", R87&lt;&gt;""), SUM(R$4:R87), "")</f>
        <v>285825</v>
      </c>
      <c r="U87" s="16">
        <f t="shared" si="65"/>
        <v>0.9960794563512807</v>
      </c>
      <c r="W87" s="38">
        <v>77</v>
      </c>
      <c r="X87" s="83">
        <f t="shared" si="71"/>
        <v>8</v>
      </c>
      <c r="Y87" s="15">
        <f t="shared" si="69"/>
        <v>7.59</v>
      </c>
      <c r="Z87" s="43">
        <v>6930</v>
      </c>
      <c r="AA87" s="16">
        <f t="shared" si="66"/>
        <v>2.4230853954034803E-2</v>
      </c>
      <c r="AB87" s="17">
        <f>IF(AND(W87&lt;&gt;"", Z87&lt;&gt;""), SUM(Z$4:Z87), "")</f>
        <v>267748</v>
      </c>
      <c r="AC87" s="16">
        <f t="shared" si="67"/>
        <v>0.93618509155626417</v>
      </c>
      <c r="AD87" s="1"/>
      <c r="AE87" s="19">
        <v>21</v>
      </c>
      <c r="AF87" s="20">
        <v>48</v>
      </c>
      <c r="AG87" s="8"/>
      <c r="AH87" s="49">
        <v>43</v>
      </c>
      <c r="AI87" s="83">
        <f t="shared" si="57"/>
        <v>6</v>
      </c>
      <c r="AJ87" s="15">
        <f t="shared" si="50"/>
        <v>32.69</v>
      </c>
      <c r="AK87" s="52">
        <v>652</v>
      </c>
      <c r="AL87" s="16">
        <f t="shared" si="36"/>
        <v>3.4082592786199684E-2</v>
      </c>
      <c r="AM87" s="17">
        <f>IF(AND(AH87&lt;&gt;"", AK87&lt;&gt;""), SUM(AK$59:AK87), "")</f>
        <v>13203</v>
      </c>
      <c r="AN87" s="16">
        <f t="shared" si="37"/>
        <v>0.69017250392054363</v>
      </c>
      <c r="AO87" s="14"/>
      <c r="AP87" s="19">
        <v>21</v>
      </c>
      <c r="AQ87" s="20">
        <v>49</v>
      </c>
      <c r="AR87" s="8"/>
      <c r="AS87" s="49">
        <v>44</v>
      </c>
      <c r="AT87" s="83">
        <f t="shared" si="58"/>
        <v>6</v>
      </c>
      <c r="AU87" s="15">
        <f t="shared" si="51"/>
        <v>36.409999999999997</v>
      </c>
      <c r="AV87" s="52">
        <v>460</v>
      </c>
      <c r="AW87" s="16">
        <f t="shared" si="38"/>
        <v>3.2199356012879744E-2</v>
      </c>
      <c r="AX87" s="17">
        <f>IF(AND(AS87&lt;&gt;"", AV87&lt;&gt;""), SUM(AV$59:AV87), "")</f>
        <v>9314</v>
      </c>
      <c r="AY87" s="16">
        <f t="shared" si="39"/>
        <v>0.65196696066078674</v>
      </c>
      <c r="AZ87" s="14"/>
      <c r="BA87" s="19">
        <v>21</v>
      </c>
      <c r="BB87" s="20">
        <v>50</v>
      </c>
      <c r="BC87" s="8"/>
      <c r="BD87" s="49">
        <v>45</v>
      </c>
      <c r="BE87" s="83">
        <f t="shared" si="59"/>
        <v>5</v>
      </c>
      <c r="BF87" s="15">
        <f t="shared" si="52"/>
        <v>39.630000000000003</v>
      </c>
      <c r="BG87" s="52">
        <v>909</v>
      </c>
      <c r="BH87" s="16">
        <f t="shared" si="40"/>
        <v>7.7341955245469246E-2</v>
      </c>
      <c r="BI87" s="17">
        <f>IF(AND(BD87&lt;&gt;"", BG87&lt;&gt;""), SUM(BG$59:BG87), "")</f>
        <v>7550</v>
      </c>
      <c r="BJ87" s="16">
        <f t="shared" si="41"/>
        <v>0.64238917723134514</v>
      </c>
      <c r="BK87" s="14"/>
      <c r="BL87" s="27">
        <v>21</v>
      </c>
      <c r="BM87" s="20">
        <v>54</v>
      </c>
      <c r="BN87" s="8"/>
      <c r="BO87" s="49">
        <v>53</v>
      </c>
      <c r="BP87" s="83">
        <f t="shared" si="60"/>
        <v>4</v>
      </c>
      <c r="BQ87" s="15">
        <f t="shared" si="53"/>
        <v>73.819999999999993</v>
      </c>
      <c r="BR87" s="52">
        <v>97</v>
      </c>
      <c r="BS87" s="16">
        <f t="shared" si="42"/>
        <v>2.5586916380902137E-2</v>
      </c>
      <c r="BT87" s="17">
        <f>IF(AND(BO87&lt;&gt;"", BR87&lt;&gt;""), SUM(BR$59:BR87), "")</f>
        <v>1041</v>
      </c>
      <c r="BU87" s="16">
        <f t="shared" si="43"/>
        <v>0.2745977314692693</v>
      </c>
      <c r="BV87" s="14"/>
      <c r="BW87" s="27">
        <v>21</v>
      </c>
      <c r="BX87" s="20">
        <v>54</v>
      </c>
      <c r="BY87" s="8"/>
      <c r="BZ87" s="49">
        <v>52</v>
      </c>
      <c r="CA87" s="83">
        <f t="shared" si="61"/>
        <v>4</v>
      </c>
      <c r="CB87" s="15">
        <f t="shared" si="54"/>
        <v>73.23</v>
      </c>
      <c r="CC87" s="52">
        <v>213</v>
      </c>
      <c r="CD87" s="16">
        <f t="shared" si="44"/>
        <v>5.0164861045690061E-2</v>
      </c>
      <c r="CE87" s="17">
        <f>IF(AND(BZ87&lt;&gt;"", CC87&lt;&gt;""), SUM(CC$59:CC87), "")</f>
        <v>1243</v>
      </c>
      <c r="CF87" s="16">
        <f t="shared" si="45"/>
        <v>0.29274611398963729</v>
      </c>
      <c r="CG87" s="14"/>
      <c r="CH87" s="27">
        <v>21</v>
      </c>
      <c r="CI87" s="20">
        <v>45</v>
      </c>
      <c r="CJ87" s="8"/>
      <c r="CK87" s="49">
        <v>40</v>
      </c>
      <c r="CL87" s="83">
        <f t="shared" si="62"/>
        <v>6</v>
      </c>
      <c r="CM87" s="15">
        <f t="shared" si="55"/>
        <v>24.97</v>
      </c>
      <c r="CN87" s="52">
        <v>379</v>
      </c>
      <c r="CO87" s="16">
        <f t="shared" si="46"/>
        <v>6.5299793246037213E-2</v>
      </c>
      <c r="CP87" s="17">
        <f>IF(AND(CK87&lt;&gt;"", CN87&lt;&gt;""), SUM(CN$59:CN87), "")</f>
        <v>4544</v>
      </c>
      <c r="CQ87" s="16">
        <f t="shared" si="47"/>
        <v>0.78290833907649893</v>
      </c>
      <c r="CR87" s="14"/>
      <c r="CS87" s="27">
        <v>21</v>
      </c>
      <c r="CT87" s="20">
        <v>57</v>
      </c>
      <c r="CU87" s="8"/>
      <c r="CV87" s="49">
        <v>57</v>
      </c>
      <c r="CW87" s="83">
        <f t="shared" si="63"/>
        <v>3</v>
      </c>
      <c r="CX87" s="15">
        <f t="shared" si="56"/>
        <v>85.72</v>
      </c>
      <c r="CY87" s="52">
        <v>56</v>
      </c>
      <c r="CZ87" s="16">
        <f t="shared" si="48"/>
        <v>1.066057490957548E-2</v>
      </c>
      <c r="DA87" s="17">
        <f>IF(AND(CV87&lt;&gt;"", CY87&lt;&gt;""), SUM(CY$59:CY87), "")</f>
        <v>778</v>
      </c>
      <c r="DB87" s="16">
        <f t="shared" si="49"/>
        <v>0.14810584427945936</v>
      </c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</row>
    <row r="88" spans="5:180" ht="16" customHeight="1" x14ac:dyDescent="0.2">
      <c r="E88" s="1"/>
      <c r="F88" s="30" t="s">
        <v>30</v>
      </c>
      <c r="G88" s="30" t="s">
        <v>14</v>
      </c>
      <c r="H88" s="36"/>
      <c r="I88" s="30" t="s">
        <v>30</v>
      </c>
      <c r="J88" s="30" t="s">
        <v>14</v>
      </c>
      <c r="K88" s="36"/>
      <c r="L88" s="36"/>
      <c r="M88" s="36"/>
      <c r="N88"/>
      <c r="O88" s="38">
        <v>50</v>
      </c>
      <c r="P88" s="83">
        <f t="shared" si="70"/>
        <v>9</v>
      </c>
      <c r="Q88" s="15">
        <f t="shared" si="68"/>
        <v>0.38</v>
      </c>
      <c r="R88" s="43">
        <v>57</v>
      </c>
      <c r="S88" s="16">
        <f t="shared" si="64"/>
        <v>1.9864087820177731E-4</v>
      </c>
      <c r="T88" s="17">
        <f>IF(AND(O88&lt;&gt;"", R88&lt;&gt;""), SUM(R$4:R88), "")</f>
        <v>285882</v>
      </c>
      <c r="U88" s="16">
        <f t="shared" si="65"/>
        <v>0.99627809722948246</v>
      </c>
      <c r="W88" s="38">
        <v>76</v>
      </c>
      <c r="X88" s="83">
        <f t="shared" si="71"/>
        <v>8</v>
      </c>
      <c r="Y88" s="15">
        <f t="shared" si="69"/>
        <v>5.71</v>
      </c>
      <c r="Z88" s="43">
        <v>3834</v>
      </c>
      <c r="AA88" s="16">
        <f t="shared" si="66"/>
        <v>1.3405641278466008E-2</v>
      </c>
      <c r="AB88" s="17">
        <f>IF(AND(W88&lt;&gt;"", Z88&lt;&gt;""), SUM(Z$4:Z88), "")</f>
        <v>271582</v>
      </c>
      <c r="AC88" s="16">
        <f t="shared" si="67"/>
        <v>0.94959073283473017</v>
      </c>
      <c r="AD88" s="1"/>
      <c r="AE88" s="19">
        <v>20</v>
      </c>
      <c r="AF88" s="20">
        <v>47</v>
      </c>
      <c r="AG88" s="8"/>
      <c r="AH88" s="49">
        <v>42</v>
      </c>
      <c r="AI88" s="83">
        <f t="shared" si="57"/>
        <v>6</v>
      </c>
      <c r="AJ88" s="15">
        <f t="shared" si="50"/>
        <v>25.88</v>
      </c>
      <c r="AK88" s="52">
        <v>1951</v>
      </c>
      <c r="AL88" s="16">
        <f t="shared" si="36"/>
        <v>0.10198640878201777</v>
      </c>
      <c r="AM88" s="17">
        <f>IF(AND(AH88&lt;&gt;"", AK88&lt;&gt;""), SUM(AK$59:AK88), "")</f>
        <v>15154</v>
      </c>
      <c r="AN88" s="16">
        <f t="shared" si="37"/>
        <v>0.79215891270256145</v>
      </c>
      <c r="AO88" s="14"/>
      <c r="AP88" s="19">
        <v>20</v>
      </c>
      <c r="AQ88" s="20">
        <v>48</v>
      </c>
      <c r="AR88" s="8"/>
      <c r="AS88" s="49">
        <v>43</v>
      </c>
      <c r="AT88" s="83">
        <f t="shared" si="58"/>
        <v>6</v>
      </c>
      <c r="AU88" s="15">
        <f t="shared" si="51"/>
        <v>31.27</v>
      </c>
      <c r="AV88" s="52">
        <v>1010</v>
      </c>
      <c r="AW88" s="16">
        <f t="shared" si="38"/>
        <v>7.0698586028279428E-2</v>
      </c>
      <c r="AX88" s="17">
        <f>IF(AND(AS88&lt;&gt;"", AV88&lt;&gt;""), SUM(AV$59:AV88), "")</f>
        <v>10324</v>
      </c>
      <c r="AY88" s="16">
        <f t="shared" si="39"/>
        <v>0.72266554668906624</v>
      </c>
      <c r="AZ88" s="14"/>
      <c r="BA88" s="19">
        <v>20</v>
      </c>
      <c r="BB88" s="20">
        <v>49</v>
      </c>
      <c r="BC88" s="8"/>
      <c r="BD88" s="49">
        <v>44</v>
      </c>
      <c r="BE88" s="83">
        <f t="shared" si="59"/>
        <v>6</v>
      </c>
      <c r="BF88" s="15">
        <f t="shared" si="52"/>
        <v>33.950000000000003</v>
      </c>
      <c r="BG88" s="52">
        <v>425</v>
      </c>
      <c r="BH88" s="16">
        <f t="shared" si="40"/>
        <v>3.6160980175274401E-2</v>
      </c>
      <c r="BI88" s="17">
        <f>IF(AND(BD88&lt;&gt;"", BG88&lt;&gt;""), SUM(BG$59:BG88), "")</f>
        <v>7975</v>
      </c>
      <c r="BJ88" s="16">
        <f t="shared" si="41"/>
        <v>0.67855015740661961</v>
      </c>
      <c r="BK88" s="14"/>
      <c r="BL88" s="27">
        <v>20</v>
      </c>
      <c r="BM88" s="20">
        <v>53</v>
      </c>
      <c r="BN88" s="8"/>
      <c r="BO88" s="49">
        <v>52</v>
      </c>
      <c r="BP88" s="83">
        <f t="shared" si="60"/>
        <v>4</v>
      </c>
      <c r="BQ88" s="15">
        <f t="shared" si="53"/>
        <v>71.22</v>
      </c>
      <c r="BR88" s="52">
        <v>100</v>
      </c>
      <c r="BS88" s="16">
        <f t="shared" si="42"/>
        <v>2.6378264310208389E-2</v>
      </c>
      <c r="BT88" s="17">
        <f>IF(AND(BO88&lt;&gt;"", BR88&lt;&gt;""), SUM(BR$59:BR88), "")</f>
        <v>1141</v>
      </c>
      <c r="BU88" s="16">
        <f t="shared" si="43"/>
        <v>0.3009759957794777</v>
      </c>
      <c r="BV88" s="14"/>
      <c r="BW88" s="27">
        <v>20</v>
      </c>
      <c r="BX88" s="20">
        <v>53</v>
      </c>
      <c r="BY88" s="8"/>
      <c r="BZ88" s="49">
        <v>51</v>
      </c>
      <c r="CA88" s="83">
        <f t="shared" si="61"/>
        <v>4</v>
      </c>
      <c r="CB88" s="15">
        <f t="shared" si="54"/>
        <v>69.349999999999994</v>
      </c>
      <c r="CC88" s="52">
        <v>117</v>
      </c>
      <c r="CD88" s="16">
        <f t="shared" si="44"/>
        <v>2.7555346208195948E-2</v>
      </c>
      <c r="CE88" s="17">
        <f>IF(AND(BZ88&lt;&gt;"", CC88&lt;&gt;""), SUM(CC$59:CC88), "")</f>
        <v>1360</v>
      </c>
      <c r="CF88" s="16">
        <f t="shared" si="45"/>
        <v>0.32030146019783323</v>
      </c>
      <c r="CG88" s="14"/>
      <c r="CH88" s="27">
        <v>20</v>
      </c>
      <c r="CI88" s="20">
        <v>44</v>
      </c>
      <c r="CJ88" s="8"/>
      <c r="CK88" s="49">
        <v>39</v>
      </c>
      <c r="CL88" s="83">
        <f t="shared" si="62"/>
        <v>7</v>
      </c>
      <c r="CM88" s="15">
        <f t="shared" si="55"/>
        <v>20.010000000000002</v>
      </c>
      <c r="CN88" s="52">
        <v>197</v>
      </c>
      <c r="CO88" s="16">
        <f t="shared" si="46"/>
        <v>3.3942108890420403E-2</v>
      </c>
      <c r="CP88" s="17">
        <f>IF(AND(CK88&lt;&gt;"", CN88&lt;&gt;""), SUM(CN$59:CN88), "")</f>
        <v>4741</v>
      </c>
      <c r="CQ88" s="16">
        <f t="shared" si="47"/>
        <v>0.81685044796691941</v>
      </c>
      <c r="CR88" s="14"/>
      <c r="CS88" s="27">
        <v>20</v>
      </c>
      <c r="CT88" s="20">
        <v>56</v>
      </c>
      <c r="CU88" s="8"/>
      <c r="CV88" s="49">
        <v>56</v>
      </c>
      <c r="CW88" s="83">
        <f t="shared" si="63"/>
        <v>3</v>
      </c>
      <c r="CX88" s="15">
        <f t="shared" si="56"/>
        <v>84.24</v>
      </c>
      <c r="CY88" s="52">
        <v>100</v>
      </c>
      <c r="CZ88" s="16">
        <f t="shared" si="48"/>
        <v>1.9036740909956214E-2</v>
      </c>
      <c r="DA88" s="17">
        <f>IF(AND(CV88&lt;&gt;"", CY88&lt;&gt;""), SUM(CY$59:CY88), "")</f>
        <v>878</v>
      </c>
      <c r="DB88" s="16">
        <f t="shared" si="49"/>
        <v>0.16714258518941558</v>
      </c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</row>
    <row r="89" spans="5:180" ht="16" customHeight="1" x14ac:dyDescent="0.2">
      <c r="E89" s="1"/>
      <c r="F89" s="86"/>
      <c r="G89" s="85">
        <v>1</v>
      </c>
      <c r="H89" s="36"/>
      <c r="I89" s="86"/>
      <c r="J89" s="85">
        <v>1</v>
      </c>
      <c r="K89" s="70"/>
      <c r="L89" s="70"/>
      <c r="M89" s="70"/>
      <c r="N89"/>
      <c r="O89" s="38">
        <v>49</v>
      </c>
      <c r="P89" s="83">
        <f t="shared" si="70"/>
        <v>9</v>
      </c>
      <c r="Q89" s="15">
        <f t="shared" si="68"/>
        <v>0.32</v>
      </c>
      <c r="R89" s="43">
        <v>289</v>
      </c>
      <c r="S89" s="16">
        <f t="shared" si="64"/>
        <v>1.0071441017598885E-3</v>
      </c>
      <c r="T89" s="17">
        <f>IF(AND(O89&lt;&gt;"", R89&lt;&gt;""), SUM(R$4:R89), "")</f>
        <v>286171</v>
      </c>
      <c r="U89" s="16">
        <f t="shared" si="65"/>
        <v>0.99728524133124241</v>
      </c>
      <c r="W89" s="38">
        <v>75</v>
      </c>
      <c r="X89" s="83">
        <f t="shared" si="71"/>
        <v>8</v>
      </c>
      <c r="Y89" s="15">
        <f t="shared" si="69"/>
        <v>4.2300000000000004</v>
      </c>
      <c r="Z89" s="43">
        <v>4612</v>
      </c>
      <c r="AA89" s="16">
        <f t="shared" si="66"/>
        <v>1.612593051024654E-2</v>
      </c>
      <c r="AB89" s="17">
        <f>IF(AND(W89&lt;&gt;"", Z89&lt;&gt;""), SUM(Z$4:Z89), "")</f>
        <v>276194</v>
      </c>
      <c r="AC89" s="16">
        <f t="shared" si="67"/>
        <v>0.96571666334497674</v>
      </c>
      <c r="AD89" s="1"/>
      <c r="AE89" s="19">
        <v>19</v>
      </c>
      <c r="AF89" s="20">
        <v>46</v>
      </c>
      <c r="AG89" s="8"/>
      <c r="AH89" s="49">
        <v>41</v>
      </c>
      <c r="AI89" s="83">
        <f t="shared" si="57"/>
        <v>7</v>
      </c>
      <c r="AJ89" s="15">
        <f t="shared" si="50"/>
        <v>19.239999999999998</v>
      </c>
      <c r="AK89" s="52">
        <v>591</v>
      </c>
      <c r="AL89" s="16">
        <f t="shared" si="36"/>
        <v>3.0893883951907997E-2</v>
      </c>
      <c r="AM89" s="17">
        <f>IF(AND(AH89&lt;&gt;"", AK89&lt;&gt;""), SUM(AK$59:AK89), "")</f>
        <v>15745</v>
      </c>
      <c r="AN89" s="16">
        <f t="shared" si="37"/>
        <v>0.8230527966544694</v>
      </c>
      <c r="AO89" s="14"/>
      <c r="AP89" s="19">
        <v>19</v>
      </c>
      <c r="AQ89" s="20">
        <v>47</v>
      </c>
      <c r="AR89" s="8"/>
      <c r="AS89" s="49">
        <v>42</v>
      </c>
      <c r="AT89" s="83">
        <f t="shared" si="58"/>
        <v>6</v>
      </c>
      <c r="AU89" s="15">
        <f t="shared" si="51"/>
        <v>25.95</v>
      </c>
      <c r="AV89" s="52">
        <v>509</v>
      </c>
      <c r="AW89" s="16">
        <f t="shared" si="38"/>
        <v>3.5629287414251712E-2</v>
      </c>
      <c r="AX89" s="17">
        <f>IF(AND(AS89&lt;&gt;"", AV89&lt;&gt;""), SUM(AV$59:AV89), "")</f>
        <v>10833</v>
      </c>
      <c r="AY89" s="16">
        <f t="shared" si="39"/>
        <v>0.75829483410331788</v>
      </c>
      <c r="AZ89" s="14"/>
      <c r="BA89" s="19">
        <v>19</v>
      </c>
      <c r="BB89" s="20">
        <v>49</v>
      </c>
      <c r="BC89" s="8"/>
      <c r="BD89" s="49">
        <v>43</v>
      </c>
      <c r="BE89" s="83">
        <f t="shared" si="59"/>
        <v>6</v>
      </c>
      <c r="BF89" s="15">
        <f t="shared" si="52"/>
        <v>30.26</v>
      </c>
      <c r="BG89" s="52">
        <v>443</v>
      </c>
      <c r="BH89" s="16">
        <f t="shared" si="40"/>
        <v>3.7692504041521316E-2</v>
      </c>
      <c r="BI89" s="17">
        <f>IF(AND(BD89&lt;&gt;"", BG89&lt;&gt;""), SUM(BG$59:BG89), "")</f>
        <v>8418</v>
      </c>
      <c r="BJ89" s="16">
        <f t="shared" si="41"/>
        <v>0.71624266144814086</v>
      </c>
      <c r="BK89" s="14"/>
      <c r="BL89" s="27">
        <v>19</v>
      </c>
      <c r="BM89" s="20">
        <v>52</v>
      </c>
      <c r="BN89" s="8"/>
      <c r="BO89" s="49">
        <v>51</v>
      </c>
      <c r="BP89" s="83">
        <f t="shared" si="60"/>
        <v>4</v>
      </c>
      <c r="BQ89" s="15">
        <f t="shared" si="53"/>
        <v>68.33</v>
      </c>
      <c r="BR89" s="52">
        <v>119</v>
      </c>
      <c r="BS89" s="16">
        <f t="shared" si="42"/>
        <v>3.1390134529147982E-2</v>
      </c>
      <c r="BT89" s="17">
        <f>IF(AND(BO89&lt;&gt;"", BR89&lt;&gt;""), SUM(BR$59:BR89), "")</f>
        <v>1260</v>
      </c>
      <c r="BU89" s="16">
        <f t="shared" si="43"/>
        <v>0.33236613030862572</v>
      </c>
      <c r="BV89" s="14"/>
      <c r="BW89" s="27">
        <v>19</v>
      </c>
      <c r="BX89" s="20">
        <v>52</v>
      </c>
      <c r="BY89" s="8"/>
      <c r="BZ89" s="49">
        <v>50</v>
      </c>
      <c r="CA89" s="83">
        <f t="shared" si="61"/>
        <v>4</v>
      </c>
      <c r="CB89" s="15">
        <f t="shared" si="54"/>
        <v>66.290000000000006</v>
      </c>
      <c r="CC89" s="52">
        <v>143</v>
      </c>
      <c r="CD89" s="16">
        <f t="shared" si="44"/>
        <v>3.367875647668394E-2</v>
      </c>
      <c r="CE89" s="17">
        <f>IF(AND(BZ89&lt;&gt;"", CC89&lt;&gt;""), SUM(CC$59:CC89), "")</f>
        <v>1503</v>
      </c>
      <c r="CF89" s="16">
        <f t="shared" si="45"/>
        <v>0.35398021667451718</v>
      </c>
      <c r="CG89" s="14"/>
      <c r="CH89" s="27">
        <v>19</v>
      </c>
      <c r="CI89" s="20">
        <v>43</v>
      </c>
      <c r="CJ89" s="8"/>
      <c r="CK89" s="48">
        <v>38</v>
      </c>
      <c r="CL89" s="83">
        <f t="shared" si="62"/>
        <v>7</v>
      </c>
      <c r="CM89" s="15">
        <f t="shared" si="55"/>
        <v>16.8</v>
      </c>
      <c r="CN89" s="52">
        <v>176</v>
      </c>
      <c r="CO89" s="16">
        <f t="shared" si="46"/>
        <v>3.0323914541695383E-2</v>
      </c>
      <c r="CP89" s="17">
        <f>IF(AND(CK89&lt;&gt;"", CN89&lt;&gt;""), SUM(CN$59:CN89), "")</f>
        <v>4917</v>
      </c>
      <c r="CQ89" s="16">
        <f t="shared" si="47"/>
        <v>0.84717436250861478</v>
      </c>
      <c r="CR89" s="14"/>
      <c r="CS89" s="27">
        <v>19</v>
      </c>
      <c r="CT89" s="20">
        <v>55</v>
      </c>
      <c r="CU89" s="8"/>
      <c r="CV89" s="49">
        <v>55</v>
      </c>
      <c r="CW89" s="83">
        <f t="shared" si="63"/>
        <v>3</v>
      </c>
      <c r="CX89" s="15">
        <f t="shared" si="56"/>
        <v>82.6</v>
      </c>
      <c r="CY89" s="52">
        <v>72</v>
      </c>
      <c r="CZ89" s="16">
        <f t="shared" si="48"/>
        <v>1.3706453455168474E-2</v>
      </c>
      <c r="DA89" s="17">
        <f>IF(AND(CV89&lt;&gt;"", CY89&lt;&gt;""), SUM(CY$59:CY89), "")</f>
        <v>950</v>
      </c>
      <c r="DB89" s="16">
        <f t="shared" si="49"/>
        <v>0.18084903864458404</v>
      </c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</row>
    <row r="90" spans="5:180" ht="16" customHeight="1" x14ac:dyDescent="0.2">
      <c r="E90" s="1"/>
      <c r="F90" s="86"/>
      <c r="G90" s="85">
        <v>2</v>
      </c>
      <c r="H90" s="36"/>
      <c r="I90" s="86"/>
      <c r="J90" s="85">
        <v>2</v>
      </c>
      <c r="K90" s="70"/>
      <c r="L90" s="70"/>
      <c r="M90" s="70"/>
      <c r="N90"/>
      <c r="O90" s="38">
        <v>48</v>
      </c>
      <c r="P90" s="83">
        <f t="shared" si="70"/>
        <v>9</v>
      </c>
      <c r="Q90" s="15">
        <f t="shared" si="68"/>
        <v>0.14000000000000001</v>
      </c>
      <c r="R90" s="43">
        <v>779</v>
      </c>
      <c r="S90" s="16">
        <f t="shared" si="64"/>
        <v>2.7147586687576233E-3</v>
      </c>
      <c r="T90" s="17">
        <f>IF(AND(O90&lt;&gt;"", R90&lt;&gt;""), SUM(R$4:R90), "")</f>
        <v>286950</v>
      </c>
      <c r="U90" s="16">
        <f t="shared" si="65"/>
        <v>1</v>
      </c>
      <c r="W90" s="38">
        <v>74</v>
      </c>
      <c r="X90" s="83">
        <f t="shared" si="71"/>
        <v>9</v>
      </c>
      <c r="Y90" s="15">
        <f t="shared" si="69"/>
        <v>3.04</v>
      </c>
      <c r="Z90" s="43">
        <v>2237</v>
      </c>
      <c r="AA90" s="16">
        <f t="shared" si="66"/>
        <v>7.8217056702995467E-3</v>
      </c>
      <c r="AB90" s="17">
        <f>IF(AND(W90&lt;&gt;"", Z90&lt;&gt;""), SUM(Z$4:Z90), "")</f>
        <v>278431</v>
      </c>
      <c r="AC90" s="16">
        <f t="shared" si="67"/>
        <v>0.97353836901527624</v>
      </c>
      <c r="AD90" s="1"/>
      <c r="AE90" s="19">
        <v>18</v>
      </c>
      <c r="AF90" s="20">
        <v>46</v>
      </c>
      <c r="AG90" s="8"/>
      <c r="AH90" s="49">
        <v>40</v>
      </c>
      <c r="AI90" s="83">
        <f t="shared" si="57"/>
        <v>7</v>
      </c>
      <c r="AJ90" s="15">
        <f t="shared" si="50"/>
        <v>16.100000000000001</v>
      </c>
      <c r="AK90" s="52">
        <v>611</v>
      </c>
      <c r="AL90" s="16">
        <f t="shared" si="36"/>
        <v>3.1939362258233142E-2</v>
      </c>
      <c r="AM90" s="17">
        <f>IF(AND(AH90&lt;&gt;"", AK90&lt;&gt;""), SUM(AK$59:AK90), "")</f>
        <v>16356</v>
      </c>
      <c r="AN90" s="16">
        <f t="shared" si="37"/>
        <v>0.85499215891270253</v>
      </c>
      <c r="AO90" s="14"/>
      <c r="AP90" s="19">
        <v>18</v>
      </c>
      <c r="AQ90" s="20">
        <v>47</v>
      </c>
      <c r="AR90" s="8"/>
      <c r="AS90" s="49">
        <v>41</v>
      </c>
      <c r="AT90" s="83">
        <f t="shared" si="58"/>
        <v>6</v>
      </c>
      <c r="AU90" s="15">
        <f t="shared" si="51"/>
        <v>20.56</v>
      </c>
      <c r="AV90" s="52">
        <v>1033</v>
      </c>
      <c r="AW90" s="16">
        <f t="shared" si="38"/>
        <v>7.2308553828923428E-2</v>
      </c>
      <c r="AX90" s="17">
        <f>IF(AND(AS90&lt;&gt;"", AV90&lt;&gt;""), SUM(AV$59:AV90), "")</f>
        <v>11866</v>
      </c>
      <c r="AY90" s="16">
        <f t="shared" si="39"/>
        <v>0.83060338793224131</v>
      </c>
      <c r="AZ90" s="14"/>
      <c r="BA90" s="19">
        <v>18</v>
      </c>
      <c r="BB90" s="20">
        <v>48</v>
      </c>
      <c r="BC90" s="8"/>
      <c r="BD90" s="49">
        <v>42</v>
      </c>
      <c r="BE90" s="83">
        <f t="shared" si="59"/>
        <v>6</v>
      </c>
      <c r="BF90" s="15">
        <f t="shared" si="52"/>
        <v>26.38</v>
      </c>
      <c r="BG90" s="52">
        <v>470</v>
      </c>
      <c r="BH90" s="16">
        <f t="shared" si="40"/>
        <v>3.9989789840891687E-2</v>
      </c>
      <c r="BI90" s="17">
        <f>IF(AND(BD90&lt;&gt;"", BG90&lt;&gt;""), SUM(BG$59:BG90), "")</f>
        <v>8888</v>
      </c>
      <c r="BJ90" s="16">
        <f t="shared" si="41"/>
        <v>0.7562324512890326</v>
      </c>
      <c r="BK90" s="14"/>
      <c r="BL90" s="27">
        <v>18</v>
      </c>
      <c r="BM90" s="20">
        <v>51</v>
      </c>
      <c r="BN90" s="8"/>
      <c r="BO90" s="49">
        <v>50</v>
      </c>
      <c r="BP90" s="83">
        <f t="shared" si="60"/>
        <v>4</v>
      </c>
      <c r="BQ90" s="15">
        <f t="shared" si="53"/>
        <v>64.959999999999994</v>
      </c>
      <c r="BR90" s="52">
        <v>137</v>
      </c>
      <c r="BS90" s="16">
        <f t="shared" si="42"/>
        <v>3.613822210498549E-2</v>
      </c>
      <c r="BT90" s="17">
        <f>IF(AND(BO90&lt;&gt;"", BR90&lt;&gt;""), SUM(BR$59:BR90), "")</f>
        <v>1397</v>
      </c>
      <c r="BU90" s="16">
        <f t="shared" si="43"/>
        <v>0.36850435241361118</v>
      </c>
      <c r="BV90" s="14"/>
      <c r="BW90" s="27">
        <v>18</v>
      </c>
      <c r="BX90" s="20">
        <v>52</v>
      </c>
      <c r="BY90" s="8"/>
      <c r="BZ90" s="49">
        <v>49</v>
      </c>
      <c r="CA90" s="83">
        <f t="shared" si="61"/>
        <v>4</v>
      </c>
      <c r="CB90" s="15">
        <f t="shared" si="54"/>
        <v>62.34</v>
      </c>
      <c r="CC90" s="52">
        <v>192</v>
      </c>
      <c r="CD90" s="16">
        <f t="shared" si="44"/>
        <v>4.5219029674988226E-2</v>
      </c>
      <c r="CE90" s="17">
        <f>IF(AND(BZ90&lt;&gt;"", CC90&lt;&gt;""), SUM(CC$59:CC90), "")</f>
        <v>1695</v>
      </c>
      <c r="CF90" s="16">
        <f t="shared" si="45"/>
        <v>0.39919924634950543</v>
      </c>
      <c r="CG90" s="14"/>
      <c r="CH90" s="27">
        <v>18</v>
      </c>
      <c r="CI90" s="20">
        <v>42</v>
      </c>
      <c r="CJ90" s="8"/>
      <c r="CK90" s="49">
        <v>37</v>
      </c>
      <c r="CL90" s="83">
        <f t="shared" si="62"/>
        <v>7</v>
      </c>
      <c r="CM90" s="15">
        <f t="shared" si="55"/>
        <v>13.79</v>
      </c>
      <c r="CN90" s="52">
        <v>173</v>
      </c>
      <c r="CO90" s="16">
        <f t="shared" si="46"/>
        <v>2.9807029634734666E-2</v>
      </c>
      <c r="CP90" s="17">
        <f>IF(AND(CK90&lt;&gt;"", CN90&lt;&gt;""), SUM(CN$59:CN90), "")</f>
        <v>5090</v>
      </c>
      <c r="CQ90" s="16">
        <f t="shared" si="47"/>
        <v>0.87698139214334947</v>
      </c>
      <c r="CR90" s="14"/>
      <c r="CS90" s="27">
        <v>18</v>
      </c>
      <c r="CT90" s="20">
        <v>54</v>
      </c>
      <c r="CU90" s="8"/>
      <c r="CV90" s="49">
        <v>54</v>
      </c>
      <c r="CW90" s="83">
        <f t="shared" si="63"/>
        <v>3</v>
      </c>
      <c r="CX90" s="15">
        <f t="shared" si="56"/>
        <v>80.819999999999993</v>
      </c>
      <c r="CY90" s="52">
        <v>115</v>
      </c>
      <c r="CZ90" s="16">
        <f t="shared" si="48"/>
        <v>2.1892252046449647E-2</v>
      </c>
      <c r="DA90" s="17">
        <f>IF(AND(CV90&lt;&gt;"", CY90&lt;&gt;""), SUM(CY$59:CY90), "")</f>
        <v>1065</v>
      </c>
      <c r="DB90" s="16">
        <f t="shared" si="49"/>
        <v>0.20274129069103369</v>
      </c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</row>
    <row r="91" spans="5:180" ht="16" customHeight="1" x14ac:dyDescent="0.2">
      <c r="E91" s="1"/>
      <c r="F91" s="86"/>
      <c r="G91" s="85">
        <v>3</v>
      </c>
      <c r="H91" s="36"/>
      <c r="I91" s="86"/>
      <c r="J91" s="85">
        <v>3</v>
      </c>
      <c r="K91" s="70"/>
      <c r="L91" s="70"/>
      <c r="M91" s="70"/>
      <c r="N91"/>
      <c r="O91" s="39"/>
      <c r="P91" s="83" t="str">
        <f t="shared" si="70"/>
        <v/>
      </c>
      <c r="Q91" s="15" t="str">
        <f t="shared" si="68"/>
        <v/>
      </c>
      <c r="R91" s="39"/>
      <c r="S91" s="16" t="str">
        <f t="shared" si="64"/>
        <v/>
      </c>
      <c r="T91" s="17" t="str">
        <f>IF(AND(O91&lt;&gt;"", R91&lt;&gt;""), SUM(R$4:R91), "")</f>
        <v/>
      </c>
      <c r="U91" s="16" t="str">
        <f t="shared" si="65"/>
        <v/>
      </c>
      <c r="W91" s="38">
        <v>73</v>
      </c>
      <c r="X91" s="83">
        <f t="shared" si="71"/>
        <v>9</v>
      </c>
      <c r="Y91" s="15">
        <f t="shared" si="69"/>
        <v>2.3199999999999998</v>
      </c>
      <c r="Z91" s="43">
        <v>1849</v>
      </c>
      <c r="AA91" s="16">
        <f t="shared" si="66"/>
        <v>6.4650575701313637E-3</v>
      </c>
      <c r="AB91" s="17">
        <f>IF(AND(W91&lt;&gt;"", Z91&lt;&gt;""), SUM(Z$4:Z91), "")</f>
        <v>280280</v>
      </c>
      <c r="AC91" s="16">
        <f t="shared" si="67"/>
        <v>0.98000342658540762</v>
      </c>
      <c r="AD91" s="1"/>
      <c r="AE91" s="19">
        <v>17</v>
      </c>
      <c r="AF91" s="20">
        <v>45</v>
      </c>
      <c r="AG91" s="8"/>
      <c r="AH91" s="49">
        <v>39</v>
      </c>
      <c r="AI91" s="83">
        <f t="shared" si="57"/>
        <v>7</v>
      </c>
      <c r="AJ91" s="15">
        <f t="shared" si="50"/>
        <v>13.14</v>
      </c>
      <c r="AK91" s="52">
        <v>521</v>
      </c>
      <c r="AL91" s="16">
        <f t="shared" si="36"/>
        <v>2.7234709879769996E-2</v>
      </c>
      <c r="AM91" s="17">
        <f>IF(AND(AH91&lt;&gt;"", AK91&lt;&gt;""), SUM(AK$59:AK91), "")</f>
        <v>16877</v>
      </c>
      <c r="AN91" s="16">
        <f t="shared" si="37"/>
        <v>0.88222686879247258</v>
      </c>
      <c r="AO91" s="14"/>
      <c r="AP91" s="19">
        <v>17</v>
      </c>
      <c r="AQ91" s="20">
        <v>46</v>
      </c>
      <c r="AR91" s="8"/>
      <c r="AS91" s="49">
        <v>40</v>
      </c>
      <c r="AT91" s="83">
        <f t="shared" si="58"/>
        <v>7</v>
      </c>
      <c r="AU91" s="15">
        <f t="shared" si="51"/>
        <v>15.17</v>
      </c>
      <c r="AV91" s="52">
        <v>505</v>
      </c>
      <c r="AW91" s="16">
        <f t="shared" si="38"/>
        <v>3.5349293014139714E-2</v>
      </c>
      <c r="AX91" s="17">
        <f>IF(AND(AS91&lt;&gt;"", AV91&lt;&gt;""), SUM(AV$59:AV91), "")</f>
        <v>12371</v>
      </c>
      <c r="AY91" s="16">
        <f t="shared" si="39"/>
        <v>0.86595268094638111</v>
      </c>
      <c r="AZ91" s="14"/>
      <c r="BA91" s="19">
        <v>17</v>
      </c>
      <c r="BB91" s="20">
        <v>47</v>
      </c>
      <c r="BC91" s="8"/>
      <c r="BD91" s="49">
        <v>41</v>
      </c>
      <c r="BE91" s="83">
        <f t="shared" si="59"/>
        <v>6</v>
      </c>
      <c r="BF91" s="15">
        <f t="shared" si="52"/>
        <v>22.56</v>
      </c>
      <c r="BG91" s="52">
        <v>427</v>
      </c>
      <c r="BH91" s="16">
        <f t="shared" si="40"/>
        <v>3.633114949374628E-2</v>
      </c>
      <c r="BI91" s="17">
        <f>IF(AND(BD91&lt;&gt;"", BG91&lt;&gt;""), SUM(BG$59:BG91), "")</f>
        <v>9315</v>
      </c>
      <c r="BJ91" s="16">
        <f t="shared" si="41"/>
        <v>0.79256360078277888</v>
      </c>
      <c r="BK91" s="14"/>
      <c r="BL91" s="27">
        <v>17</v>
      </c>
      <c r="BM91" s="20">
        <v>50</v>
      </c>
      <c r="BN91" s="8"/>
      <c r="BO91" s="49">
        <v>49</v>
      </c>
      <c r="BP91" s="83">
        <f t="shared" si="60"/>
        <v>4</v>
      </c>
      <c r="BQ91" s="15">
        <f t="shared" si="53"/>
        <v>61.24</v>
      </c>
      <c r="BR91" s="52">
        <v>145</v>
      </c>
      <c r="BS91" s="16">
        <f t="shared" si="42"/>
        <v>3.8248483249802165E-2</v>
      </c>
      <c r="BT91" s="17">
        <f>IF(AND(BO91&lt;&gt;"", BR91&lt;&gt;""), SUM(BR$59:BR91), "")</f>
        <v>1542</v>
      </c>
      <c r="BU91" s="16">
        <f t="shared" si="43"/>
        <v>0.40675283566341336</v>
      </c>
      <c r="BV91" s="14"/>
      <c r="BW91" s="27">
        <v>17</v>
      </c>
      <c r="BX91" s="20">
        <v>51</v>
      </c>
      <c r="BY91" s="8"/>
      <c r="BZ91" s="49">
        <v>48</v>
      </c>
      <c r="CA91" s="83">
        <f t="shared" si="61"/>
        <v>4</v>
      </c>
      <c r="CB91" s="15">
        <f t="shared" si="54"/>
        <v>58.1</v>
      </c>
      <c r="CC91" s="52">
        <v>168</v>
      </c>
      <c r="CD91" s="16">
        <f t="shared" si="44"/>
        <v>3.9566650965614694E-2</v>
      </c>
      <c r="CE91" s="17">
        <f>IF(AND(BZ91&lt;&gt;"", CC91&lt;&gt;""), SUM(CC$59:CC91), "")</f>
        <v>1863</v>
      </c>
      <c r="CF91" s="16">
        <f t="shared" si="45"/>
        <v>0.43876589731512011</v>
      </c>
      <c r="CG91" s="14"/>
      <c r="CH91" s="27">
        <v>17</v>
      </c>
      <c r="CI91" s="20">
        <v>41</v>
      </c>
      <c r="CJ91" s="8"/>
      <c r="CK91" s="49">
        <v>36</v>
      </c>
      <c r="CL91" s="83">
        <f t="shared" si="62"/>
        <v>7</v>
      </c>
      <c r="CM91" s="15">
        <f t="shared" si="55"/>
        <v>9.3000000000000007</v>
      </c>
      <c r="CN91" s="52">
        <v>348</v>
      </c>
      <c r="CO91" s="16">
        <f t="shared" si="46"/>
        <v>5.9958649207443142E-2</v>
      </c>
      <c r="CP91" s="17">
        <f>IF(AND(CK91&lt;&gt;"", CN91&lt;&gt;""), SUM(CN$59:CN91), "")</f>
        <v>5438</v>
      </c>
      <c r="CQ91" s="16">
        <f t="shared" si="47"/>
        <v>0.93694004135079256</v>
      </c>
      <c r="CR91" s="14"/>
      <c r="CS91" s="27">
        <v>17</v>
      </c>
      <c r="CT91" s="20">
        <v>53</v>
      </c>
      <c r="CU91" s="8"/>
      <c r="CV91" s="49">
        <v>53</v>
      </c>
      <c r="CW91" s="83">
        <f t="shared" si="63"/>
        <v>3</v>
      </c>
      <c r="CX91" s="15">
        <f t="shared" si="56"/>
        <v>78.510000000000005</v>
      </c>
      <c r="CY91" s="52">
        <v>128</v>
      </c>
      <c r="CZ91" s="16">
        <f t="shared" si="48"/>
        <v>2.4367028364743956E-2</v>
      </c>
      <c r="DA91" s="17">
        <f>IF(AND(CV91&lt;&gt;"", CY91&lt;&gt;""), SUM(CY$59:CY91), "")</f>
        <v>1193</v>
      </c>
      <c r="DB91" s="16">
        <f t="shared" si="49"/>
        <v>0.22710831905577766</v>
      </c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</row>
    <row r="92" spans="5:180" ht="16" customHeight="1" x14ac:dyDescent="0.2">
      <c r="E92" s="1"/>
      <c r="F92" s="86"/>
      <c r="G92" s="85">
        <v>4</v>
      </c>
      <c r="H92" s="36"/>
      <c r="I92" s="86"/>
      <c r="J92" s="85">
        <v>4</v>
      </c>
      <c r="K92" s="70"/>
      <c r="L92" s="70"/>
      <c r="M92" s="70"/>
      <c r="N92"/>
      <c r="O92" s="39"/>
      <c r="P92" s="83" t="str">
        <f t="shared" si="70"/>
        <v/>
      </c>
      <c r="Q92" s="15" t="str">
        <f t="shared" si="68"/>
        <v/>
      </c>
      <c r="R92" s="39"/>
      <c r="S92" s="16" t="str">
        <f t="shared" si="64"/>
        <v/>
      </c>
      <c r="T92" s="17" t="str">
        <f>IF(AND(O92&lt;&gt;"", R92&lt;&gt;""), SUM(R$4:R92), "")</f>
        <v/>
      </c>
      <c r="U92" s="16" t="str">
        <f t="shared" si="65"/>
        <v/>
      </c>
      <c r="W92" s="38">
        <v>72</v>
      </c>
      <c r="X92" s="83">
        <f t="shared" si="71"/>
        <v>9</v>
      </c>
      <c r="Y92" s="15">
        <f t="shared" si="69"/>
        <v>1.73</v>
      </c>
      <c r="Z92" s="43">
        <v>1553</v>
      </c>
      <c r="AA92" s="16">
        <f t="shared" si="66"/>
        <v>5.4300889163948129E-3</v>
      </c>
      <c r="AB92" s="17">
        <f>IF(AND(W92&lt;&gt;"", Z92&lt;&gt;""), SUM(Z$4:Z92), "")</f>
        <v>281833</v>
      </c>
      <c r="AC92" s="16">
        <f t="shared" si="67"/>
        <v>0.98543351550180247</v>
      </c>
      <c r="AD92" s="1"/>
      <c r="AE92" s="19">
        <v>16</v>
      </c>
      <c r="AF92" s="20">
        <v>44</v>
      </c>
      <c r="AG92" s="8"/>
      <c r="AH92" s="49">
        <v>38</v>
      </c>
      <c r="AI92" s="83">
        <f t="shared" si="57"/>
        <v>7</v>
      </c>
      <c r="AJ92" s="15">
        <f t="shared" si="50"/>
        <v>10.43</v>
      </c>
      <c r="AK92" s="52">
        <v>514</v>
      </c>
      <c r="AL92" s="16">
        <f t="shared" si="36"/>
        <v>2.6868792472556195E-2</v>
      </c>
      <c r="AM92" s="17">
        <f>IF(AND(AH92&lt;&gt;"", AK92&lt;&gt;""), SUM(AK$59:AK92), "")</f>
        <v>17391</v>
      </c>
      <c r="AN92" s="16">
        <f t="shared" si="37"/>
        <v>0.90909566126502872</v>
      </c>
      <c r="AO92" s="14"/>
      <c r="AP92" s="19">
        <v>16</v>
      </c>
      <c r="AQ92" s="20">
        <v>45</v>
      </c>
      <c r="AR92" s="8"/>
      <c r="AS92" s="49">
        <v>39</v>
      </c>
      <c r="AT92" s="83">
        <f t="shared" si="58"/>
        <v>7</v>
      </c>
      <c r="AU92" s="15">
        <f t="shared" si="51"/>
        <v>12.17</v>
      </c>
      <c r="AV92" s="52">
        <v>353</v>
      </c>
      <c r="AW92" s="16">
        <f t="shared" si="38"/>
        <v>2.4709505809883802E-2</v>
      </c>
      <c r="AX92" s="17">
        <f>IF(AND(AS92&lt;&gt;"", AV92&lt;&gt;""), SUM(AV$59:AV92), "")</f>
        <v>12724</v>
      </c>
      <c r="AY92" s="16">
        <f t="shared" si="39"/>
        <v>0.89066218675626485</v>
      </c>
      <c r="AZ92" s="14"/>
      <c r="BA92" s="19">
        <v>16</v>
      </c>
      <c r="BB92" s="20">
        <v>46</v>
      </c>
      <c r="BC92" s="8"/>
      <c r="BD92" s="49">
        <v>40</v>
      </c>
      <c r="BE92" s="83">
        <f t="shared" si="59"/>
        <v>7</v>
      </c>
      <c r="BF92" s="15">
        <f t="shared" si="52"/>
        <v>14.07</v>
      </c>
      <c r="BG92" s="52">
        <v>1569</v>
      </c>
      <c r="BH92" s="16">
        <f t="shared" si="40"/>
        <v>0.13349783034118948</v>
      </c>
      <c r="BI92" s="17">
        <f>IF(AND(BD92&lt;&gt;"", BG92&lt;&gt;""), SUM(BG$59:BG92), "")</f>
        <v>10884</v>
      </c>
      <c r="BJ92" s="16">
        <f t="shared" si="41"/>
        <v>0.92606143112396833</v>
      </c>
      <c r="BK92" s="14"/>
      <c r="BL92" s="27">
        <v>16</v>
      </c>
      <c r="BM92" s="20">
        <v>49</v>
      </c>
      <c r="BN92" s="8"/>
      <c r="BO92" s="49">
        <v>48</v>
      </c>
      <c r="BP92" s="83">
        <f t="shared" si="60"/>
        <v>5</v>
      </c>
      <c r="BQ92" s="15">
        <f t="shared" si="53"/>
        <v>57.14</v>
      </c>
      <c r="BR92" s="52">
        <v>166</v>
      </c>
      <c r="BS92" s="16">
        <f t="shared" si="42"/>
        <v>4.3787918754945927E-2</v>
      </c>
      <c r="BT92" s="17">
        <f>IF(AND(BO92&lt;&gt;"", BR92&lt;&gt;""), SUM(BR$59:BR92), "")</f>
        <v>1708</v>
      </c>
      <c r="BU92" s="16">
        <f t="shared" si="43"/>
        <v>0.45054075441835928</v>
      </c>
      <c r="BV92" s="14"/>
      <c r="BW92" s="27">
        <v>16</v>
      </c>
      <c r="BX92" s="20">
        <v>50</v>
      </c>
      <c r="BY92" s="8"/>
      <c r="BZ92" s="49">
        <v>47</v>
      </c>
      <c r="CA92" s="83">
        <f t="shared" si="61"/>
        <v>5</v>
      </c>
      <c r="CB92" s="15">
        <f t="shared" si="54"/>
        <v>53.41</v>
      </c>
      <c r="CC92" s="52">
        <v>230</v>
      </c>
      <c r="CD92" s="16">
        <f t="shared" si="44"/>
        <v>5.4168629298162976E-2</v>
      </c>
      <c r="CE92" s="17">
        <f>IF(AND(BZ92&lt;&gt;"", CC92&lt;&gt;""), SUM(CC$59:CC92), "")</f>
        <v>2093</v>
      </c>
      <c r="CF92" s="16">
        <f t="shared" si="45"/>
        <v>0.49293452661328307</v>
      </c>
      <c r="CG92" s="14"/>
      <c r="CH92" s="27">
        <v>16</v>
      </c>
      <c r="CI92" s="20">
        <v>40</v>
      </c>
      <c r="CJ92" s="8"/>
      <c r="CK92" s="48">
        <v>35</v>
      </c>
      <c r="CL92" s="83">
        <f t="shared" si="62"/>
        <v>8</v>
      </c>
      <c r="CM92" s="15">
        <f t="shared" si="55"/>
        <v>5.17</v>
      </c>
      <c r="CN92" s="52">
        <v>132</v>
      </c>
      <c r="CO92" s="16">
        <f t="shared" si="46"/>
        <v>2.2742935906271536E-2</v>
      </c>
      <c r="CP92" s="17">
        <f>IF(AND(CK92&lt;&gt;"", CN92&lt;&gt;""), SUM(CN$59:CN92), "")</f>
        <v>5570</v>
      </c>
      <c r="CQ92" s="16">
        <f t="shared" si="47"/>
        <v>0.95968297725706408</v>
      </c>
      <c r="CR92" s="14"/>
      <c r="CS92" s="27">
        <v>16</v>
      </c>
      <c r="CT92" s="20">
        <v>52</v>
      </c>
      <c r="CU92" s="8"/>
      <c r="CV92" s="49">
        <v>52</v>
      </c>
      <c r="CW92" s="83">
        <f t="shared" si="63"/>
        <v>3</v>
      </c>
      <c r="CX92" s="15">
        <f t="shared" si="56"/>
        <v>75.87</v>
      </c>
      <c r="CY92" s="52">
        <v>149</v>
      </c>
      <c r="CZ92" s="16">
        <f t="shared" si="48"/>
        <v>2.836474395583476E-2</v>
      </c>
      <c r="DA92" s="17">
        <f>IF(AND(CV92&lt;&gt;"", CY92&lt;&gt;""), SUM(CY$59:CY92), "")</f>
        <v>1342</v>
      </c>
      <c r="DB92" s="16">
        <f t="shared" si="49"/>
        <v>0.25547306301161243</v>
      </c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</row>
    <row r="93" spans="5:180" ht="16" customHeight="1" x14ac:dyDescent="0.2">
      <c r="E93" s="1"/>
      <c r="F93" s="86"/>
      <c r="G93" s="85">
        <v>5</v>
      </c>
      <c r="H93" s="36"/>
      <c r="I93" s="86"/>
      <c r="J93" s="85">
        <v>5</v>
      </c>
      <c r="K93" s="70"/>
      <c r="L93" s="70"/>
      <c r="M93" s="70"/>
      <c r="N93"/>
      <c r="O93" s="39"/>
      <c r="P93" s="83" t="str">
        <f t="shared" si="70"/>
        <v/>
      </c>
      <c r="Q93" s="15" t="str">
        <f t="shared" si="68"/>
        <v/>
      </c>
      <c r="R93" s="39"/>
      <c r="S93" s="16" t="str">
        <f t="shared" si="64"/>
        <v/>
      </c>
      <c r="T93" s="17" t="str">
        <f>IF(AND(O93&lt;&gt;"", R93&lt;&gt;""), SUM(R$4:R93), "")</f>
        <v/>
      </c>
      <c r="U93" s="16" t="str">
        <f t="shared" si="65"/>
        <v/>
      </c>
      <c r="W93" s="46">
        <v>71</v>
      </c>
      <c r="X93" s="83">
        <f t="shared" si="71"/>
        <v>9</v>
      </c>
      <c r="Y93" s="15">
        <f t="shared" si="69"/>
        <v>1.28</v>
      </c>
      <c r="Z93" s="47">
        <v>1006</v>
      </c>
      <c r="AA93" s="16">
        <f t="shared" si="66"/>
        <v>3.5174948164154421E-3</v>
      </c>
      <c r="AB93" s="17">
        <f>IF(AND(W93&lt;&gt;"", Z93&lt;&gt;""), SUM(Z$4:Z93), "")</f>
        <v>282839</v>
      </c>
      <c r="AC93" s="16">
        <f t="shared" si="67"/>
        <v>0.98895101031821786</v>
      </c>
      <c r="AD93" s="1"/>
      <c r="AE93" s="19">
        <v>15</v>
      </c>
      <c r="AF93" s="20">
        <v>43</v>
      </c>
      <c r="AG93" s="8"/>
      <c r="AH93" s="49">
        <v>37</v>
      </c>
      <c r="AI93" s="83">
        <f t="shared" si="57"/>
        <v>8</v>
      </c>
      <c r="AJ93" s="15">
        <f t="shared" si="50"/>
        <v>6.33</v>
      </c>
      <c r="AK93" s="52">
        <v>1058</v>
      </c>
      <c r="AL93" s="16">
        <f t="shared" si="36"/>
        <v>5.5305802404600105E-2</v>
      </c>
      <c r="AM93" s="17">
        <f>IF(AND(AH93&lt;&gt;"", AK93&lt;&gt;""), SUM(AK$59:AK93), "")</f>
        <v>18449</v>
      </c>
      <c r="AN93" s="16">
        <f t="shared" si="37"/>
        <v>0.96440146366962887</v>
      </c>
      <c r="AO93" s="14"/>
      <c r="AP93" s="19">
        <v>15</v>
      </c>
      <c r="AQ93" s="20">
        <v>44</v>
      </c>
      <c r="AR93" s="8"/>
      <c r="AS93" s="49">
        <v>38</v>
      </c>
      <c r="AT93" s="83">
        <f t="shared" si="58"/>
        <v>8</v>
      </c>
      <c r="AU93" s="15">
        <f t="shared" si="51"/>
        <v>7.77</v>
      </c>
      <c r="AV93" s="52">
        <v>904</v>
      </c>
      <c r="AW93" s="16">
        <f t="shared" si="38"/>
        <v>6.3278734425311498E-2</v>
      </c>
      <c r="AX93" s="17">
        <f>IF(AND(AS93&lt;&gt;"", AV93&lt;&gt;""), SUM(AV$59:AV93), "")</f>
        <v>13628</v>
      </c>
      <c r="AY93" s="16">
        <f t="shared" si="39"/>
        <v>0.95394092118157636</v>
      </c>
      <c r="AZ93" s="14"/>
      <c r="BA93" s="19">
        <v>15</v>
      </c>
      <c r="BB93" s="20">
        <v>45</v>
      </c>
      <c r="BC93" s="8"/>
      <c r="BD93" s="49">
        <v>39</v>
      </c>
      <c r="BE93" s="83">
        <f t="shared" si="59"/>
        <v>8</v>
      </c>
      <c r="BF93" s="15">
        <f t="shared" si="52"/>
        <v>6.33</v>
      </c>
      <c r="BG93" s="52">
        <v>250</v>
      </c>
      <c r="BH93" s="16">
        <f t="shared" si="40"/>
        <v>2.127116480898494E-2</v>
      </c>
      <c r="BI93" s="17">
        <f>IF(AND(BD93&lt;&gt;"", BG93&lt;&gt;""), SUM(BG$59:BG93), "")</f>
        <v>11134</v>
      </c>
      <c r="BJ93" s="16">
        <f t="shared" si="41"/>
        <v>0.94733259593295327</v>
      </c>
      <c r="BK93" s="14"/>
      <c r="BL93" s="27">
        <v>15</v>
      </c>
      <c r="BM93" s="20">
        <v>48</v>
      </c>
      <c r="BN93" s="8"/>
      <c r="BO93" s="49">
        <v>47</v>
      </c>
      <c r="BP93" s="83">
        <f t="shared" si="60"/>
        <v>5</v>
      </c>
      <c r="BQ93" s="15">
        <f t="shared" si="53"/>
        <v>52.49</v>
      </c>
      <c r="BR93" s="52">
        <v>186</v>
      </c>
      <c r="BS93" s="16">
        <f t="shared" si="42"/>
        <v>4.90635716169876E-2</v>
      </c>
      <c r="BT93" s="17">
        <f>IF(AND(BO93&lt;&gt;"", BR93&lt;&gt;""), SUM(BR$59:BR93), "")</f>
        <v>1894</v>
      </c>
      <c r="BU93" s="16">
        <f t="shared" si="43"/>
        <v>0.49960432603534688</v>
      </c>
      <c r="BV93" s="14"/>
      <c r="BW93" s="27">
        <v>15</v>
      </c>
      <c r="BX93" s="20">
        <v>49</v>
      </c>
      <c r="BY93" s="8"/>
      <c r="BZ93" s="49">
        <v>46</v>
      </c>
      <c r="CA93" s="83">
        <f t="shared" si="61"/>
        <v>5</v>
      </c>
      <c r="CB93" s="15">
        <f t="shared" si="54"/>
        <v>44.35</v>
      </c>
      <c r="CC93" s="52">
        <v>540</v>
      </c>
      <c r="CD93" s="16">
        <f t="shared" si="44"/>
        <v>0.12717852096090437</v>
      </c>
      <c r="CE93" s="17">
        <f>IF(AND(BZ93&lt;&gt;"", CC93&lt;&gt;""), SUM(CC$59:CC93), "")</f>
        <v>2633</v>
      </c>
      <c r="CF93" s="16">
        <f t="shared" si="45"/>
        <v>0.6201130475741875</v>
      </c>
      <c r="CG93" s="14"/>
      <c r="CH93" s="27">
        <v>15</v>
      </c>
      <c r="CI93" s="20">
        <v>40</v>
      </c>
      <c r="CJ93" s="8"/>
      <c r="CK93" s="49">
        <v>34</v>
      </c>
      <c r="CL93" s="83">
        <f t="shared" si="62"/>
        <v>8</v>
      </c>
      <c r="CM93" s="15">
        <f t="shared" si="55"/>
        <v>3.46</v>
      </c>
      <c r="CN93" s="52">
        <v>66</v>
      </c>
      <c r="CO93" s="16">
        <f t="shared" si="46"/>
        <v>1.1371467953135768E-2</v>
      </c>
      <c r="CP93" s="17">
        <f>IF(AND(CK93&lt;&gt;"", CN93&lt;&gt;""), SUM(CN$59:CN93), "")</f>
        <v>5636</v>
      </c>
      <c r="CQ93" s="16">
        <f t="shared" si="47"/>
        <v>0.9710544452101999</v>
      </c>
      <c r="CR93" s="14"/>
      <c r="CS93" s="27">
        <v>15</v>
      </c>
      <c r="CT93" s="20">
        <v>51</v>
      </c>
      <c r="CU93" s="8"/>
      <c r="CV93" s="49">
        <v>51</v>
      </c>
      <c r="CW93" s="83">
        <f t="shared" si="63"/>
        <v>4</v>
      </c>
      <c r="CX93" s="15">
        <f t="shared" si="56"/>
        <v>72.760000000000005</v>
      </c>
      <c r="CY93" s="52">
        <v>178</v>
      </c>
      <c r="CZ93" s="16">
        <f t="shared" si="48"/>
        <v>3.3885398819722065E-2</v>
      </c>
      <c r="DA93" s="17">
        <f>IF(AND(CV93&lt;&gt;"", CY93&lt;&gt;""), SUM(CY$59:CY93), "")</f>
        <v>1520</v>
      </c>
      <c r="DB93" s="16">
        <f t="shared" si="49"/>
        <v>0.28935846183133446</v>
      </c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</row>
    <row r="94" spans="5:180" ht="16" customHeight="1" x14ac:dyDescent="0.2">
      <c r="E94" s="1"/>
      <c r="F94" s="86"/>
      <c r="G94" s="85">
        <v>6</v>
      </c>
      <c r="H94" s="36"/>
      <c r="I94" s="86"/>
      <c r="J94" s="85">
        <v>6</v>
      </c>
      <c r="K94" s="70"/>
      <c r="L94" s="70"/>
      <c r="M94" s="70"/>
      <c r="N94"/>
      <c r="O94" s="39"/>
      <c r="P94" s="83" t="str">
        <f t="shared" si="70"/>
        <v/>
      </c>
      <c r="Q94" s="15" t="str">
        <f t="shared" si="68"/>
        <v/>
      </c>
      <c r="R94" s="39"/>
      <c r="S94" s="16" t="str">
        <f t="shared" si="64"/>
        <v/>
      </c>
      <c r="T94" s="17" t="str">
        <f>IF(AND(O94&lt;&gt;"", R94&lt;&gt;""), SUM(R$4:R94), "")</f>
        <v/>
      </c>
      <c r="U94" s="16" t="str">
        <f t="shared" si="65"/>
        <v/>
      </c>
      <c r="W94" s="46">
        <v>70</v>
      </c>
      <c r="X94" s="83">
        <f t="shared" si="71"/>
        <v>9</v>
      </c>
      <c r="Y94" s="15">
        <f t="shared" si="69"/>
        <v>0.97</v>
      </c>
      <c r="Z94" s="47">
        <v>750</v>
      </c>
      <c r="AA94" s="16">
        <f t="shared" si="66"/>
        <v>2.6223867915622081E-3</v>
      </c>
      <c r="AB94" s="17">
        <f>IF(AND(W94&lt;&gt;"", Z94&lt;&gt;""), SUM(Z$4:Z94), "")</f>
        <v>283589</v>
      </c>
      <c r="AC94" s="16">
        <f t="shared" si="67"/>
        <v>0.9915733971097801</v>
      </c>
      <c r="AD94" s="1"/>
      <c r="AE94" s="19">
        <v>14</v>
      </c>
      <c r="AF94" s="20">
        <v>42</v>
      </c>
      <c r="AG94" s="8"/>
      <c r="AH94" s="49">
        <v>36</v>
      </c>
      <c r="AI94" s="83">
        <f t="shared" si="57"/>
        <v>9</v>
      </c>
      <c r="AJ94" s="15">
        <f t="shared" si="50"/>
        <v>3.13</v>
      </c>
      <c r="AK94" s="52">
        <v>166</v>
      </c>
      <c r="AL94" s="16">
        <f t="shared" si="36"/>
        <v>8.6774699424986938E-3</v>
      </c>
      <c r="AM94" s="17">
        <f>IF(AND(AH94&lt;&gt;"", AK94&lt;&gt;""), SUM(AK$59:AK94), "")</f>
        <v>18615</v>
      </c>
      <c r="AN94" s="16">
        <f t="shared" si="37"/>
        <v>0.97307893361212749</v>
      </c>
      <c r="AO94" s="14"/>
      <c r="AP94" s="19">
        <v>14</v>
      </c>
      <c r="AQ94" s="20">
        <v>43</v>
      </c>
      <c r="AR94" s="8"/>
      <c r="AS94" s="49">
        <v>37</v>
      </c>
      <c r="AT94" s="83">
        <f t="shared" si="58"/>
        <v>8</v>
      </c>
      <c r="AU94" s="15">
        <f t="shared" si="51"/>
        <v>3.99</v>
      </c>
      <c r="AV94" s="52">
        <v>176</v>
      </c>
      <c r="AW94" s="16">
        <f t="shared" si="38"/>
        <v>1.2319753604927902E-2</v>
      </c>
      <c r="AX94" s="17">
        <f>IF(AND(AS94&lt;&gt;"", AV94&lt;&gt;""), SUM(AV$59:AV94), "")</f>
        <v>13804</v>
      </c>
      <c r="AY94" s="16">
        <f t="shared" si="39"/>
        <v>0.96626067478650424</v>
      </c>
      <c r="AZ94" s="14"/>
      <c r="BA94" s="19">
        <v>14</v>
      </c>
      <c r="BB94" s="20">
        <v>45</v>
      </c>
      <c r="BC94" s="8"/>
      <c r="BD94" s="49">
        <v>38</v>
      </c>
      <c r="BE94" s="83">
        <f t="shared" si="59"/>
        <v>8</v>
      </c>
      <c r="BF94" s="15">
        <f t="shared" si="52"/>
        <v>4.5</v>
      </c>
      <c r="BG94" s="52">
        <v>181</v>
      </c>
      <c r="BH94" s="16">
        <f t="shared" si="40"/>
        <v>1.5400323321705097E-2</v>
      </c>
      <c r="BI94" s="17">
        <f>IF(AND(BD94&lt;&gt;"", BG94&lt;&gt;""), SUM(BG$59:BG94), "")</f>
        <v>11315</v>
      </c>
      <c r="BJ94" s="16">
        <f t="shared" si="41"/>
        <v>0.96273291925465843</v>
      </c>
      <c r="BK94" s="14"/>
      <c r="BL94" s="27">
        <v>14</v>
      </c>
      <c r="BM94" s="20">
        <v>47</v>
      </c>
      <c r="BN94" s="8"/>
      <c r="BO94" s="49">
        <v>46</v>
      </c>
      <c r="BP94" s="83">
        <f t="shared" si="60"/>
        <v>5</v>
      </c>
      <c r="BQ94" s="15">
        <f t="shared" si="53"/>
        <v>46.7</v>
      </c>
      <c r="BR94" s="52">
        <v>253</v>
      </c>
      <c r="BS94" s="16">
        <f t="shared" si="42"/>
        <v>6.6737008704827225E-2</v>
      </c>
      <c r="BT94" s="17">
        <f>IF(AND(BO94&lt;&gt;"", BR94&lt;&gt;""), SUM(BR$59:BR94), "")</f>
        <v>2147</v>
      </c>
      <c r="BU94" s="16">
        <f t="shared" si="43"/>
        <v>0.56634133474017412</v>
      </c>
      <c r="BV94" s="14"/>
      <c r="BW94" s="27">
        <v>14</v>
      </c>
      <c r="BX94" s="20">
        <v>48</v>
      </c>
      <c r="BY94" s="8"/>
      <c r="BZ94" s="49">
        <v>45</v>
      </c>
      <c r="CA94" s="83">
        <f t="shared" si="61"/>
        <v>6</v>
      </c>
      <c r="CB94" s="15">
        <f t="shared" si="54"/>
        <v>35.700000000000003</v>
      </c>
      <c r="CC94" s="52">
        <v>194</v>
      </c>
      <c r="CD94" s="16">
        <f t="shared" si="44"/>
        <v>4.5690061234102686E-2</v>
      </c>
      <c r="CE94" s="17">
        <f>IF(AND(BZ94&lt;&gt;"", CC94&lt;&gt;""), SUM(CC$59:CC94), "")</f>
        <v>2827</v>
      </c>
      <c r="CF94" s="16">
        <f t="shared" si="45"/>
        <v>0.66580310880829019</v>
      </c>
      <c r="CG94" s="14"/>
      <c r="CH94" s="27">
        <v>14</v>
      </c>
      <c r="CI94" s="20">
        <v>39</v>
      </c>
      <c r="CJ94" s="8"/>
      <c r="CK94" s="49">
        <v>33</v>
      </c>
      <c r="CL94" s="83">
        <f t="shared" si="62"/>
        <v>9</v>
      </c>
      <c r="CM94" s="15">
        <f t="shared" si="55"/>
        <v>2.33</v>
      </c>
      <c r="CN94" s="52">
        <v>66</v>
      </c>
      <c r="CO94" s="16">
        <f t="shared" si="46"/>
        <v>1.1371467953135768E-2</v>
      </c>
      <c r="CP94" s="17">
        <f>IF(AND(CK94&lt;&gt;"", CN94&lt;&gt;""), SUM(CN$59:CN94), "")</f>
        <v>5702</v>
      </c>
      <c r="CQ94" s="16">
        <f t="shared" si="47"/>
        <v>0.98242591316333561</v>
      </c>
      <c r="CR94" s="14"/>
      <c r="CS94" s="27">
        <v>14</v>
      </c>
      <c r="CT94" s="20">
        <v>50</v>
      </c>
      <c r="CU94" s="8"/>
      <c r="CV94" s="49">
        <v>50</v>
      </c>
      <c r="CW94" s="83">
        <f t="shared" si="63"/>
        <v>4</v>
      </c>
      <c r="CX94" s="15">
        <f t="shared" si="56"/>
        <v>69.12</v>
      </c>
      <c r="CY94" s="52">
        <v>204</v>
      </c>
      <c r="CZ94" s="16">
        <f t="shared" si="48"/>
        <v>3.8834951456310676E-2</v>
      </c>
      <c r="DA94" s="17">
        <f>IF(AND(CV94&lt;&gt;"", CY94&lt;&gt;""), SUM(CY$59:CY94), "")</f>
        <v>1724</v>
      </c>
      <c r="DB94" s="16">
        <f t="shared" si="49"/>
        <v>0.32819341328764517</v>
      </c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</row>
    <row r="95" spans="5:180" ht="16" customHeight="1" x14ac:dyDescent="0.2">
      <c r="E95" s="1"/>
      <c r="F95" s="86"/>
      <c r="G95" s="85">
        <v>7</v>
      </c>
      <c r="H95" s="36"/>
      <c r="I95" s="86"/>
      <c r="J95" s="85">
        <v>7</v>
      </c>
      <c r="K95" s="70"/>
      <c r="L95" s="70"/>
      <c r="M95" s="70"/>
      <c r="N95"/>
      <c r="O95" s="39"/>
      <c r="P95" s="83" t="str">
        <f t="shared" si="70"/>
        <v/>
      </c>
      <c r="Q95" s="15" t="str">
        <f t="shared" si="68"/>
        <v/>
      </c>
      <c r="R95" s="39"/>
      <c r="S95" s="16" t="str">
        <f t="shared" si="64"/>
        <v/>
      </c>
      <c r="T95" s="17" t="str">
        <f>IF(AND(O95&lt;&gt;"", R95&lt;&gt;""), SUM(R$4:R95), "")</f>
        <v/>
      </c>
      <c r="U95" s="16" t="str">
        <f t="shared" si="65"/>
        <v/>
      </c>
      <c r="W95" s="46">
        <v>69</v>
      </c>
      <c r="X95" s="83">
        <f t="shared" si="71"/>
        <v>9</v>
      </c>
      <c r="Y95" s="15">
        <f t="shared" si="69"/>
        <v>0.75</v>
      </c>
      <c r="Z95" s="47">
        <v>536</v>
      </c>
      <c r="AA95" s="16">
        <f t="shared" si="66"/>
        <v>1.8741324270364582E-3</v>
      </c>
      <c r="AB95" s="17">
        <f>IF(AND(W95&lt;&gt;"", Z95&lt;&gt;""), SUM(Z$4:Z95), "")</f>
        <v>284125</v>
      </c>
      <c r="AC95" s="16">
        <f t="shared" si="67"/>
        <v>0.99344752953681659</v>
      </c>
      <c r="AD95" s="1"/>
      <c r="AE95" s="19">
        <v>13</v>
      </c>
      <c r="AF95" s="20">
        <v>42</v>
      </c>
      <c r="AG95" s="8"/>
      <c r="AH95" s="49">
        <v>35</v>
      </c>
      <c r="AI95" s="83">
        <f t="shared" si="57"/>
        <v>9</v>
      </c>
      <c r="AJ95" s="15">
        <f t="shared" si="50"/>
        <v>2.14</v>
      </c>
      <c r="AK95" s="52">
        <v>212</v>
      </c>
      <c r="AL95" s="16">
        <f t="shared" si="36"/>
        <v>1.1082070047046524E-2</v>
      </c>
      <c r="AM95" s="17">
        <f>IF(AND(AH95&lt;&gt;"", AK95&lt;&gt;""), SUM(AK$59:AK95), "")</f>
        <v>18827</v>
      </c>
      <c r="AN95" s="16">
        <f t="shared" si="37"/>
        <v>0.98416100365917403</v>
      </c>
      <c r="AO95" s="14"/>
      <c r="AP95" s="19">
        <v>13</v>
      </c>
      <c r="AQ95" s="20">
        <v>43</v>
      </c>
      <c r="AR95" s="8"/>
      <c r="AS95" s="49">
        <v>36</v>
      </c>
      <c r="AT95" s="83">
        <f t="shared" si="58"/>
        <v>9</v>
      </c>
      <c r="AU95" s="15">
        <f t="shared" si="51"/>
        <v>2.74</v>
      </c>
      <c r="AV95" s="52">
        <v>182</v>
      </c>
      <c r="AW95" s="16">
        <f t="shared" si="38"/>
        <v>1.2739745205095899E-2</v>
      </c>
      <c r="AX95" s="17">
        <f>IF(AND(AS95&lt;&gt;"", AV95&lt;&gt;""), SUM(AV$59:AV95), "")</f>
        <v>13986</v>
      </c>
      <c r="AY95" s="16">
        <f t="shared" si="39"/>
        <v>0.97900041999160015</v>
      </c>
      <c r="AZ95" s="14"/>
      <c r="BA95" s="19">
        <v>13</v>
      </c>
      <c r="BB95" s="20">
        <v>44</v>
      </c>
      <c r="BC95" s="8"/>
      <c r="BD95" s="49">
        <v>37</v>
      </c>
      <c r="BE95" s="83">
        <f t="shared" si="59"/>
        <v>9</v>
      </c>
      <c r="BF95" s="15">
        <f t="shared" si="52"/>
        <v>2.98</v>
      </c>
      <c r="BG95" s="52">
        <v>176</v>
      </c>
      <c r="BH95" s="16">
        <f t="shared" si="40"/>
        <v>1.4974900025525397E-2</v>
      </c>
      <c r="BI95" s="17">
        <f>IF(AND(BD95&lt;&gt;"", BG95&lt;&gt;""), SUM(BG$59:BG95), "")</f>
        <v>11491</v>
      </c>
      <c r="BJ95" s="16">
        <f t="shared" si="41"/>
        <v>0.9777078192801838</v>
      </c>
      <c r="BK95" s="14"/>
      <c r="BL95" s="27">
        <v>13</v>
      </c>
      <c r="BM95" s="20">
        <v>46</v>
      </c>
      <c r="BN95" s="8"/>
      <c r="BO95" s="49">
        <v>45</v>
      </c>
      <c r="BP95" s="83">
        <f t="shared" si="60"/>
        <v>5</v>
      </c>
      <c r="BQ95" s="15">
        <f t="shared" si="53"/>
        <v>41.1</v>
      </c>
      <c r="BR95" s="52">
        <v>172</v>
      </c>
      <c r="BS95" s="16">
        <f t="shared" si="42"/>
        <v>4.537061461355843E-2</v>
      </c>
      <c r="BT95" s="17">
        <f>IF(AND(BO95&lt;&gt;"", BR95&lt;&gt;""), SUM(BR$59:BR95), "")</f>
        <v>2319</v>
      </c>
      <c r="BU95" s="16">
        <f t="shared" si="43"/>
        <v>0.61171194935373252</v>
      </c>
      <c r="BV95" s="14"/>
      <c r="BW95" s="27">
        <v>13</v>
      </c>
      <c r="BX95" s="20">
        <v>47</v>
      </c>
      <c r="BY95" s="8"/>
      <c r="BZ95" s="49">
        <v>44</v>
      </c>
      <c r="CA95" s="83">
        <f t="shared" si="61"/>
        <v>6</v>
      </c>
      <c r="CB95" s="15">
        <f t="shared" si="54"/>
        <v>28.5</v>
      </c>
      <c r="CC95" s="52">
        <v>418</v>
      </c>
      <c r="CD95" s="16">
        <f t="shared" si="44"/>
        <v>9.8445595854922283E-2</v>
      </c>
      <c r="CE95" s="17">
        <f>IF(AND(BZ95&lt;&gt;"", CC95&lt;&gt;""), SUM(CC$59:CC95), "")</f>
        <v>3245</v>
      </c>
      <c r="CF95" s="16">
        <f t="shared" si="45"/>
        <v>0.76424870466321249</v>
      </c>
      <c r="CG95" s="14"/>
      <c r="CH95" s="27">
        <v>13</v>
      </c>
      <c r="CI95" s="20">
        <v>38</v>
      </c>
      <c r="CJ95" s="8"/>
      <c r="CK95" s="48">
        <v>32</v>
      </c>
      <c r="CL95" s="83">
        <f t="shared" si="62"/>
        <v>9</v>
      </c>
      <c r="CM95" s="15">
        <f t="shared" si="55"/>
        <v>1.21</v>
      </c>
      <c r="CN95" s="52">
        <v>63</v>
      </c>
      <c r="CO95" s="16">
        <f t="shared" si="46"/>
        <v>1.0854583046175051E-2</v>
      </c>
      <c r="CP95" s="17">
        <f>IF(AND(CK95&lt;&gt;"", CN95&lt;&gt;""), SUM(CN$59:CN95), "")</f>
        <v>5765</v>
      </c>
      <c r="CQ95" s="16">
        <f t="shared" si="47"/>
        <v>0.99328049620951064</v>
      </c>
      <c r="CR95" s="14"/>
      <c r="CS95" s="27">
        <v>13</v>
      </c>
      <c r="CT95" s="20">
        <v>49</v>
      </c>
      <c r="CU95" s="8"/>
      <c r="CV95" s="49">
        <v>49</v>
      </c>
      <c r="CW95" s="83">
        <f t="shared" si="63"/>
        <v>4</v>
      </c>
      <c r="CX95" s="15">
        <f t="shared" si="56"/>
        <v>64.44</v>
      </c>
      <c r="CY95" s="52">
        <v>288</v>
      </c>
      <c r="CZ95" s="16">
        <f t="shared" si="48"/>
        <v>5.4825813820673898E-2</v>
      </c>
      <c r="DA95" s="17">
        <f>IF(AND(CV95&lt;&gt;"", CY95&lt;&gt;""), SUM(CY$59:CY95), "")</f>
        <v>2012</v>
      </c>
      <c r="DB95" s="16">
        <f t="shared" si="49"/>
        <v>0.38301922710831904</v>
      </c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</row>
    <row r="96" spans="5:180" ht="16" customHeight="1" x14ac:dyDescent="0.2">
      <c r="E96" s="1"/>
      <c r="F96" s="86"/>
      <c r="G96" s="85">
        <v>8</v>
      </c>
      <c r="H96" s="36"/>
      <c r="I96" s="86"/>
      <c r="J96" s="85">
        <v>8</v>
      </c>
      <c r="K96" s="70"/>
      <c r="L96" s="70"/>
      <c r="M96" s="70"/>
      <c r="N96"/>
      <c r="O96" s="39"/>
      <c r="P96" s="83" t="str">
        <f t="shared" si="70"/>
        <v/>
      </c>
      <c r="Q96" s="15" t="str">
        <f t="shared" si="68"/>
        <v/>
      </c>
      <c r="R96" s="39"/>
      <c r="S96" s="16" t="str">
        <f t="shared" si="64"/>
        <v/>
      </c>
      <c r="T96" s="17" t="str">
        <f>IF(AND(O96&lt;&gt;"", R96&lt;&gt;""), SUM(R$4:R96), "")</f>
        <v/>
      </c>
      <c r="U96" s="16" t="str">
        <f t="shared" si="65"/>
        <v/>
      </c>
      <c r="W96" s="46">
        <v>68</v>
      </c>
      <c r="X96" s="83">
        <f t="shared" si="71"/>
        <v>9</v>
      </c>
      <c r="Y96" s="15">
        <f t="shared" si="69"/>
        <v>0.62</v>
      </c>
      <c r="Z96" s="47">
        <v>191</v>
      </c>
      <c r="AA96" s="16">
        <f t="shared" si="66"/>
        <v>6.6783450291784232E-4</v>
      </c>
      <c r="AB96" s="17">
        <f>IF(AND(W96&lt;&gt;"", Z96&lt;&gt;""), SUM(Z$4:Z96), "")</f>
        <v>284316</v>
      </c>
      <c r="AC96" s="16">
        <f t="shared" si="67"/>
        <v>0.99411536403973444</v>
      </c>
      <c r="AD96" s="1"/>
      <c r="AE96" s="19">
        <v>12</v>
      </c>
      <c r="AF96" s="20">
        <v>41</v>
      </c>
      <c r="AG96" s="8"/>
      <c r="AH96" s="49">
        <v>34</v>
      </c>
      <c r="AI96" s="83">
        <f t="shared" si="57"/>
        <v>9</v>
      </c>
      <c r="AJ96" s="15">
        <f t="shared" si="50"/>
        <v>1.35</v>
      </c>
      <c r="AK96" s="52">
        <v>91</v>
      </c>
      <c r="AL96" s="16">
        <f t="shared" si="36"/>
        <v>4.7569262937794043E-3</v>
      </c>
      <c r="AM96" s="17">
        <f>IF(AND(AH96&lt;&gt;"", AK96&lt;&gt;""), SUM(AK$59:AK96), "")</f>
        <v>18918</v>
      </c>
      <c r="AN96" s="16">
        <f t="shared" si="37"/>
        <v>0.98891792995295347</v>
      </c>
      <c r="AO96" s="14"/>
      <c r="AP96" s="19">
        <v>12</v>
      </c>
      <c r="AQ96" s="20">
        <v>42</v>
      </c>
      <c r="AR96" s="8"/>
      <c r="AS96" s="49">
        <v>35</v>
      </c>
      <c r="AT96" s="83">
        <f t="shared" si="58"/>
        <v>9</v>
      </c>
      <c r="AU96" s="15">
        <f t="shared" si="51"/>
        <v>1.84</v>
      </c>
      <c r="AV96" s="52">
        <v>73</v>
      </c>
      <c r="AW96" s="16">
        <f t="shared" si="38"/>
        <v>5.1098978020439594E-3</v>
      </c>
      <c r="AX96" s="17">
        <f>IF(AND(AS96&lt;&gt;"", AV96&lt;&gt;""), SUM(AV$59:AV96), "")</f>
        <v>14059</v>
      </c>
      <c r="AY96" s="16">
        <f t="shared" si="39"/>
        <v>0.98411031779364411</v>
      </c>
      <c r="AZ96" s="14"/>
      <c r="BA96" s="19">
        <v>12</v>
      </c>
      <c r="BB96" s="20">
        <v>43</v>
      </c>
      <c r="BC96" s="8"/>
      <c r="BD96" s="49">
        <v>36</v>
      </c>
      <c r="BE96" s="83">
        <f t="shared" si="59"/>
        <v>9</v>
      </c>
      <c r="BF96" s="15">
        <f t="shared" si="52"/>
        <v>1.62</v>
      </c>
      <c r="BG96" s="52">
        <v>143</v>
      </c>
      <c r="BH96" s="16">
        <f t="shared" si="40"/>
        <v>1.2167106270739386E-2</v>
      </c>
      <c r="BI96" s="17">
        <f>IF(AND(BD96&lt;&gt;"", BG96&lt;&gt;""), SUM(BG$59:BG96), "")</f>
        <v>11634</v>
      </c>
      <c r="BJ96" s="16">
        <f t="shared" si="41"/>
        <v>0.98987492555092316</v>
      </c>
      <c r="BK96" s="14"/>
      <c r="BL96" s="27">
        <v>12</v>
      </c>
      <c r="BM96" s="20">
        <v>45</v>
      </c>
      <c r="BN96" s="8"/>
      <c r="BO96" s="49">
        <v>44</v>
      </c>
      <c r="BP96" s="83">
        <f t="shared" si="60"/>
        <v>6</v>
      </c>
      <c r="BQ96" s="15">
        <f t="shared" si="53"/>
        <v>32.72</v>
      </c>
      <c r="BR96" s="52">
        <v>463</v>
      </c>
      <c r="BS96" s="16">
        <f t="shared" si="42"/>
        <v>0.12213136375626484</v>
      </c>
      <c r="BT96" s="17">
        <f>IF(AND(BO96&lt;&gt;"", BR96&lt;&gt;""), SUM(BR$59:BR96), "")</f>
        <v>2782</v>
      </c>
      <c r="BU96" s="16">
        <f t="shared" si="43"/>
        <v>0.7338433131099974</v>
      </c>
      <c r="BV96" s="14"/>
      <c r="BW96" s="27">
        <v>12</v>
      </c>
      <c r="BX96" s="20">
        <v>46</v>
      </c>
      <c r="BY96" s="8"/>
      <c r="BZ96" s="49">
        <v>43</v>
      </c>
      <c r="CA96" s="83">
        <f t="shared" si="61"/>
        <v>6</v>
      </c>
      <c r="CB96" s="15">
        <f t="shared" si="54"/>
        <v>20.399999999999999</v>
      </c>
      <c r="CC96" s="52">
        <v>270</v>
      </c>
      <c r="CD96" s="16">
        <f t="shared" si="44"/>
        <v>6.3589260480452187E-2</v>
      </c>
      <c r="CE96" s="17">
        <f>IF(AND(BZ96&lt;&gt;"", CC96&lt;&gt;""), SUM(CC$59:CC96), "")</f>
        <v>3515</v>
      </c>
      <c r="CF96" s="16">
        <f t="shared" si="45"/>
        <v>0.82783796514366459</v>
      </c>
      <c r="CG96" s="14"/>
      <c r="CH96" s="27">
        <v>12</v>
      </c>
      <c r="CI96" s="20">
        <v>37</v>
      </c>
      <c r="CJ96" s="8"/>
      <c r="CK96" s="49">
        <v>31</v>
      </c>
      <c r="CL96" s="83">
        <f t="shared" si="62"/>
        <v>9</v>
      </c>
      <c r="CM96" s="15">
        <f t="shared" si="55"/>
        <v>0.42</v>
      </c>
      <c r="CN96" s="52">
        <v>29</v>
      </c>
      <c r="CO96" s="16">
        <f t="shared" si="46"/>
        <v>4.9965541006202615E-3</v>
      </c>
      <c r="CP96" s="17">
        <f>IF(AND(CK96&lt;&gt;"", CN96&lt;&gt;""), SUM(CN$59:CN96), "")</f>
        <v>5794</v>
      </c>
      <c r="CQ96" s="16">
        <f t="shared" si="47"/>
        <v>0.99827705031013092</v>
      </c>
      <c r="CR96" s="14"/>
      <c r="CS96" s="27">
        <v>12</v>
      </c>
      <c r="CT96" s="20">
        <v>48</v>
      </c>
      <c r="CU96" s="8"/>
      <c r="CV96" s="49">
        <v>48</v>
      </c>
      <c r="CW96" s="83">
        <f t="shared" si="63"/>
        <v>4</v>
      </c>
      <c r="CX96" s="15">
        <f t="shared" si="56"/>
        <v>58.69</v>
      </c>
      <c r="CY96" s="52">
        <v>316</v>
      </c>
      <c r="CZ96" s="16">
        <f t="shared" si="48"/>
        <v>6.0156101275461643E-2</v>
      </c>
      <c r="DA96" s="17">
        <f>IF(AND(CV96&lt;&gt;"", CY96&lt;&gt;""), SUM(CY$59:CY96), "")</f>
        <v>2328</v>
      </c>
      <c r="DB96" s="16">
        <f t="shared" si="49"/>
        <v>0.44317532838378071</v>
      </c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</row>
    <row r="97" spans="1:180" ht="16" customHeight="1" x14ac:dyDescent="0.2">
      <c r="E97" s="1"/>
      <c r="F97" s="86"/>
      <c r="G97" s="85">
        <v>9</v>
      </c>
      <c r="H97" s="36"/>
      <c r="I97" s="86"/>
      <c r="J97" s="85">
        <v>9</v>
      </c>
      <c r="K97" s="70"/>
      <c r="L97" s="70"/>
      <c r="M97" s="70"/>
      <c r="N97"/>
      <c r="O97" s="39"/>
      <c r="P97" s="83" t="str">
        <f t="shared" si="70"/>
        <v/>
      </c>
      <c r="Q97" s="15" t="str">
        <f t="shared" si="68"/>
        <v/>
      </c>
      <c r="R97" s="39"/>
      <c r="S97" s="16" t="str">
        <f t="shared" si="64"/>
        <v/>
      </c>
      <c r="T97" s="17" t="str">
        <f>IF(AND(O97&lt;&gt;"", R97&lt;&gt;""), SUM(R$4:R97), "")</f>
        <v/>
      </c>
      <c r="U97" s="16" t="str">
        <f t="shared" si="65"/>
        <v/>
      </c>
      <c r="W97" s="46">
        <v>67</v>
      </c>
      <c r="X97" s="83">
        <f t="shared" si="71"/>
        <v>9</v>
      </c>
      <c r="Y97" s="15">
        <f t="shared" si="69"/>
        <v>0.48</v>
      </c>
      <c r="Z97" s="47">
        <v>594</v>
      </c>
      <c r="AA97" s="16">
        <f t="shared" si="66"/>
        <v>2.0769303389172691E-3</v>
      </c>
      <c r="AB97" s="17">
        <f>IF(AND(W97&lt;&gt;"", Z97&lt;&gt;""), SUM(Z$4:Z97), "")</f>
        <v>284910</v>
      </c>
      <c r="AC97" s="16">
        <f t="shared" si="67"/>
        <v>0.99619229437865164</v>
      </c>
      <c r="AD97" s="1"/>
      <c r="AE97" s="19">
        <v>11</v>
      </c>
      <c r="AF97" s="20">
        <v>40</v>
      </c>
      <c r="AG97" s="8"/>
      <c r="AH97" s="49">
        <v>33</v>
      </c>
      <c r="AI97" s="83">
        <f t="shared" si="57"/>
        <v>9</v>
      </c>
      <c r="AJ97" s="15">
        <f t="shared" si="50"/>
        <v>0.76</v>
      </c>
      <c r="AK97" s="52">
        <v>134</v>
      </c>
      <c r="AL97" s="16">
        <f t="shared" si="36"/>
        <v>7.0047046523784634E-3</v>
      </c>
      <c r="AM97" s="17">
        <f>IF(AND(AH97&lt;&gt;"", AK97&lt;&gt;""), SUM(AK$59:AK97), "")</f>
        <v>19052</v>
      </c>
      <c r="AN97" s="16">
        <f t="shared" si="37"/>
        <v>0.99592263460533192</v>
      </c>
      <c r="AO97" s="14"/>
      <c r="AP97" s="19">
        <v>11</v>
      </c>
      <c r="AQ97" s="20">
        <v>41</v>
      </c>
      <c r="AR97" s="8"/>
      <c r="AS97" s="49">
        <v>34</v>
      </c>
      <c r="AT97" s="83">
        <f t="shared" si="58"/>
        <v>9</v>
      </c>
      <c r="AU97" s="15">
        <f t="shared" si="51"/>
        <v>1.02</v>
      </c>
      <c r="AV97" s="52">
        <v>162</v>
      </c>
      <c r="AW97" s="16">
        <f t="shared" si="38"/>
        <v>1.133977320453591E-2</v>
      </c>
      <c r="AX97" s="17">
        <f>IF(AND(AS97&lt;&gt;"", AV97&lt;&gt;""), SUM(AV$59:AV97), "")</f>
        <v>14221</v>
      </c>
      <c r="AY97" s="16">
        <f t="shared" si="39"/>
        <v>0.99545009099818005</v>
      </c>
      <c r="AZ97" s="14"/>
      <c r="BA97" s="19">
        <v>11</v>
      </c>
      <c r="BB97" s="20">
        <v>42</v>
      </c>
      <c r="BC97" s="8"/>
      <c r="BD97" s="49">
        <v>35</v>
      </c>
      <c r="BE97" s="83">
        <f t="shared" si="59"/>
        <v>9</v>
      </c>
      <c r="BF97" s="15">
        <f t="shared" si="52"/>
        <v>0.75</v>
      </c>
      <c r="BG97" s="52">
        <v>62</v>
      </c>
      <c r="BH97" s="16">
        <f t="shared" si="40"/>
        <v>5.2752488726282654E-3</v>
      </c>
      <c r="BI97" s="17">
        <f>IF(AND(BD97&lt;&gt;"", BG97&lt;&gt;""), SUM(BG$59:BG97), "")</f>
        <v>11696</v>
      </c>
      <c r="BJ97" s="16">
        <f t="shared" si="41"/>
        <v>0.99515017442355147</v>
      </c>
      <c r="BK97" s="14"/>
      <c r="BL97" s="27">
        <v>11</v>
      </c>
      <c r="BM97" s="20">
        <v>44</v>
      </c>
      <c r="BN97" s="8"/>
      <c r="BO97" s="49">
        <v>43</v>
      </c>
      <c r="BP97" s="83">
        <f t="shared" si="60"/>
        <v>6</v>
      </c>
      <c r="BQ97" s="15">
        <f t="shared" si="53"/>
        <v>23.87</v>
      </c>
      <c r="BR97" s="52">
        <v>208</v>
      </c>
      <c r="BS97" s="16">
        <f t="shared" si="42"/>
        <v>5.4866789765233445E-2</v>
      </c>
      <c r="BT97" s="17">
        <f>IF(AND(BO97&lt;&gt;"", BR97&lt;&gt;""), SUM(BR$59:BR97), "")</f>
        <v>2990</v>
      </c>
      <c r="BU97" s="16">
        <f t="shared" si="43"/>
        <v>0.7887101028752308</v>
      </c>
      <c r="BV97" s="14"/>
      <c r="BW97" s="27">
        <v>11</v>
      </c>
      <c r="BX97" s="20">
        <v>45</v>
      </c>
      <c r="BY97" s="8"/>
      <c r="BZ97" s="49">
        <v>42</v>
      </c>
      <c r="CA97" s="83">
        <f t="shared" si="61"/>
        <v>7</v>
      </c>
      <c r="CB97" s="15">
        <f t="shared" si="54"/>
        <v>15.18</v>
      </c>
      <c r="CC97" s="52">
        <v>173</v>
      </c>
      <c r="CD97" s="16">
        <f t="shared" si="44"/>
        <v>4.0744229863400851E-2</v>
      </c>
      <c r="CE97" s="17">
        <f>IF(AND(BZ97&lt;&gt;"", CC97&lt;&gt;""), SUM(CC$59:CC97), "")</f>
        <v>3688</v>
      </c>
      <c r="CF97" s="16">
        <f t="shared" si="45"/>
        <v>0.86858219500706546</v>
      </c>
      <c r="CG97" s="14"/>
      <c r="CH97" s="27">
        <v>11</v>
      </c>
      <c r="CI97" s="20">
        <v>36</v>
      </c>
      <c r="CJ97" s="8"/>
      <c r="CK97" s="49">
        <v>30</v>
      </c>
      <c r="CL97" s="83">
        <f t="shared" si="62"/>
        <v>9</v>
      </c>
      <c r="CM97" s="15">
        <f t="shared" si="55"/>
        <v>0.17</v>
      </c>
      <c r="CN97" s="52">
        <v>0</v>
      </c>
      <c r="CO97" s="16">
        <f t="shared" si="46"/>
        <v>0</v>
      </c>
      <c r="CP97" s="17">
        <f>IF(AND(CK97&lt;&gt;"", CN97&lt;&gt;""), SUM(CN$59:CN97), "")</f>
        <v>5794</v>
      </c>
      <c r="CQ97" s="16">
        <f t="shared" si="47"/>
        <v>0.99827705031013092</v>
      </c>
      <c r="CR97" s="14"/>
      <c r="CS97" s="27">
        <v>11</v>
      </c>
      <c r="CT97" s="20">
        <v>47</v>
      </c>
      <c r="CU97" s="8"/>
      <c r="CV97" s="49">
        <v>47</v>
      </c>
      <c r="CW97" s="83">
        <f t="shared" si="63"/>
        <v>5</v>
      </c>
      <c r="CX97" s="15">
        <f t="shared" si="56"/>
        <v>48.39</v>
      </c>
      <c r="CY97" s="52">
        <v>766</v>
      </c>
      <c r="CZ97" s="16">
        <f t="shared" si="48"/>
        <v>0.14582143537026462</v>
      </c>
      <c r="DA97" s="17">
        <f>IF(AND(CV97&lt;&gt;"", CY97&lt;&gt;""), SUM(CY$59:CY97), "")</f>
        <v>3094</v>
      </c>
      <c r="DB97" s="16">
        <f t="shared" si="49"/>
        <v>0.5889967637540453</v>
      </c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</row>
    <row r="98" spans="1:180" ht="16" customHeight="1" x14ac:dyDescent="0.2">
      <c r="E98" s="1"/>
      <c r="F98" s="1"/>
      <c r="G98" s="1"/>
      <c r="H98" s="1"/>
      <c r="I98" s="1"/>
      <c r="J98" s="1"/>
      <c r="K98" s="1"/>
      <c r="L98" s="1"/>
      <c r="M98" s="1"/>
      <c r="N98"/>
      <c r="O98" s="39"/>
      <c r="P98" s="83" t="str">
        <f t="shared" si="70"/>
        <v/>
      </c>
      <c r="Q98" s="15" t="str">
        <f t="shared" si="68"/>
        <v/>
      </c>
      <c r="R98" s="39"/>
      <c r="S98" s="16" t="str">
        <f t="shared" si="64"/>
        <v/>
      </c>
      <c r="T98" s="17" t="str">
        <f>IF(AND(O98&lt;&gt;"", R98&lt;&gt;""), SUM(R$4:R98), "")</f>
        <v/>
      </c>
      <c r="U98" s="16" t="str">
        <f t="shared" si="65"/>
        <v/>
      </c>
      <c r="W98" s="46">
        <v>66</v>
      </c>
      <c r="X98" s="83">
        <f t="shared" si="71"/>
        <v>9</v>
      </c>
      <c r="Y98" s="15">
        <f t="shared" si="69"/>
        <v>0.19</v>
      </c>
      <c r="Z98" s="47">
        <v>1089</v>
      </c>
      <c r="AA98" s="16">
        <f t="shared" si="66"/>
        <v>3.8077056213483263E-3</v>
      </c>
      <c r="AB98" s="17">
        <f>IF(AND(W98&lt;&gt;"", Z98&lt;&gt;""), SUM(Z$4:Z98), "")</f>
        <v>285999</v>
      </c>
      <c r="AC98" s="16">
        <f t="shared" si="67"/>
        <v>1</v>
      </c>
      <c r="AD98" s="1"/>
      <c r="AE98" s="19">
        <v>10</v>
      </c>
      <c r="AF98" s="20">
        <v>39</v>
      </c>
      <c r="AG98" s="8"/>
      <c r="AH98" s="49">
        <v>31</v>
      </c>
      <c r="AI98" s="83">
        <f t="shared" si="57"/>
        <v>9</v>
      </c>
      <c r="AJ98" s="15">
        <f t="shared" si="50"/>
        <v>0.2</v>
      </c>
      <c r="AK98" s="52">
        <v>78</v>
      </c>
      <c r="AL98" s="16">
        <f t="shared" si="36"/>
        <v>4.0773653946680607E-3</v>
      </c>
      <c r="AM98" s="17">
        <f>IF(AND(AH98&lt;&gt;"", AK98&lt;&gt;""), SUM(AK$59:AK98), "")</f>
        <v>19130</v>
      </c>
      <c r="AN98" s="16">
        <f t="shared" si="37"/>
        <v>1</v>
      </c>
      <c r="AO98" s="14"/>
      <c r="AP98" s="19">
        <v>10</v>
      </c>
      <c r="AQ98" s="20">
        <v>40</v>
      </c>
      <c r="AR98" s="8"/>
      <c r="AS98" s="49">
        <v>32</v>
      </c>
      <c r="AT98" s="83">
        <f t="shared" si="58"/>
        <v>9</v>
      </c>
      <c r="AU98" s="15">
        <f t="shared" si="51"/>
        <v>0.23</v>
      </c>
      <c r="AV98" s="52">
        <v>65</v>
      </c>
      <c r="AW98" s="16">
        <f t="shared" si="38"/>
        <v>4.5499090018199639E-3</v>
      </c>
      <c r="AX98" s="17">
        <f>IF(AND(AS98&lt;&gt;"", AV98&lt;&gt;""), SUM(AV$59:AV98), "")</f>
        <v>14286</v>
      </c>
      <c r="AY98" s="16">
        <f t="shared" si="39"/>
        <v>1</v>
      </c>
      <c r="AZ98" s="14"/>
      <c r="BA98" s="19">
        <v>10</v>
      </c>
      <c r="BB98" s="20">
        <v>41</v>
      </c>
      <c r="BC98" s="8"/>
      <c r="BD98" s="49">
        <v>33</v>
      </c>
      <c r="BE98" s="83">
        <f t="shared" si="59"/>
        <v>9</v>
      </c>
      <c r="BF98" s="15">
        <f t="shared" si="52"/>
        <v>0.24</v>
      </c>
      <c r="BG98" s="52">
        <v>57</v>
      </c>
      <c r="BH98" s="16">
        <f t="shared" si="40"/>
        <v>4.8498255764485663E-3</v>
      </c>
      <c r="BI98" s="17">
        <f>IF(AND(BD98&lt;&gt;"", BG98&lt;&gt;""), SUM(BG$59:BG98), "")</f>
        <v>11753</v>
      </c>
      <c r="BJ98" s="16">
        <f t="shared" si="41"/>
        <v>1</v>
      </c>
      <c r="BK98" s="14"/>
      <c r="BL98" s="27">
        <v>10</v>
      </c>
      <c r="BM98" s="20">
        <v>43</v>
      </c>
      <c r="BN98" s="8"/>
      <c r="BO98" s="49">
        <v>42</v>
      </c>
      <c r="BP98" s="83">
        <f t="shared" si="60"/>
        <v>7</v>
      </c>
      <c r="BQ98" s="15">
        <f t="shared" si="53"/>
        <v>19.12</v>
      </c>
      <c r="BR98" s="52">
        <v>152</v>
      </c>
      <c r="BS98" s="16">
        <f t="shared" si="42"/>
        <v>4.009496175151675E-2</v>
      </c>
      <c r="BT98" s="17">
        <f>IF(AND(BO98&lt;&gt;"", BR98&lt;&gt;""), SUM(BR$59:BR98), "")</f>
        <v>3142</v>
      </c>
      <c r="BU98" s="16">
        <f t="shared" si="43"/>
        <v>0.82880506462674752</v>
      </c>
      <c r="BV98" s="14"/>
      <c r="BW98" s="27">
        <v>10</v>
      </c>
      <c r="BX98" s="20">
        <v>44</v>
      </c>
      <c r="BY98" s="8"/>
      <c r="BZ98" s="49">
        <v>41</v>
      </c>
      <c r="CA98" s="83">
        <f t="shared" si="61"/>
        <v>7</v>
      </c>
      <c r="CB98" s="15">
        <f t="shared" si="54"/>
        <v>11.02</v>
      </c>
      <c r="CC98" s="52">
        <v>180</v>
      </c>
      <c r="CD98" s="16">
        <f t="shared" si="44"/>
        <v>4.239284032030146E-2</v>
      </c>
      <c r="CE98" s="17">
        <f>IF(AND(BZ98&lt;&gt;"", CC98&lt;&gt;""), SUM(CC$59:CC98), "")</f>
        <v>3868</v>
      </c>
      <c r="CF98" s="16">
        <f t="shared" si="45"/>
        <v>0.9109750353273669</v>
      </c>
      <c r="CG98" s="14"/>
      <c r="CH98" s="27">
        <v>10</v>
      </c>
      <c r="CI98" s="20">
        <v>36</v>
      </c>
      <c r="CJ98" s="8"/>
      <c r="CK98" s="49">
        <v>29</v>
      </c>
      <c r="CL98" s="83">
        <f t="shared" si="62"/>
        <v>9</v>
      </c>
      <c r="CM98" s="15">
        <f t="shared" si="55"/>
        <v>0.09</v>
      </c>
      <c r="CN98" s="52">
        <v>10</v>
      </c>
      <c r="CO98" s="16">
        <f t="shared" si="46"/>
        <v>1.7229496898690559E-3</v>
      </c>
      <c r="CP98" s="17">
        <f>IF(AND(CK98&lt;&gt;"", CN98&lt;&gt;""), SUM(CN$59:CN98), "")</f>
        <v>5804</v>
      </c>
      <c r="CQ98" s="16">
        <f t="shared" si="47"/>
        <v>1</v>
      </c>
      <c r="CR98" s="14"/>
      <c r="CS98" s="27">
        <v>10</v>
      </c>
      <c r="CT98" s="20">
        <v>46</v>
      </c>
      <c r="CU98" s="8"/>
      <c r="CV98" s="49">
        <v>46</v>
      </c>
      <c r="CW98" s="83">
        <f t="shared" si="63"/>
        <v>5</v>
      </c>
      <c r="CX98" s="15">
        <f t="shared" si="56"/>
        <v>37.729999999999997</v>
      </c>
      <c r="CY98" s="52">
        <v>354</v>
      </c>
      <c r="CZ98" s="16">
        <f t="shared" si="48"/>
        <v>6.7390062821245003E-2</v>
      </c>
      <c r="DA98" s="17">
        <f>IF(AND(CV98&lt;&gt;"", CY98&lt;&gt;""), SUM(CY$59:CY98), "")</f>
        <v>3448</v>
      </c>
      <c r="DB98" s="16">
        <f t="shared" si="49"/>
        <v>0.65638682657529035</v>
      </c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</row>
    <row r="99" spans="1:180" ht="16" customHeight="1" thickBot="1" x14ac:dyDescent="0.25">
      <c r="A99" s="1"/>
      <c r="B99" s="1"/>
      <c r="C99" s="1"/>
      <c r="D99" s="1"/>
      <c r="E99" s="1"/>
      <c r="F99" s="117" t="s">
        <v>10</v>
      </c>
      <c r="G99" s="118"/>
      <c r="H99" s="36"/>
      <c r="I99" s="117" t="s">
        <v>33</v>
      </c>
      <c r="J99" s="118"/>
      <c r="K99" s="36"/>
      <c r="L99" s="36"/>
      <c r="M99" s="36"/>
      <c r="N99"/>
      <c r="O99" s="40"/>
      <c r="P99" s="83" t="str">
        <f t="shared" si="70"/>
        <v/>
      </c>
      <c r="Q99" s="15" t="str">
        <f t="shared" si="68"/>
        <v/>
      </c>
      <c r="R99" s="40"/>
      <c r="S99" s="16" t="str">
        <f t="shared" si="64"/>
        <v/>
      </c>
      <c r="T99" s="17" t="str">
        <f>IF(AND(O99&lt;&gt;"", R99&lt;&gt;""), SUM(R$4:R99), "")</f>
        <v/>
      </c>
      <c r="U99" s="16" t="str">
        <f t="shared" si="65"/>
        <v/>
      </c>
      <c r="W99" s="40"/>
      <c r="X99" s="83" t="str">
        <f t="shared" si="71"/>
        <v/>
      </c>
      <c r="Y99" s="15" t="str">
        <f t="shared" si="69"/>
        <v/>
      </c>
      <c r="Z99" s="40"/>
      <c r="AA99" s="16" t="str">
        <f t="shared" si="66"/>
        <v/>
      </c>
      <c r="AB99" s="17" t="str">
        <f>IF(AND(W99&lt;&gt;"", Z99&lt;&gt;""), SUM(Z$4:Z99), "")</f>
        <v/>
      </c>
      <c r="AC99" s="16" t="str">
        <f t="shared" si="67"/>
        <v/>
      </c>
      <c r="AD99" s="1"/>
      <c r="AE99" s="19">
        <v>9</v>
      </c>
      <c r="AF99" s="20">
        <v>38</v>
      </c>
      <c r="AG99" s="8"/>
      <c r="AH99" s="49"/>
      <c r="AI99" s="83" t="str">
        <f t="shared" si="57"/>
        <v/>
      </c>
      <c r="AJ99" s="15" t="str">
        <f t="shared" si="50"/>
        <v/>
      </c>
      <c r="AK99" s="52"/>
      <c r="AL99" s="16" t="str">
        <f t="shared" si="36"/>
        <v/>
      </c>
      <c r="AM99" s="17" t="str">
        <f>IF(AND(AH99&lt;&gt;"", AK99&lt;&gt;""), SUM(AK$59:AK99), "")</f>
        <v/>
      </c>
      <c r="AN99" s="16" t="str">
        <f t="shared" si="37"/>
        <v/>
      </c>
      <c r="AO99" s="14"/>
      <c r="AP99" s="19">
        <v>9</v>
      </c>
      <c r="AQ99" s="20">
        <v>39</v>
      </c>
      <c r="AR99" s="8"/>
      <c r="AS99" s="49"/>
      <c r="AT99" s="83" t="str">
        <f t="shared" si="58"/>
        <v/>
      </c>
      <c r="AU99" s="15" t="str">
        <f t="shared" si="51"/>
        <v/>
      </c>
      <c r="AV99" s="52"/>
      <c r="AW99" s="16" t="str">
        <f t="shared" si="38"/>
        <v/>
      </c>
      <c r="AX99" s="17" t="str">
        <f>IF(AND(AS99&lt;&gt;"", AV99&lt;&gt;""), SUM(AV$59:AV99), "")</f>
        <v/>
      </c>
      <c r="AY99" s="16" t="str">
        <f t="shared" si="39"/>
        <v/>
      </c>
      <c r="AZ99" s="14"/>
      <c r="BA99" s="19">
        <v>9</v>
      </c>
      <c r="BB99" s="20">
        <v>40</v>
      </c>
      <c r="BC99" s="8"/>
      <c r="BD99" s="49"/>
      <c r="BE99" s="83" t="str">
        <f t="shared" si="59"/>
        <v/>
      </c>
      <c r="BF99" s="15" t="str">
        <f t="shared" si="52"/>
        <v/>
      </c>
      <c r="BG99" s="52"/>
      <c r="BH99" s="16" t="str">
        <f t="shared" si="40"/>
        <v/>
      </c>
      <c r="BI99" s="17" t="str">
        <f>IF(AND(BD99&lt;&gt;"", BG99&lt;&gt;""), SUM(BG$59:BG99), "")</f>
        <v/>
      </c>
      <c r="BJ99" s="16" t="str">
        <f t="shared" si="41"/>
        <v/>
      </c>
      <c r="BK99" s="14"/>
      <c r="BL99" s="27">
        <v>9</v>
      </c>
      <c r="BM99" s="20">
        <v>42</v>
      </c>
      <c r="BN99" s="8"/>
      <c r="BO99" s="49">
        <v>41</v>
      </c>
      <c r="BP99" s="83">
        <f t="shared" si="60"/>
        <v>7</v>
      </c>
      <c r="BQ99" s="15">
        <f t="shared" si="53"/>
        <v>12.46</v>
      </c>
      <c r="BR99" s="52">
        <v>353</v>
      </c>
      <c r="BS99" s="16">
        <f t="shared" si="42"/>
        <v>9.311527301503561E-2</v>
      </c>
      <c r="BT99" s="17">
        <f>IF(AND(BO99&lt;&gt;"", BR99&lt;&gt;""), SUM(BR$59:BR99), "")</f>
        <v>3495</v>
      </c>
      <c r="BU99" s="16">
        <f t="shared" si="43"/>
        <v>0.92192033764178316</v>
      </c>
      <c r="BV99" s="14"/>
      <c r="BW99" s="27">
        <v>9</v>
      </c>
      <c r="BX99" s="20">
        <v>43</v>
      </c>
      <c r="BY99" s="8"/>
      <c r="BZ99" s="49">
        <v>40</v>
      </c>
      <c r="CA99" s="83">
        <f t="shared" si="61"/>
        <v>8</v>
      </c>
      <c r="CB99" s="15">
        <f t="shared" si="54"/>
        <v>6.44</v>
      </c>
      <c r="CC99" s="52">
        <v>209</v>
      </c>
      <c r="CD99" s="16">
        <f t="shared" si="44"/>
        <v>4.9222797927461141E-2</v>
      </c>
      <c r="CE99" s="17">
        <f>IF(AND(BZ99&lt;&gt;"", CC99&lt;&gt;""), SUM(CC$59:CC99), "")</f>
        <v>4077</v>
      </c>
      <c r="CF99" s="16">
        <f t="shared" si="45"/>
        <v>0.9601978332548281</v>
      </c>
      <c r="CG99" s="14"/>
      <c r="CH99" s="27">
        <v>9</v>
      </c>
      <c r="CI99" s="20">
        <v>35</v>
      </c>
      <c r="CJ99" s="8"/>
      <c r="CK99" s="49">
        <v>27</v>
      </c>
      <c r="CL99" s="83">
        <f t="shared" si="62"/>
        <v>9</v>
      </c>
      <c r="CM99" s="15">
        <f t="shared" si="55"/>
        <v>0</v>
      </c>
      <c r="CN99" s="52">
        <v>0</v>
      </c>
      <c r="CO99" s="16">
        <f t="shared" si="46"/>
        <v>0</v>
      </c>
      <c r="CP99" s="17">
        <f>IF(AND(CK99&lt;&gt;"", CN99&lt;&gt;""), SUM(CN$59:CN99), "")</f>
        <v>5804</v>
      </c>
      <c r="CQ99" s="16">
        <f t="shared" si="47"/>
        <v>1</v>
      </c>
      <c r="CR99" s="14"/>
      <c r="CS99" s="27">
        <v>9</v>
      </c>
      <c r="CT99" s="20">
        <v>45</v>
      </c>
      <c r="CU99" s="8"/>
      <c r="CV99" s="49">
        <v>45</v>
      </c>
      <c r="CW99" s="83">
        <f t="shared" si="63"/>
        <v>6</v>
      </c>
      <c r="CX99" s="15">
        <f t="shared" si="56"/>
        <v>30.33</v>
      </c>
      <c r="CY99" s="52">
        <v>424</v>
      </c>
      <c r="CZ99" s="16">
        <f t="shared" si="48"/>
        <v>8.0715781458214356E-2</v>
      </c>
      <c r="DA99" s="17">
        <f>IF(AND(CV99&lt;&gt;"", CY99&lt;&gt;""), SUM(CY$59:CY99), "")</f>
        <v>3872</v>
      </c>
      <c r="DB99" s="16">
        <f t="shared" si="49"/>
        <v>0.73710260803350469</v>
      </c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</row>
    <row r="100" spans="1:180" ht="16" customHeight="1" x14ac:dyDescent="0.2">
      <c r="A100" s="1"/>
      <c r="B100" s="1"/>
      <c r="C100" s="1"/>
      <c r="D100" s="1"/>
      <c r="E100" s="1"/>
      <c r="F100" s="30" t="s">
        <v>30</v>
      </c>
      <c r="G100" s="69" t="s">
        <v>14</v>
      </c>
      <c r="H100" s="36"/>
      <c r="I100" s="30" t="s">
        <v>30</v>
      </c>
      <c r="J100" s="30" t="s">
        <v>14</v>
      </c>
      <c r="K100" s="36"/>
      <c r="L100" s="36"/>
      <c r="M100" s="36"/>
      <c r="N100"/>
      <c r="O100" s="41"/>
      <c r="P100" s="83" t="str">
        <f t="shared" si="70"/>
        <v/>
      </c>
      <c r="Q100" s="15" t="str">
        <f t="shared" si="68"/>
        <v/>
      </c>
      <c r="R100" s="41"/>
      <c r="S100" s="16" t="str">
        <f t="shared" si="64"/>
        <v/>
      </c>
      <c r="T100" s="17" t="str">
        <f>IF(AND(O100&lt;&gt;"", R100&lt;&gt;""), SUM(R$4:R100), "")</f>
        <v/>
      </c>
      <c r="U100" s="16" t="str">
        <f t="shared" si="65"/>
        <v/>
      </c>
      <c r="W100" s="41"/>
      <c r="X100" s="83" t="str">
        <f t="shared" si="71"/>
        <v/>
      </c>
      <c r="Y100" s="15" t="str">
        <f t="shared" si="69"/>
        <v/>
      </c>
      <c r="Z100" s="41"/>
      <c r="AA100" s="16" t="str">
        <f t="shared" si="66"/>
        <v/>
      </c>
      <c r="AB100" s="17" t="str">
        <f>IF(AND(W100&lt;&gt;"", Z100&lt;&gt;""), SUM(Z$4:Z100), "")</f>
        <v/>
      </c>
      <c r="AC100" s="16" t="str">
        <f t="shared" si="67"/>
        <v/>
      </c>
      <c r="AD100" s="1"/>
      <c r="AE100" s="19">
        <v>8</v>
      </c>
      <c r="AF100" s="20">
        <v>37</v>
      </c>
      <c r="AG100" s="8"/>
      <c r="AH100" s="49"/>
      <c r="AI100" s="83" t="str">
        <f t="shared" si="57"/>
        <v/>
      </c>
      <c r="AJ100" s="15" t="str">
        <f t="shared" si="50"/>
        <v/>
      </c>
      <c r="AK100" s="52"/>
      <c r="AL100" s="16" t="str">
        <f t="shared" si="36"/>
        <v/>
      </c>
      <c r="AM100" s="17" t="str">
        <f>IF(AND(AH100&lt;&gt;"", AK100&lt;&gt;""), SUM(AK$59:AK100), "")</f>
        <v/>
      </c>
      <c r="AN100" s="16" t="str">
        <f t="shared" si="37"/>
        <v/>
      </c>
      <c r="AO100" s="14"/>
      <c r="AP100" s="19">
        <v>8</v>
      </c>
      <c r="AQ100" s="20">
        <v>38</v>
      </c>
      <c r="AR100" s="8"/>
      <c r="AS100" s="49"/>
      <c r="AT100" s="83" t="str">
        <f t="shared" si="58"/>
        <v/>
      </c>
      <c r="AU100" s="15" t="str">
        <f t="shared" si="51"/>
        <v/>
      </c>
      <c r="AV100" s="52"/>
      <c r="AW100" s="16" t="str">
        <f t="shared" si="38"/>
        <v/>
      </c>
      <c r="AX100" s="17" t="str">
        <f>IF(AND(AS100&lt;&gt;"", AV100&lt;&gt;""), SUM(AV$59:AV100), "")</f>
        <v/>
      </c>
      <c r="AY100" s="16" t="str">
        <f t="shared" si="39"/>
        <v/>
      </c>
      <c r="AZ100" s="14"/>
      <c r="BA100" s="19">
        <v>8</v>
      </c>
      <c r="BB100" s="20">
        <v>40</v>
      </c>
      <c r="BC100" s="8"/>
      <c r="BD100" s="49"/>
      <c r="BE100" s="83" t="str">
        <f t="shared" si="59"/>
        <v/>
      </c>
      <c r="BF100" s="15" t="str">
        <f t="shared" si="52"/>
        <v/>
      </c>
      <c r="BG100" s="52"/>
      <c r="BH100" s="16" t="str">
        <f t="shared" si="40"/>
        <v/>
      </c>
      <c r="BI100" s="17" t="str">
        <f>IF(AND(BD100&lt;&gt;"", BG100&lt;&gt;""), SUM(BG$59:BG100), "")</f>
        <v/>
      </c>
      <c r="BJ100" s="16" t="str">
        <f t="shared" si="41"/>
        <v/>
      </c>
      <c r="BK100" s="14"/>
      <c r="BL100" s="27">
        <v>8</v>
      </c>
      <c r="BM100" s="20">
        <v>41</v>
      </c>
      <c r="BN100" s="8"/>
      <c r="BO100" s="49">
        <v>40</v>
      </c>
      <c r="BP100" s="83">
        <f t="shared" si="60"/>
        <v>8</v>
      </c>
      <c r="BQ100" s="15">
        <f t="shared" si="53"/>
        <v>6.77</v>
      </c>
      <c r="BR100" s="52">
        <v>79</v>
      </c>
      <c r="BS100" s="16">
        <f t="shared" si="42"/>
        <v>2.0838828805064626E-2</v>
      </c>
      <c r="BT100" s="17">
        <f>IF(AND(BO100&lt;&gt;"", BR100&lt;&gt;""), SUM(BR$59:BR100), "")</f>
        <v>3574</v>
      </c>
      <c r="BU100" s="16">
        <f t="shared" si="43"/>
        <v>0.94275916644684776</v>
      </c>
      <c r="BV100" s="14"/>
      <c r="BW100" s="27">
        <v>8</v>
      </c>
      <c r="BX100" s="20">
        <v>42</v>
      </c>
      <c r="BY100" s="8"/>
      <c r="BZ100" s="49">
        <v>39</v>
      </c>
      <c r="CA100" s="83">
        <f t="shared" si="61"/>
        <v>9</v>
      </c>
      <c r="CB100" s="15">
        <f t="shared" si="54"/>
        <v>3.38</v>
      </c>
      <c r="CC100" s="52">
        <v>51</v>
      </c>
      <c r="CD100" s="16">
        <f t="shared" si="44"/>
        <v>1.2011304757418746E-2</v>
      </c>
      <c r="CE100" s="17">
        <f>IF(AND(BZ100&lt;&gt;"", CC100&lt;&gt;""), SUM(CC$59:CC100), "")</f>
        <v>4128</v>
      </c>
      <c r="CF100" s="16">
        <f t="shared" si="45"/>
        <v>0.97220913801224684</v>
      </c>
      <c r="CG100" s="14"/>
      <c r="CH100" s="27">
        <v>8</v>
      </c>
      <c r="CI100" s="20">
        <v>34</v>
      </c>
      <c r="CJ100" s="8"/>
      <c r="CK100" s="49"/>
      <c r="CL100" s="83" t="str">
        <f t="shared" si="62"/>
        <v/>
      </c>
      <c r="CM100" s="15" t="str">
        <f t="shared" si="55"/>
        <v/>
      </c>
      <c r="CN100" s="52"/>
      <c r="CO100" s="16" t="str">
        <f t="shared" si="46"/>
        <v/>
      </c>
      <c r="CP100" s="17" t="str">
        <f>IF(AND(CK100&lt;&gt;"", CN100&lt;&gt;""), SUM(CN$59:CN100), "")</f>
        <v/>
      </c>
      <c r="CQ100" s="16" t="str">
        <f t="shared" si="47"/>
        <v/>
      </c>
      <c r="CR100" s="14"/>
      <c r="CS100" s="27">
        <v>8</v>
      </c>
      <c r="CT100" s="20">
        <v>44</v>
      </c>
      <c r="CU100" s="8"/>
      <c r="CV100" s="49">
        <v>44</v>
      </c>
      <c r="CW100" s="83">
        <f t="shared" si="63"/>
        <v>6</v>
      </c>
      <c r="CX100" s="15">
        <f t="shared" si="56"/>
        <v>23.01</v>
      </c>
      <c r="CY100" s="52">
        <v>345</v>
      </c>
      <c r="CZ100" s="16">
        <f t="shared" si="48"/>
        <v>6.5676756139348938E-2</v>
      </c>
      <c r="DA100" s="17">
        <f>IF(AND(CV100&lt;&gt;"", CY100&lt;&gt;""), SUM(CY$59:CY100), "")</f>
        <v>4217</v>
      </c>
      <c r="DB100" s="16">
        <f t="shared" si="49"/>
        <v>0.80277936417285356</v>
      </c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</row>
    <row r="101" spans="1:180" ht="16" customHeight="1" x14ac:dyDescent="0.2">
      <c r="A101" s="1"/>
      <c r="B101" s="1"/>
      <c r="C101" s="1"/>
      <c r="D101" s="1"/>
      <c r="E101" s="1"/>
      <c r="F101" s="87"/>
      <c r="G101" s="69">
        <v>1</v>
      </c>
      <c r="H101" s="36"/>
      <c r="I101" s="86"/>
      <c r="J101" s="85">
        <v>1</v>
      </c>
      <c r="K101" s="70"/>
      <c r="L101" s="70"/>
      <c r="M101" s="70"/>
      <c r="N101"/>
      <c r="O101" s="42"/>
      <c r="P101" s="83" t="str">
        <f t="shared" si="70"/>
        <v/>
      </c>
      <c r="Q101" s="15" t="str">
        <f t="shared" si="68"/>
        <v/>
      </c>
      <c r="R101" s="42"/>
      <c r="S101" s="16" t="str">
        <f t="shared" si="64"/>
        <v/>
      </c>
      <c r="T101" s="17" t="str">
        <f>IF(AND(O101&lt;&gt;"", R101&lt;&gt;""), SUM(R$4:R101), "")</f>
        <v/>
      </c>
      <c r="U101" s="16" t="str">
        <f t="shared" si="65"/>
        <v/>
      </c>
      <c r="W101" s="42"/>
      <c r="X101" s="83" t="str">
        <f t="shared" si="71"/>
        <v/>
      </c>
      <c r="Y101" s="15" t="str">
        <f t="shared" si="69"/>
        <v/>
      </c>
      <c r="Z101" s="42"/>
      <c r="AA101" s="16" t="str">
        <f t="shared" si="66"/>
        <v/>
      </c>
      <c r="AB101" s="17" t="str">
        <f>IF(AND(W101&lt;&gt;"", Z101&lt;&gt;""), SUM(Z$4:Z101), "")</f>
        <v/>
      </c>
      <c r="AC101" s="16" t="str">
        <f t="shared" si="67"/>
        <v/>
      </c>
      <c r="AD101" s="1"/>
      <c r="AE101" s="19">
        <v>7</v>
      </c>
      <c r="AF101" s="20">
        <v>37</v>
      </c>
      <c r="AG101" s="8"/>
      <c r="AH101" s="49"/>
      <c r="AI101" s="83" t="str">
        <f t="shared" si="57"/>
        <v/>
      </c>
      <c r="AJ101" s="15" t="str">
        <f t="shared" si="50"/>
        <v/>
      </c>
      <c r="AK101" s="52"/>
      <c r="AL101" s="16" t="str">
        <f t="shared" si="36"/>
        <v/>
      </c>
      <c r="AM101" s="17" t="str">
        <f>IF(AND(AH101&lt;&gt;"", AK101&lt;&gt;""), SUM(AK$59:AK101), "")</f>
        <v/>
      </c>
      <c r="AN101" s="16" t="str">
        <f t="shared" si="37"/>
        <v/>
      </c>
      <c r="AO101" s="14"/>
      <c r="AP101" s="19">
        <v>7</v>
      </c>
      <c r="AQ101" s="20">
        <v>38</v>
      </c>
      <c r="AR101" s="8"/>
      <c r="AS101" s="49"/>
      <c r="AT101" s="83" t="str">
        <f t="shared" si="58"/>
        <v/>
      </c>
      <c r="AU101" s="15" t="str">
        <f t="shared" si="51"/>
        <v/>
      </c>
      <c r="AV101" s="52"/>
      <c r="AW101" s="16" t="str">
        <f t="shared" si="38"/>
        <v/>
      </c>
      <c r="AX101" s="17" t="str">
        <f>IF(AND(AS101&lt;&gt;"", AV101&lt;&gt;""), SUM(AV$59:AV101), "")</f>
        <v/>
      </c>
      <c r="AY101" s="16" t="str">
        <f t="shared" si="39"/>
        <v/>
      </c>
      <c r="AZ101" s="14"/>
      <c r="BA101" s="19">
        <v>7</v>
      </c>
      <c r="BB101" s="20">
        <v>39</v>
      </c>
      <c r="BC101" s="8"/>
      <c r="BD101" s="49"/>
      <c r="BE101" s="83" t="str">
        <f t="shared" si="59"/>
        <v/>
      </c>
      <c r="BF101" s="15" t="str">
        <f t="shared" si="52"/>
        <v/>
      </c>
      <c r="BG101" s="52"/>
      <c r="BH101" s="16" t="str">
        <f t="shared" si="40"/>
        <v/>
      </c>
      <c r="BI101" s="17" t="str">
        <f>IF(AND(BD101&lt;&gt;"", BG101&lt;&gt;""), SUM(BG$59:BG101), "")</f>
        <v/>
      </c>
      <c r="BJ101" s="16" t="str">
        <f t="shared" si="41"/>
        <v/>
      </c>
      <c r="BK101" s="14"/>
      <c r="BL101" s="27">
        <v>7</v>
      </c>
      <c r="BM101" s="20">
        <v>41</v>
      </c>
      <c r="BN101" s="8"/>
      <c r="BO101" s="49">
        <v>39</v>
      </c>
      <c r="BP101" s="83">
        <f t="shared" si="60"/>
        <v>8</v>
      </c>
      <c r="BQ101" s="15">
        <f t="shared" si="53"/>
        <v>4.5199999999999996</v>
      </c>
      <c r="BR101" s="52">
        <v>91</v>
      </c>
      <c r="BS101" s="16">
        <f t="shared" si="42"/>
        <v>2.4004220522289635E-2</v>
      </c>
      <c r="BT101" s="17">
        <f>IF(AND(BO101&lt;&gt;"", BR101&lt;&gt;""), SUM(BR$59:BR101), "")</f>
        <v>3665</v>
      </c>
      <c r="BU101" s="16">
        <f t="shared" si="43"/>
        <v>0.96676338696913744</v>
      </c>
      <c r="BV101" s="14"/>
      <c r="BW101" s="27">
        <v>7</v>
      </c>
      <c r="BX101" s="20">
        <v>41</v>
      </c>
      <c r="BY101" s="8"/>
      <c r="BZ101" s="49">
        <v>38</v>
      </c>
      <c r="CA101" s="83">
        <f t="shared" si="61"/>
        <v>9</v>
      </c>
      <c r="CB101" s="15">
        <f t="shared" si="54"/>
        <v>2.25</v>
      </c>
      <c r="CC101" s="52">
        <v>45</v>
      </c>
      <c r="CD101" s="16">
        <f t="shared" si="44"/>
        <v>1.0598210080075365E-2</v>
      </c>
      <c r="CE101" s="17">
        <f>IF(AND(BZ101&lt;&gt;"", CC101&lt;&gt;""), SUM(CC$59:CC101), "")</f>
        <v>4173</v>
      </c>
      <c r="CF101" s="16">
        <f t="shared" si="45"/>
        <v>0.98280734809232217</v>
      </c>
      <c r="CG101" s="14"/>
      <c r="CH101" s="27">
        <v>7</v>
      </c>
      <c r="CI101" s="20">
        <v>33</v>
      </c>
      <c r="CJ101" s="8"/>
      <c r="CK101" s="49"/>
      <c r="CL101" s="83" t="str">
        <f t="shared" si="62"/>
        <v/>
      </c>
      <c r="CM101" s="15" t="str">
        <f t="shared" si="55"/>
        <v/>
      </c>
      <c r="CN101" s="52"/>
      <c r="CO101" s="16" t="str">
        <f t="shared" si="46"/>
        <v/>
      </c>
      <c r="CP101" s="17" t="str">
        <f>IF(AND(CK101&lt;&gt;"", CN101&lt;&gt;""), SUM(CN$59:CN101), "")</f>
        <v/>
      </c>
      <c r="CQ101" s="16" t="str">
        <f t="shared" si="47"/>
        <v/>
      </c>
      <c r="CR101" s="14"/>
      <c r="CS101" s="27">
        <v>7</v>
      </c>
      <c r="CT101" s="20">
        <v>43</v>
      </c>
      <c r="CU101" s="8"/>
      <c r="CV101" s="49">
        <v>43</v>
      </c>
      <c r="CW101" s="83">
        <f t="shared" si="63"/>
        <v>7</v>
      </c>
      <c r="CX101" s="15">
        <f t="shared" si="56"/>
        <v>16.760000000000002</v>
      </c>
      <c r="CY101" s="52">
        <v>311</v>
      </c>
      <c r="CZ101" s="16">
        <f t="shared" si="48"/>
        <v>5.9204264229963832E-2</v>
      </c>
      <c r="DA101" s="17">
        <f>IF(AND(CV101&lt;&gt;"", CY101&lt;&gt;""), SUM(CY$59:CY101), "")</f>
        <v>4528</v>
      </c>
      <c r="DB101" s="16">
        <f t="shared" si="49"/>
        <v>0.86198362840281739</v>
      </c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</row>
    <row r="102" spans="1:180" ht="16" customHeight="1" x14ac:dyDescent="0.2">
      <c r="A102" s="1"/>
      <c r="B102" s="1"/>
      <c r="C102" s="1"/>
      <c r="D102" s="1"/>
      <c r="E102" s="1"/>
      <c r="F102" s="87"/>
      <c r="G102" s="69">
        <v>2</v>
      </c>
      <c r="H102" s="36"/>
      <c r="I102" s="86"/>
      <c r="J102" s="85">
        <v>2</v>
      </c>
      <c r="K102" s="70"/>
      <c r="L102" s="70"/>
      <c r="M102" s="70"/>
      <c r="N102"/>
      <c r="O102" s="42"/>
      <c r="P102" s="83" t="str">
        <f t="shared" si="70"/>
        <v/>
      </c>
      <c r="Q102" s="15" t="str">
        <f t="shared" si="68"/>
        <v/>
      </c>
      <c r="R102" s="42"/>
      <c r="S102" s="16" t="str">
        <f t="shared" si="64"/>
        <v/>
      </c>
      <c r="T102" s="17" t="str">
        <f>IF(AND(O102&lt;&gt;"", R102&lt;&gt;""), SUM(R$4:R102), "")</f>
        <v/>
      </c>
      <c r="U102" s="16" t="str">
        <f t="shared" si="65"/>
        <v/>
      </c>
      <c r="W102" s="42"/>
      <c r="X102" s="83" t="str">
        <f t="shared" si="71"/>
        <v/>
      </c>
      <c r="Y102" s="15" t="str">
        <f t="shared" si="69"/>
        <v/>
      </c>
      <c r="Z102" s="42"/>
      <c r="AA102" s="16" t="str">
        <f t="shared" si="66"/>
        <v/>
      </c>
      <c r="AB102" s="17" t="str">
        <f>IF(AND(W102&lt;&gt;"", Z102&lt;&gt;""), SUM(Z$4:Z102), "")</f>
        <v/>
      </c>
      <c r="AC102" s="16" t="str">
        <f t="shared" si="67"/>
        <v/>
      </c>
      <c r="AD102" s="1"/>
      <c r="AE102" s="19">
        <v>6</v>
      </c>
      <c r="AF102" s="20">
        <v>36</v>
      </c>
      <c r="AG102" s="8"/>
      <c r="AH102" s="38"/>
      <c r="AI102" s="83" t="str">
        <f t="shared" si="57"/>
        <v/>
      </c>
      <c r="AJ102" s="15" t="str">
        <f t="shared" si="50"/>
        <v/>
      </c>
      <c r="AK102" s="43"/>
      <c r="AL102" s="16" t="str">
        <f t="shared" si="36"/>
        <v/>
      </c>
      <c r="AM102" s="17" t="str">
        <f>IF(AND(AH102&lt;&gt;"", AK102&lt;&gt;""), SUM(AK$59:AK102), "")</f>
        <v/>
      </c>
      <c r="AN102" s="16" t="str">
        <f t="shared" si="37"/>
        <v/>
      </c>
      <c r="AO102" s="14"/>
      <c r="AP102" s="19">
        <v>6</v>
      </c>
      <c r="AQ102" s="20">
        <v>37</v>
      </c>
      <c r="AR102" s="8"/>
      <c r="AS102" s="38"/>
      <c r="AT102" s="83" t="str">
        <f t="shared" si="58"/>
        <v/>
      </c>
      <c r="AU102" s="15" t="str">
        <f t="shared" si="51"/>
        <v/>
      </c>
      <c r="AV102" s="43"/>
      <c r="AW102" s="16" t="str">
        <f t="shared" si="38"/>
        <v/>
      </c>
      <c r="AX102" s="17" t="str">
        <f>IF(AND(AS102&lt;&gt;"", AV102&lt;&gt;""), SUM(AV$59:AV102), "")</f>
        <v/>
      </c>
      <c r="AY102" s="16" t="str">
        <f t="shared" si="39"/>
        <v/>
      </c>
      <c r="AZ102" s="14"/>
      <c r="BA102" s="19">
        <v>6</v>
      </c>
      <c r="BB102" s="20">
        <v>38</v>
      </c>
      <c r="BC102" s="8"/>
      <c r="BD102" s="38"/>
      <c r="BE102" s="83" t="str">
        <f t="shared" si="59"/>
        <v/>
      </c>
      <c r="BF102" s="15" t="str">
        <f t="shared" si="52"/>
        <v/>
      </c>
      <c r="BG102" s="43"/>
      <c r="BH102" s="16" t="str">
        <f t="shared" si="40"/>
        <v/>
      </c>
      <c r="BI102" s="17" t="str">
        <f>IF(AND(BD102&lt;&gt;"", BG102&lt;&gt;""), SUM(BG$59:BG102), "")</f>
        <v/>
      </c>
      <c r="BJ102" s="16" t="str">
        <f t="shared" si="41"/>
        <v/>
      </c>
      <c r="BK102" s="14"/>
      <c r="BL102" s="27">
        <v>6</v>
      </c>
      <c r="BM102" s="20">
        <v>40</v>
      </c>
      <c r="BN102" s="8"/>
      <c r="BO102" s="49">
        <v>38</v>
      </c>
      <c r="BP102" s="83">
        <f t="shared" si="60"/>
        <v>9</v>
      </c>
      <c r="BQ102" s="15">
        <f t="shared" si="53"/>
        <v>2.8</v>
      </c>
      <c r="BR102" s="52">
        <v>40</v>
      </c>
      <c r="BS102" s="16">
        <f t="shared" si="42"/>
        <v>1.0551305724083356E-2</v>
      </c>
      <c r="BT102" s="17">
        <f>IF(AND(BO102&lt;&gt;"", BR102&lt;&gt;""), SUM(BR$59:BR102), "")</f>
        <v>3705</v>
      </c>
      <c r="BU102" s="16">
        <f t="shared" si="43"/>
        <v>0.9773146926932208</v>
      </c>
      <c r="BV102" s="14"/>
      <c r="BW102" s="27">
        <v>6</v>
      </c>
      <c r="BX102" s="20">
        <v>40</v>
      </c>
      <c r="BY102" s="8"/>
      <c r="BZ102" s="49">
        <v>37</v>
      </c>
      <c r="CA102" s="83">
        <f t="shared" si="61"/>
        <v>9</v>
      </c>
      <c r="CB102" s="15">
        <f t="shared" si="54"/>
        <v>1.22</v>
      </c>
      <c r="CC102" s="52">
        <v>42</v>
      </c>
      <c r="CD102" s="16">
        <f t="shared" si="44"/>
        <v>9.8916627414036735E-3</v>
      </c>
      <c r="CE102" s="17">
        <f>IF(AND(BZ102&lt;&gt;"", CC102&lt;&gt;""), SUM(CC$59:CC102), "")</f>
        <v>4215</v>
      </c>
      <c r="CF102" s="16">
        <f t="shared" si="45"/>
        <v>0.99269901083372591</v>
      </c>
      <c r="CG102" s="14"/>
      <c r="CH102" s="27">
        <v>6</v>
      </c>
      <c r="CI102" s="20">
        <v>32</v>
      </c>
      <c r="CJ102" s="8"/>
      <c r="CK102" s="49"/>
      <c r="CL102" s="83" t="str">
        <f t="shared" si="62"/>
        <v/>
      </c>
      <c r="CM102" s="15" t="str">
        <f t="shared" si="55"/>
        <v/>
      </c>
      <c r="CN102" s="52"/>
      <c r="CO102" s="16" t="str">
        <f t="shared" si="46"/>
        <v/>
      </c>
      <c r="CP102" s="17" t="str">
        <f>IF(AND(CK102&lt;&gt;"", CN102&lt;&gt;""), SUM(CN$59:CN102), "")</f>
        <v/>
      </c>
      <c r="CQ102" s="16" t="str">
        <f t="shared" si="47"/>
        <v/>
      </c>
      <c r="CR102" s="14"/>
      <c r="CS102" s="27">
        <v>6</v>
      </c>
      <c r="CT102" s="20">
        <v>42</v>
      </c>
      <c r="CU102" s="8"/>
      <c r="CV102" s="49">
        <v>42</v>
      </c>
      <c r="CW102" s="83">
        <f t="shared" si="63"/>
        <v>7</v>
      </c>
      <c r="CX102" s="15">
        <f t="shared" si="56"/>
        <v>12.45</v>
      </c>
      <c r="CY102" s="52">
        <v>142</v>
      </c>
      <c r="CZ102" s="16">
        <f t="shared" si="48"/>
        <v>2.7032172092137825E-2</v>
      </c>
      <c r="DA102" s="17">
        <f>IF(AND(CV102&lt;&gt;"", CY102&lt;&gt;""), SUM(CY$59:CY102), "")</f>
        <v>4670</v>
      </c>
      <c r="DB102" s="16">
        <f t="shared" si="49"/>
        <v>0.88901580049495521</v>
      </c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</row>
    <row r="103" spans="1:180" ht="16" customHeight="1" x14ac:dyDescent="0.2">
      <c r="A103" s="1"/>
      <c r="B103" s="1"/>
      <c r="C103" s="1"/>
      <c r="D103" s="1"/>
      <c r="E103" s="1"/>
      <c r="F103" s="87"/>
      <c r="G103" s="69">
        <v>3</v>
      </c>
      <c r="H103" s="36"/>
      <c r="I103" s="86"/>
      <c r="J103" s="85">
        <v>3</v>
      </c>
      <c r="K103" s="70"/>
      <c r="L103" s="70"/>
      <c r="M103" s="70"/>
      <c r="N103"/>
      <c r="O103" s="42"/>
      <c r="P103" s="83" t="str">
        <f t="shared" si="70"/>
        <v/>
      </c>
      <c r="Q103" s="15" t="str">
        <f t="shared" si="68"/>
        <v/>
      </c>
      <c r="R103" s="42"/>
      <c r="S103" s="16" t="str">
        <f t="shared" si="64"/>
        <v/>
      </c>
      <c r="T103" s="17" t="str">
        <f>IF(AND(O103&lt;&gt;"", R103&lt;&gt;""), SUM(R$4:R103), "")</f>
        <v/>
      </c>
      <c r="U103" s="16" t="str">
        <f t="shared" si="65"/>
        <v/>
      </c>
      <c r="W103" s="42"/>
      <c r="X103" s="83" t="str">
        <f t="shared" si="71"/>
        <v/>
      </c>
      <c r="Y103" s="15" t="str">
        <f t="shared" si="69"/>
        <v/>
      </c>
      <c r="Z103" s="42"/>
      <c r="AA103" s="16" t="str">
        <f t="shared" si="66"/>
        <v/>
      </c>
      <c r="AB103" s="17" t="str">
        <f>IF(AND(W103&lt;&gt;"", Z103&lt;&gt;""), SUM(Z$4:Z103), "")</f>
        <v/>
      </c>
      <c r="AC103" s="16" t="str">
        <f t="shared" si="67"/>
        <v/>
      </c>
      <c r="AD103" s="1"/>
      <c r="AE103" s="19">
        <v>5</v>
      </c>
      <c r="AF103" s="20">
        <v>35</v>
      </c>
      <c r="AG103" s="8"/>
      <c r="AH103" s="38"/>
      <c r="AI103" s="83" t="str">
        <f t="shared" si="57"/>
        <v/>
      </c>
      <c r="AJ103" s="15" t="str">
        <f t="shared" si="50"/>
        <v/>
      </c>
      <c r="AK103" s="43"/>
      <c r="AL103" s="16" t="str">
        <f t="shared" si="36"/>
        <v/>
      </c>
      <c r="AM103" s="17" t="str">
        <f>IF(AND(AH103&lt;&gt;"", AK103&lt;&gt;""), SUM(AK$59:AK103), "")</f>
        <v/>
      </c>
      <c r="AN103" s="16" t="str">
        <f t="shared" si="37"/>
        <v/>
      </c>
      <c r="AO103" s="14"/>
      <c r="AP103" s="19">
        <v>5</v>
      </c>
      <c r="AQ103" s="20">
        <v>36</v>
      </c>
      <c r="AR103" s="8"/>
      <c r="AS103" s="38"/>
      <c r="AT103" s="83" t="str">
        <f t="shared" si="58"/>
        <v/>
      </c>
      <c r="AU103" s="15" t="str">
        <f t="shared" si="51"/>
        <v/>
      </c>
      <c r="AV103" s="43"/>
      <c r="AW103" s="16" t="str">
        <f t="shared" si="38"/>
        <v/>
      </c>
      <c r="AX103" s="17" t="str">
        <f>IF(AND(AS103&lt;&gt;"", AV103&lt;&gt;""), SUM(AV$59:AV103), "")</f>
        <v/>
      </c>
      <c r="AY103" s="16" t="str">
        <f t="shared" si="39"/>
        <v/>
      </c>
      <c r="AZ103" s="14"/>
      <c r="BA103" s="19">
        <v>5</v>
      </c>
      <c r="BB103" s="20">
        <v>37</v>
      </c>
      <c r="BC103" s="8"/>
      <c r="BD103" s="38"/>
      <c r="BE103" s="83" t="str">
        <f t="shared" si="59"/>
        <v/>
      </c>
      <c r="BF103" s="15" t="str">
        <f t="shared" si="52"/>
        <v/>
      </c>
      <c r="BG103" s="43"/>
      <c r="BH103" s="16" t="str">
        <f t="shared" si="40"/>
        <v/>
      </c>
      <c r="BI103" s="17" t="str">
        <f>IF(AND(BD103&lt;&gt;"", BG103&lt;&gt;""), SUM(BG$59:BG103), "")</f>
        <v/>
      </c>
      <c r="BJ103" s="16" t="str">
        <f t="shared" si="41"/>
        <v/>
      </c>
      <c r="BK103" s="14"/>
      <c r="BL103" s="27">
        <v>5</v>
      </c>
      <c r="BM103" s="20">
        <v>39</v>
      </c>
      <c r="BN103" s="8"/>
      <c r="BO103" s="49">
        <v>37</v>
      </c>
      <c r="BP103" s="83">
        <f t="shared" si="60"/>
        <v>9</v>
      </c>
      <c r="BQ103" s="15">
        <f t="shared" si="53"/>
        <v>1.91</v>
      </c>
      <c r="BR103" s="52">
        <v>27</v>
      </c>
      <c r="BS103" s="16">
        <f t="shared" si="42"/>
        <v>7.122131363756265E-3</v>
      </c>
      <c r="BT103" s="17">
        <f>IF(AND(BO103&lt;&gt;"", BR103&lt;&gt;""), SUM(BR$59:BR103), "")</f>
        <v>3732</v>
      </c>
      <c r="BU103" s="16">
        <f t="shared" si="43"/>
        <v>0.98443682405697708</v>
      </c>
      <c r="BV103" s="14"/>
      <c r="BW103" s="27">
        <v>5</v>
      </c>
      <c r="BX103" s="20">
        <v>40</v>
      </c>
      <c r="BY103" s="8"/>
      <c r="BZ103" s="49">
        <v>35</v>
      </c>
      <c r="CA103" s="83">
        <f t="shared" si="61"/>
        <v>9</v>
      </c>
      <c r="CB103" s="15">
        <f t="shared" si="54"/>
        <v>0.37</v>
      </c>
      <c r="CC103" s="52">
        <v>31</v>
      </c>
      <c r="CD103" s="16">
        <f t="shared" si="44"/>
        <v>7.3009891662741402E-3</v>
      </c>
      <c r="CE103" s="17">
        <f>IF(AND(BZ103&lt;&gt;"", CC103&lt;&gt;""), SUM(CC$59:CC103), "")</f>
        <v>4246</v>
      </c>
      <c r="CF103" s="16">
        <f t="shared" si="45"/>
        <v>1</v>
      </c>
      <c r="CG103" s="14"/>
      <c r="CH103" s="27">
        <v>5</v>
      </c>
      <c r="CI103" s="20">
        <v>32</v>
      </c>
      <c r="CJ103" s="8"/>
      <c r="CK103" s="49"/>
      <c r="CL103" s="83" t="str">
        <f t="shared" si="62"/>
        <v/>
      </c>
      <c r="CM103" s="15" t="str">
        <f t="shared" si="55"/>
        <v/>
      </c>
      <c r="CN103" s="52"/>
      <c r="CO103" s="16" t="str">
        <f t="shared" si="46"/>
        <v/>
      </c>
      <c r="CP103" s="17" t="str">
        <f>IF(AND(CK103&lt;&gt;"", CN103&lt;&gt;""), SUM(CN$59:CN103), "")</f>
        <v/>
      </c>
      <c r="CQ103" s="16" t="str">
        <f t="shared" si="47"/>
        <v/>
      </c>
      <c r="CR103" s="14"/>
      <c r="CS103" s="27">
        <v>5</v>
      </c>
      <c r="CT103" s="20">
        <v>41</v>
      </c>
      <c r="CU103" s="8"/>
      <c r="CV103" s="49">
        <v>41</v>
      </c>
      <c r="CW103" s="83">
        <f t="shared" si="63"/>
        <v>7</v>
      </c>
      <c r="CX103" s="15">
        <f t="shared" si="56"/>
        <v>8.32</v>
      </c>
      <c r="CY103" s="52">
        <v>292</v>
      </c>
      <c r="CZ103" s="16">
        <f t="shared" si="48"/>
        <v>5.5587283457072152E-2</v>
      </c>
      <c r="DA103" s="17">
        <f>IF(AND(CV103&lt;&gt;"", CY103&lt;&gt;""), SUM(CY$59:CY103), "")</f>
        <v>4962</v>
      </c>
      <c r="DB103" s="16">
        <f t="shared" si="49"/>
        <v>0.94460308395202741</v>
      </c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</row>
    <row r="104" spans="1:180" ht="16" customHeight="1" x14ac:dyDescent="0.2">
      <c r="A104" s="1"/>
      <c r="B104" s="1"/>
      <c r="C104" s="1"/>
      <c r="D104" s="1"/>
      <c r="E104" s="1"/>
      <c r="F104" s="87"/>
      <c r="G104" s="69">
        <v>4</v>
      </c>
      <c r="H104" s="36"/>
      <c r="I104" s="86"/>
      <c r="J104" s="85">
        <v>4</v>
      </c>
      <c r="K104" s="70"/>
      <c r="L104" s="70"/>
      <c r="M104" s="70"/>
      <c r="N104"/>
      <c r="O104" s="42"/>
      <c r="P104" s="83" t="str">
        <f t="shared" si="70"/>
        <v/>
      </c>
      <c r="Q104" s="15" t="str">
        <f t="shared" si="68"/>
        <v/>
      </c>
      <c r="R104" s="42"/>
      <c r="S104" s="16" t="str">
        <f t="shared" si="64"/>
        <v/>
      </c>
      <c r="T104" s="17" t="str">
        <f>IF(AND(O104&lt;&gt;"", R104&lt;&gt;""), SUM(R$4:R104), "")</f>
        <v/>
      </c>
      <c r="U104" s="16" t="str">
        <f t="shared" si="65"/>
        <v/>
      </c>
      <c r="W104" s="42"/>
      <c r="X104" s="83" t="str">
        <f t="shared" si="71"/>
        <v/>
      </c>
      <c r="Y104" s="15" t="str">
        <f t="shared" si="69"/>
        <v/>
      </c>
      <c r="Z104" s="42"/>
      <c r="AA104" s="16" t="str">
        <f t="shared" si="66"/>
        <v/>
      </c>
      <c r="AB104" s="17" t="str">
        <f>IF(AND(W104&lt;&gt;"", Z104&lt;&gt;""), SUM(Z$4:Z104), "")</f>
        <v/>
      </c>
      <c r="AC104" s="16" t="str">
        <f t="shared" si="67"/>
        <v/>
      </c>
      <c r="AD104" s="1"/>
      <c r="AE104" s="19">
        <v>4</v>
      </c>
      <c r="AF104" s="20">
        <v>34</v>
      </c>
      <c r="AG104" s="8"/>
      <c r="AH104" s="38"/>
      <c r="AI104" s="83" t="str">
        <f t="shared" si="57"/>
        <v/>
      </c>
      <c r="AJ104" s="15" t="str">
        <f t="shared" si="50"/>
        <v/>
      </c>
      <c r="AK104" s="43"/>
      <c r="AL104" s="16" t="str">
        <f t="shared" si="36"/>
        <v/>
      </c>
      <c r="AM104" s="17" t="str">
        <f>IF(AND(AH104&lt;&gt;"", AK104&lt;&gt;""), SUM(AK$59:AK104), "")</f>
        <v/>
      </c>
      <c r="AN104" s="16" t="str">
        <f t="shared" si="37"/>
        <v/>
      </c>
      <c r="AO104" s="14"/>
      <c r="AP104" s="19">
        <v>4</v>
      </c>
      <c r="AQ104" s="20">
        <v>35</v>
      </c>
      <c r="AR104" s="8"/>
      <c r="AS104" s="38"/>
      <c r="AT104" s="83" t="str">
        <f t="shared" si="58"/>
        <v/>
      </c>
      <c r="AU104" s="15" t="str">
        <f t="shared" si="51"/>
        <v/>
      </c>
      <c r="AV104" s="43"/>
      <c r="AW104" s="16" t="str">
        <f t="shared" si="38"/>
        <v/>
      </c>
      <c r="AX104" s="17" t="str">
        <f>IF(AND(AS104&lt;&gt;"", AV104&lt;&gt;""), SUM(AV$59:AV104), "")</f>
        <v/>
      </c>
      <c r="AY104" s="16" t="str">
        <f t="shared" si="39"/>
        <v/>
      </c>
      <c r="AZ104" s="14"/>
      <c r="BA104" s="19">
        <v>4</v>
      </c>
      <c r="BB104" s="20">
        <v>36</v>
      </c>
      <c r="BC104" s="8"/>
      <c r="BD104" s="38"/>
      <c r="BE104" s="83" t="str">
        <f t="shared" si="59"/>
        <v/>
      </c>
      <c r="BF104" s="15" t="str">
        <f t="shared" si="52"/>
        <v/>
      </c>
      <c r="BG104" s="43"/>
      <c r="BH104" s="16" t="str">
        <f t="shared" si="40"/>
        <v/>
      </c>
      <c r="BI104" s="17" t="str">
        <f>IF(AND(BD104&lt;&gt;"", BG104&lt;&gt;""), SUM(BG$59:BG104), "")</f>
        <v/>
      </c>
      <c r="BJ104" s="16" t="str">
        <f t="shared" si="41"/>
        <v/>
      </c>
      <c r="BK104" s="14"/>
      <c r="BL104" s="27">
        <v>4</v>
      </c>
      <c r="BM104" s="20">
        <v>38</v>
      </c>
      <c r="BN104" s="8"/>
      <c r="BO104" s="49">
        <v>36</v>
      </c>
      <c r="BP104" s="83">
        <f t="shared" si="60"/>
        <v>9</v>
      </c>
      <c r="BQ104" s="15">
        <f t="shared" si="53"/>
        <v>1.24</v>
      </c>
      <c r="BR104" s="52">
        <v>24</v>
      </c>
      <c r="BS104" s="16">
        <f t="shared" si="42"/>
        <v>6.3307834344500128E-3</v>
      </c>
      <c r="BT104" s="17">
        <f>IF(AND(BO104&lt;&gt;"", BR104&lt;&gt;""), SUM(BR$59:BR104), "")</f>
        <v>3756</v>
      </c>
      <c r="BU104" s="16">
        <f t="shared" si="43"/>
        <v>0.99076760749142712</v>
      </c>
      <c r="BV104" s="14"/>
      <c r="BW104" s="27">
        <v>4</v>
      </c>
      <c r="BX104" s="20">
        <v>39</v>
      </c>
      <c r="BY104" s="8"/>
      <c r="BZ104" s="38"/>
      <c r="CA104" s="83" t="str">
        <f t="shared" si="61"/>
        <v/>
      </c>
      <c r="CB104" s="15" t="str">
        <f t="shared" si="54"/>
        <v/>
      </c>
      <c r="CC104" s="43"/>
      <c r="CD104" s="16" t="str">
        <f t="shared" si="44"/>
        <v/>
      </c>
      <c r="CE104" s="17" t="str">
        <f>IF(AND(BZ104&lt;&gt;"", CC104&lt;&gt;""), SUM(CC$59:CC104), "")</f>
        <v/>
      </c>
      <c r="CF104" s="16" t="str">
        <f t="shared" si="45"/>
        <v/>
      </c>
      <c r="CG104" s="14"/>
      <c r="CH104" s="27">
        <v>4</v>
      </c>
      <c r="CI104" s="20">
        <v>31</v>
      </c>
      <c r="CJ104" s="8"/>
      <c r="CK104" s="49"/>
      <c r="CL104" s="83" t="str">
        <f t="shared" si="62"/>
        <v/>
      </c>
      <c r="CM104" s="15" t="str">
        <f t="shared" si="55"/>
        <v/>
      </c>
      <c r="CN104" s="52"/>
      <c r="CO104" s="16" t="str">
        <f t="shared" si="46"/>
        <v/>
      </c>
      <c r="CP104" s="17" t="str">
        <f>IF(AND(CK104&lt;&gt;"", CN104&lt;&gt;""), SUM(CN$59:CN104), "")</f>
        <v/>
      </c>
      <c r="CQ104" s="16" t="str">
        <f t="shared" si="47"/>
        <v/>
      </c>
      <c r="CR104" s="14"/>
      <c r="CS104" s="27">
        <v>4</v>
      </c>
      <c r="CT104" s="20">
        <v>40</v>
      </c>
      <c r="CU104" s="8"/>
      <c r="CV104" s="49">
        <v>40</v>
      </c>
      <c r="CW104" s="83">
        <f t="shared" si="63"/>
        <v>8</v>
      </c>
      <c r="CX104" s="15">
        <f t="shared" si="56"/>
        <v>4.71</v>
      </c>
      <c r="CY104" s="52">
        <v>87</v>
      </c>
      <c r="CZ104" s="16">
        <f t="shared" si="48"/>
        <v>1.6561964591661909E-2</v>
      </c>
      <c r="DA104" s="17">
        <f>IF(AND(CV104&lt;&gt;"", CY104&lt;&gt;""), SUM(CY$59:CY104), "")</f>
        <v>5049</v>
      </c>
      <c r="DB104" s="16">
        <f t="shared" si="49"/>
        <v>0.96116504854368934</v>
      </c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</row>
    <row r="105" spans="1:180" ht="16" customHeight="1" x14ac:dyDescent="0.2">
      <c r="E105" s="1"/>
      <c r="F105" s="87"/>
      <c r="G105" s="69">
        <v>5</v>
      </c>
      <c r="H105" s="36"/>
      <c r="I105" s="86"/>
      <c r="J105" s="85">
        <v>5</v>
      </c>
      <c r="K105" s="70"/>
      <c r="L105" s="70"/>
      <c r="M105" s="70"/>
      <c r="N105"/>
      <c r="O105" s="42"/>
      <c r="P105" s="83" t="str">
        <f t="shared" si="70"/>
        <v/>
      </c>
      <c r="Q105" s="15" t="str">
        <f t="shared" si="68"/>
        <v/>
      </c>
      <c r="R105" s="42"/>
      <c r="S105" s="16" t="str">
        <f t="shared" si="64"/>
        <v/>
      </c>
      <c r="T105" s="17" t="str">
        <f>IF(AND(O105&lt;&gt;"", R105&lt;&gt;""), SUM(R$4:R105), "")</f>
        <v/>
      </c>
      <c r="U105" s="16" t="str">
        <f t="shared" si="65"/>
        <v/>
      </c>
      <c r="W105" s="42"/>
      <c r="X105" s="83" t="str">
        <f t="shared" si="71"/>
        <v/>
      </c>
      <c r="Y105" s="15" t="str">
        <f t="shared" si="69"/>
        <v/>
      </c>
      <c r="Z105" s="42"/>
      <c r="AA105" s="16" t="str">
        <f t="shared" si="66"/>
        <v/>
      </c>
      <c r="AB105" s="17" t="str">
        <f>IF(AND(W105&lt;&gt;"", Z105&lt;&gt;""), SUM(Z$4:Z105), "")</f>
        <v/>
      </c>
      <c r="AC105" s="16" t="str">
        <f t="shared" si="67"/>
        <v/>
      </c>
      <c r="AD105" s="1"/>
      <c r="AE105" s="19">
        <v>3</v>
      </c>
      <c r="AF105" s="20">
        <v>33</v>
      </c>
      <c r="AG105" s="8"/>
      <c r="AH105" s="38"/>
      <c r="AI105" s="83" t="str">
        <f t="shared" si="57"/>
        <v/>
      </c>
      <c r="AJ105" s="15" t="str">
        <f t="shared" si="50"/>
        <v/>
      </c>
      <c r="AK105" s="43"/>
      <c r="AL105" s="16" t="str">
        <f t="shared" si="36"/>
        <v/>
      </c>
      <c r="AM105" s="17" t="str">
        <f>IF(AND(AH105&lt;&gt;"", AK105&lt;&gt;""), SUM(AK$59:AK105), "")</f>
        <v/>
      </c>
      <c r="AN105" s="16" t="str">
        <f t="shared" si="37"/>
        <v/>
      </c>
      <c r="AO105" s="14"/>
      <c r="AP105" s="19">
        <v>3</v>
      </c>
      <c r="AQ105" s="20">
        <v>34</v>
      </c>
      <c r="AR105" s="8"/>
      <c r="AS105" s="38"/>
      <c r="AT105" s="83" t="str">
        <f t="shared" si="58"/>
        <v/>
      </c>
      <c r="AU105" s="15" t="str">
        <f t="shared" si="51"/>
        <v/>
      </c>
      <c r="AV105" s="43"/>
      <c r="AW105" s="16" t="str">
        <f t="shared" si="38"/>
        <v/>
      </c>
      <c r="AX105" s="17" t="str">
        <f>IF(AND(AS105&lt;&gt;"", AV105&lt;&gt;""), SUM(AV$59:AV105), "")</f>
        <v/>
      </c>
      <c r="AY105" s="16" t="str">
        <f t="shared" si="39"/>
        <v/>
      </c>
      <c r="AZ105" s="14"/>
      <c r="BA105" s="19">
        <v>3</v>
      </c>
      <c r="BB105" s="20">
        <v>36</v>
      </c>
      <c r="BC105" s="8"/>
      <c r="BD105" s="38"/>
      <c r="BE105" s="83" t="str">
        <f t="shared" si="59"/>
        <v/>
      </c>
      <c r="BF105" s="15" t="str">
        <f t="shared" si="52"/>
        <v/>
      </c>
      <c r="BG105" s="43"/>
      <c r="BH105" s="16" t="str">
        <f t="shared" si="40"/>
        <v/>
      </c>
      <c r="BI105" s="17" t="str">
        <f>IF(AND(BD105&lt;&gt;"", BG105&lt;&gt;""), SUM(BG$59:BG105), "")</f>
        <v/>
      </c>
      <c r="BJ105" s="16" t="str">
        <f t="shared" si="41"/>
        <v/>
      </c>
      <c r="BK105" s="14"/>
      <c r="BL105" s="27">
        <v>3</v>
      </c>
      <c r="BM105" s="20">
        <v>37</v>
      </c>
      <c r="BN105" s="8"/>
      <c r="BO105" s="53">
        <v>34</v>
      </c>
      <c r="BP105" s="83">
        <f t="shared" si="60"/>
        <v>9</v>
      </c>
      <c r="BQ105" s="15">
        <f t="shared" si="53"/>
        <v>0.46</v>
      </c>
      <c r="BR105" s="54">
        <v>35</v>
      </c>
      <c r="BS105" s="16">
        <f t="shared" si="42"/>
        <v>9.2323925085729362E-3</v>
      </c>
      <c r="BT105" s="17">
        <f>IF(AND(BO105&lt;&gt;"", BR105&lt;&gt;""), SUM(BR$59:BR105), "")</f>
        <v>3791</v>
      </c>
      <c r="BU105" s="16">
        <f t="shared" si="43"/>
        <v>1</v>
      </c>
      <c r="BV105" s="14"/>
      <c r="BW105" s="27">
        <v>3</v>
      </c>
      <c r="BX105" s="20">
        <v>38</v>
      </c>
      <c r="BY105" s="8"/>
      <c r="BZ105" s="38"/>
      <c r="CA105" s="83" t="str">
        <f t="shared" si="61"/>
        <v/>
      </c>
      <c r="CB105" s="15" t="str">
        <f t="shared" si="54"/>
        <v/>
      </c>
      <c r="CC105" s="43"/>
      <c r="CD105" s="16" t="str">
        <f t="shared" si="44"/>
        <v/>
      </c>
      <c r="CE105" s="17" t="str">
        <f>IF(AND(BZ105&lt;&gt;"", CC105&lt;&gt;""), SUM(CC$59:CC105), "")</f>
        <v/>
      </c>
      <c r="CF105" s="16" t="str">
        <f t="shared" si="45"/>
        <v/>
      </c>
      <c r="CG105" s="14"/>
      <c r="CH105" s="27">
        <v>3</v>
      </c>
      <c r="CI105" s="20">
        <v>30</v>
      </c>
      <c r="CJ105" s="8"/>
      <c r="CK105" s="49"/>
      <c r="CL105" s="83" t="str">
        <f t="shared" si="62"/>
        <v/>
      </c>
      <c r="CM105" s="15" t="str">
        <f t="shared" si="55"/>
        <v/>
      </c>
      <c r="CN105" s="52"/>
      <c r="CO105" s="16" t="str">
        <f t="shared" si="46"/>
        <v/>
      </c>
      <c r="CP105" s="17" t="str">
        <f>IF(AND(CK105&lt;&gt;"", CN105&lt;&gt;""), SUM(CN$59:CN105), "")</f>
        <v/>
      </c>
      <c r="CQ105" s="16" t="str">
        <f t="shared" si="47"/>
        <v/>
      </c>
      <c r="CR105" s="14"/>
      <c r="CS105" s="27">
        <v>3</v>
      </c>
      <c r="CT105" s="20">
        <v>39</v>
      </c>
      <c r="CU105" s="8"/>
      <c r="CV105" s="49">
        <v>39</v>
      </c>
      <c r="CW105" s="83">
        <f t="shared" si="63"/>
        <v>9</v>
      </c>
      <c r="CX105" s="15">
        <f t="shared" si="56"/>
        <v>3.07</v>
      </c>
      <c r="CY105" s="52">
        <v>85</v>
      </c>
      <c r="CZ105" s="16">
        <f t="shared" si="48"/>
        <v>1.6181229773462782E-2</v>
      </c>
      <c r="DA105" s="17">
        <f>IF(AND(CV105&lt;&gt;"", CY105&lt;&gt;""), SUM(CY$59:CY105), "")</f>
        <v>5134</v>
      </c>
      <c r="DB105" s="16">
        <f t="shared" si="49"/>
        <v>0.97734627831715215</v>
      </c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</row>
    <row r="106" spans="1:180" ht="16" customHeight="1" x14ac:dyDescent="0.2">
      <c r="E106" s="1"/>
      <c r="F106" s="87"/>
      <c r="G106" s="69">
        <v>6</v>
      </c>
      <c r="H106" s="36"/>
      <c r="I106" s="86"/>
      <c r="J106" s="85">
        <v>6</v>
      </c>
      <c r="K106" s="70"/>
      <c r="L106" s="70"/>
      <c r="M106" s="70"/>
      <c r="N106"/>
      <c r="O106" s="42"/>
      <c r="P106" s="83" t="str">
        <f t="shared" si="70"/>
        <v/>
      </c>
      <c r="Q106" s="15" t="str">
        <f t="shared" si="68"/>
        <v/>
      </c>
      <c r="R106" s="42"/>
      <c r="S106" s="16" t="str">
        <f t="shared" si="64"/>
        <v/>
      </c>
      <c r="T106" s="17" t="str">
        <f>IF(AND(O106&lt;&gt;"", R106&lt;&gt;""), SUM(R$4:R106), "")</f>
        <v/>
      </c>
      <c r="U106" s="16" t="str">
        <f t="shared" si="65"/>
        <v/>
      </c>
      <c r="W106" s="42"/>
      <c r="X106" s="83" t="str">
        <f t="shared" si="71"/>
        <v/>
      </c>
      <c r="Y106" s="15" t="str">
        <f t="shared" si="69"/>
        <v/>
      </c>
      <c r="Z106" s="42"/>
      <c r="AA106" s="16" t="str">
        <f t="shared" si="66"/>
        <v/>
      </c>
      <c r="AB106" s="17" t="str">
        <f>IF(AND(W106&lt;&gt;"", Z106&lt;&gt;""), SUM(Z$4:Z106), "")</f>
        <v/>
      </c>
      <c r="AC106" s="16" t="str">
        <f t="shared" si="67"/>
        <v/>
      </c>
      <c r="AD106" s="1"/>
      <c r="AE106" s="19">
        <v>2</v>
      </c>
      <c r="AF106" s="20">
        <v>33</v>
      </c>
      <c r="AG106" s="8"/>
      <c r="AH106" s="38"/>
      <c r="AI106" s="83" t="str">
        <f t="shared" si="57"/>
        <v/>
      </c>
      <c r="AJ106" s="15" t="str">
        <f t="shared" si="50"/>
        <v/>
      </c>
      <c r="AK106" s="43"/>
      <c r="AL106" s="16" t="str">
        <f t="shared" si="36"/>
        <v/>
      </c>
      <c r="AM106" s="17" t="str">
        <f>IF(AND(AH106&lt;&gt;"", AK106&lt;&gt;""), SUM(AK$59:AK106), "")</f>
        <v/>
      </c>
      <c r="AN106" s="16" t="str">
        <f t="shared" si="37"/>
        <v/>
      </c>
      <c r="AO106" s="14"/>
      <c r="AP106" s="19">
        <v>2</v>
      </c>
      <c r="AQ106" s="20">
        <v>34</v>
      </c>
      <c r="AR106" s="8"/>
      <c r="AS106" s="38"/>
      <c r="AT106" s="83" t="str">
        <f t="shared" si="58"/>
        <v/>
      </c>
      <c r="AU106" s="15" t="str">
        <f t="shared" si="51"/>
        <v/>
      </c>
      <c r="AV106" s="43"/>
      <c r="AW106" s="16" t="str">
        <f t="shared" si="38"/>
        <v/>
      </c>
      <c r="AX106" s="17" t="str">
        <f>IF(AND(AS106&lt;&gt;"", AV106&lt;&gt;""), SUM(AV$59:AV106), "")</f>
        <v/>
      </c>
      <c r="AY106" s="16" t="str">
        <f t="shared" si="39"/>
        <v/>
      </c>
      <c r="AZ106" s="14"/>
      <c r="BA106" s="19">
        <v>2</v>
      </c>
      <c r="BB106" s="20">
        <v>35</v>
      </c>
      <c r="BC106" s="8"/>
      <c r="BD106" s="38"/>
      <c r="BE106" s="83" t="str">
        <f t="shared" si="59"/>
        <v/>
      </c>
      <c r="BF106" s="15" t="str">
        <f t="shared" si="52"/>
        <v/>
      </c>
      <c r="BG106" s="43"/>
      <c r="BH106" s="16" t="str">
        <f t="shared" si="40"/>
        <v/>
      </c>
      <c r="BI106" s="17" t="str">
        <f>IF(AND(BD106&lt;&gt;"", BG106&lt;&gt;""), SUM(BG$59:BG106), "")</f>
        <v/>
      </c>
      <c r="BJ106" s="16" t="str">
        <f t="shared" si="41"/>
        <v/>
      </c>
      <c r="BK106" s="14"/>
      <c r="BL106" s="27">
        <v>2</v>
      </c>
      <c r="BM106" s="32">
        <v>36</v>
      </c>
      <c r="BN106" s="8"/>
      <c r="BO106" s="38"/>
      <c r="BP106" s="83" t="str">
        <f t="shared" si="60"/>
        <v/>
      </c>
      <c r="BQ106" s="15" t="str">
        <f t="shared" si="53"/>
        <v/>
      </c>
      <c r="BR106" s="43"/>
      <c r="BS106" s="16" t="str">
        <f t="shared" si="42"/>
        <v/>
      </c>
      <c r="BT106" s="17" t="str">
        <f>IF(AND(BO106&lt;&gt;"", BR106&lt;&gt;""), SUM(BR$59:BR106), "")</f>
        <v/>
      </c>
      <c r="BU106" s="16" t="str">
        <f t="shared" si="43"/>
        <v/>
      </c>
      <c r="BV106" s="14"/>
      <c r="BW106" s="27">
        <v>2</v>
      </c>
      <c r="BX106" s="32">
        <v>37</v>
      </c>
      <c r="BY106" s="8"/>
      <c r="BZ106" s="38"/>
      <c r="CA106" s="83" t="str">
        <f t="shared" si="61"/>
        <v/>
      </c>
      <c r="CB106" s="15" t="str">
        <f t="shared" si="54"/>
        <v/>
      </c>
      <c r="CC106" s="43"/>
      <c r="CD106" s="16" t="str">
        <f t="shared" si="44"/>
        <v/>
      </c>
      <c r="CE106" s="17" t="str">
        <f>IF(AND(BZ106&lt;&gt;"", CC106&lt;&gt;""), SUM(CC$59:CC106), "")</f>
        <v/>
      </c>
      <c r="CF106" s="16" t="str">
        <f t="shared" si="45"/>
        <v/>
      </c>
      <c r="CG106" s="14"/>
      <c r="CH106" s="27">
        <v>2</v>
      </c>
      <c r="CI106" s="32">
        <v>29</v>
      </c>
      <c r="CJ106" s="8"/>
      <c r="CK106" s="49"/>
      <c r="CL106" s="83" t="str">
        <f t="shared" si="62"/>
        <v/>
      </c>
      <c r="CM106" s="15" t="str">
        <f t="shared" si="55"/>
        <v/>
      </c>
      <c r="CN106" s="52"/>
      <c r="CO106" s="16" t="str">
        <f t="shared" si="46"/>
        <v/>
      </c>
      <c r="CP106" s="17" t="str">
        <f>IF(AND(CK106&lt;&gt;"", CN106&lt;&gt;""), SUM(CN$59:CN106), "")</f>
        <v/>
      </c>
      <c r="CQ106" s="16" t="str">
        <f t="shared" si="47"/>
        <v/>
      </c>
      <c r="CR106" s="14"/>
      <c r="CS106" s="27">
        <v>2</v>
      </c>
      <c r="CT106" s="32">
        <v>38</v>
      </c>
      <c r="CU106" s="8"/>
      <c r="CV106" s="49">
        <v>38</v>
      </c>
      <c r="CW106" s="83">
        <f t="shared" si="63"/>
        <v>9</v>
      </c>
      <c r="CX106" s="15">
        <f t="shared" si="56"/>
        <v>1.61</v>
      </c>
      <c r="CY106" s="52">
        <v>69</v>
      </c>
      <c r="CZ106" s="16">
        <f t="shared" si="48"/>
        <v>1.3135351227869789E-2</v>
      </c>
      <c r="DA106" s="17">
        <f>IF(AND(CV106&lt;&gt;"", CY106&lt;&gt;""), SUM(CY$59:CY106), "")</f>
        <v>5203</v>
      </c>
      <c r="DB106" s="16">
        <f t="shared" si="49"/>
        <v>0.99048162954502195</v>
      </c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</row>
    <row r="107" spans="1:180" ht="16" customHeight="1" x14ac:dyDescent="0.2">
      <c r="E107" s="1"/>
      <c r="F107" s="87"/>
      <c r="G107" s="69">
        <v>7</v>
      </c>
      <c r="H107" s="36"/>
      <c r="I107" s="86"/>
      <c r="J107" s="85">
        <v>7</v>
      </c>
      <c r="K107" s="70"/>
      <c r="L107" s="70"/>
      <c r="M107" s="70"/>
      <c r="N107"/>
      <c r="O107" s="42"/>
      <c r="P107" s="83" t="str">
        <f t="shared" si="70"/>
        <v/>
      </c>
      <c r="Q107" s="15" t="str">
        <f t="shared" si="68"/>
        <v/>
      </c>
      <c r="R107" s="42"/>
      <c r="S107" s="16" t="str">
        <f t="shared" si="64"/>
        <v/>
      </c>
      <c r="T107" s="17" t="str">
        <f>IF(AND(O107&lt;&gt;"", R107&lt;&gt;""), SUM(R$4:R107), "")</f>
        <v/>
      </c>
      <c r="U107" s="16" t="str">
        <f t="shared" si="65"/>
        <v/>
      </c>
      <c r="W107" s="42"/>
      <c r="X107" s="83" t="str">
        <f t="shared" si="71"/>
        <v/>
      </c>
      <c r="Y107" s="15" t="str">
        <f t="shared" si="69"/>
        <v/>
      </c>
      <c r="Z107" s="42"/>
      <c r="AA107" s="16" t="str">
        <f t="shared" si="66"/>
        <v/>
      </c>
      <c r="AB107" s="17" t="str">
        <f>IF(AND(W107&lt;&gt;"", Z107&lt;&gt;""), SUM(Z$4:Z107), "")</f>
        <v/>
      </c>
      <c r="AC107" s="16" t="str">
        <f t="shared" si="67"/>
        <v/>
      </c>
      <c r="AD107" s="1"/>
      <c r="AE107" s="19">
        <v>0</v>
      </c>
      <c r="AF107" s="20">
        <v>31</v>
      </c>
      <c r="AG107" s="8"/>
      <c r="AH107" s="38"/>
      <c r="AI107" s="83" t="str">
        <f t="shared" si="57"/>
        <v/>
      </c>
      <c r="AJ107" s="15" t="str">
        <f t="shared" si="50"/>
        <v/>
      </c>
      <c r="AK107" s="43"/>
      <c r="AL107" s="16" t="str">
        <f t="shared" si="36"/>
        <v/>
      </c>
      <c r="AM107" s="17" t="str">
        <f>IF(AND(AH107&lt;&gt;"", AK107&lt;&gt;""), SUM(AK$59:AK107), "")</f>
        <v/>
      </c>
      <c r="AN107" s="16" t="str">
        <f t="shared" si="37"/>
        <v/>
      </c>
      <c r="AO107" s="9"/>
      <c r="AP107" s="19">
        <v>0</v>
      </c>
      <c r="AQ107" s="20">
        <v>32</v>
      </c>
      <c r="AR107" s="8"/>
      <c r="AS107" s="38"/>
      <c r="AT107" s="83" t="str">
        <f t="shared" si="58"/>
        <v/>
      </c>
      <c r="AU107" s="15" t="str">
        <f t="shared" si="51"/>
        <v/>
      </c>
      <c r="AV107" s="43"/>
      <c r="AW107" s="16" t="str">
        <f t="shared" si="38"/>
        <v/>
      </c>
      <c r="AX107" s="17" t="str">
        <f>IF(AND(AS107&lt;&gt;"", AV107&lt;&gt;""), SUM(AV$59:AV107), "")</f>
        <v/>
      </c>
      <c r="AY107" s="16" t="str">
        <f t="shared" si="39"/>
        <v/>
      </c>
      <c r="AZ107" s="9"/>
      <c r="BA107" s="19">
        <v>0</v>
      </c>
      <c r="BB107" s="20">
        <v>33</v>
      </c>
      <c r="BC107" s="8"/>
      <c r="BD107" s="38"/>
      <c r="BE107" s="83" t="str">
        <f t="shared" si="59"/>
        <v/>
      </c>
      <c r="BF107" s="15" t="str">
        <f t="shared" si="52"/>
        <v/>
      </c>
      <c r="BG107" s="43"/>
      <c r="BH107" s="16" t="str">
        <f t="shared" si="40"/>
        <v/>
      </c>
      <c r="BI107" s="17" t="str">
        <f>IF(AND(BD107&lt;&gt;"", BG107&lt;&gt;""), SUM(BG$59:BG107), "")</f>
        <v/>
      </c>
      <c r="BJ107" s="16" t="str">
        <f t="shared" si="41"/>
        <v/>
      </c>
      <c r="BK107" s="9"/>
      <c r="BL107" s="27">
        <v>0</v>
      </c>
      <c r="BM107" s="20">
        <v>34</v>
      </c>
      <c r="BN107" s="8"/>
      <c r="BO107" s="38"/>
      <c r="BP107" s="83" t="str">
        <f t="shared" si="60"/>
        <v/>
      </c>
      <c r="BQ107" s="15" t="str">
        <f t="shared" si="53"/>
        <v/>
      </c>
      <c r="BR107" s="43"/>
      <c r="BS107" s="16" t="str">
        <f t="shared" si="42"/>
        <v/>
      </c>
      <c r="BT107" s="17" t="str">
        <f>IF(AND(BO107&lt;&gt;"", BR107&lt;&gt;""), SUM(BR$59:BR107), "")</f>
        <v/>
      </c>
      <c r="BU107" s="16" t="str">
        <f t="shared" si="43"/>
        <v/>
      </c>
      <c r="BV107" s="9"/>
      <c r="BW107" s="27">
        <v>0</v>
      </c>
      <c r="BX107" s="20">
        <v>35</v>
      </c>
      <c r="BY107" s="8"/>
      <c r="BZ107" s="38"/>
      <c r="CA107" s="83" t="str">
        <f t="shared" si="61"/>
        <v/>
      </c>
      <c r="CB107" s="15" t="str">
        <f t="shared" si="54"/>
        <v/>
      </c>
      <c r="CC107" s="43"/>
      <c r="CD107" s="16" t="str">
        <f t="shared" si="44"/>
        <v/>
      </c>
      <c r="CE107" s="17" t="str">
        <f>IF(AND(BZ107&lt;&gt;"", CC107&lt;&gt;""), SUM(CC$59:CC107), "")</f>
        <v/>
      </c>
      <c r="CF107" s="16" t="str">
        <f t="shared" si="45"/>
        <v/>
      </c>
      <c r="CG107" s="9"/>
      <c r="CH107" s="27">
        <v>0</v>
      </c>
      <c r="CI107" s="20">
        <v>27</v>
      </c>
      <c r="CJ107" s="8"/>
      <c r="CK107" s="49"/>
      <c r="CL107" s="83" t="str">
        <f t="shared" si="62"/>
        <v/>
      </c>
      <c r="CM107" s="15" t="str">
        <f t="shared" si="55"/>
        <v/>
      </c>
      <c r="CN107" s="52"/>
      <c r="CO107" s="16" t="str">
        <f t="shared" si="46"/>
        <v/>
      </c>
      <c r="CP107" s="17" t="str">
        <f>IF(AND(CK107&lt;&gt;"", CN107&lt;&gt;""), SUM(CN$59:CN107), "")</f>
        <v/>
      </c>
      <c r="CQ107" s="16" t="str">
        <f t="shared" si="47"/>
        <v/>
      </c>
      <c r="CR107" s="9"/>
      <c r="CS107" s="27">
        <v>0</v>
      </c>
      <c r="CT107" s="20">
        <v>36</v>
      </c>
      <c r="CU107" s="8"/>
      <c r="CV107" s="49">
        <v>36</v>
      </c>
      <c r="CW107" s="83">
        <f t="shared" si="63"/>
        <v>9</v>
      </c>
      <c r="CX107" s="15">
        <f t="shared" si="56"/>
        <v>0.48</v>
      </c>
      <c r="CY107" s="52">
        <v>50</v>
      </c>
      <c r="CZ107" s="16">
        <f t="shared" si="48"/>
        <v>9.5183704549781072E-3</v>
      </c>
      <c r="DA107" s="17">
        <f>IF(AND(CV107&lt;&gt;"", CY107&lt;&gt;""), SUM(CY$59:CY107), "")</f>
        <v>5253</v>
      </c>
      <c r="DB107" s="16">
        <f t="shared" si="49"/>
        <v>1</v>
      </c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</row>
    <row r="108" spans="1:180" ht="16" customHeight="1" x14ac:dyDescent="0.2">
      <c r="E108" s="1"/>
      <c r="F108" s="87"/>
      <c r="G108" s="69">
        <v>8</v>
      </c>
      <c r="H108" s="36"/>
      <c r="I108" s="86"/>
      <c r="J108" s="85">
        <v>8</v>
      </c>
      <c r="K108" s="70"/>
      <c r="L108" s="70"/>
      <c r="M108" s="70"/>
      <c r="N108"/>
      <c r="O108" s="42"/>
      <c r="P108" s="83" t="str">
        <f t="shared" si="70"/>
        <v/>
      </c>
      <c r="Q108" s="15" t="str">
        <f t="shared" si="68"/>
        <v/>
      </c>
      <c r="R108" s="42"/>
      <c r="S108" s="16" t="str">
        <f t="shared" si="64"/>
        <v/>
      </c>
      <c r="T108" s="17" t="str">
        <f>IF(AND(O108&lt;&gt;"", R108&lt;&gt;""), SUM(R$4:R108), "")</f>
        <v/>
      </c>
      <c r="U108" s="16" t="str">
        <f t="shared" si="65"/>
        <v/>
      </c>
      <c r="W108" s="42"/>
      <c r="X108" s="83" t="str">
        <f t="shared" si="71"/>
        <v/>
      </c>
      <c r="Y108" s="15" t="str">
        <f t="shared" si="69"/>
        <v/>
      </c>
      <c r="Z108" s="42"/>
      <c r="AA108" s="16" t="str">
        <f t="shared" si="66"/>
        <v/>
      </c>
      <c r="AB108" s="17" t="str">
        <f>IF(AND(W108&lt;&gt;"", Z108&lt;&gt;""), SUM(Z$4:Z108), "")</f>
        <v/>
      </c>
      <c r="AC108" s="16" t="str">
        <f t="shared" si="67"/>
        <v/>
      </c>
      <c r="AD108" s="1"/>
      <c r="BK108" s="9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</row>
    <row r="109" spans="1:180" ht="16" customHeight="1" x14ac:dyDescent="0.2">
      <c r="E109" s="1"/>
      <c r="F109" s="87"/>
      <c r="G109" s="69">
        <v>9</v>
      </c>
      <c r="H109" s="36"/>
      <c r="I109" s="86"/>
      <c r="J109" s="85">
        <v>9</v>
      </c>
      <c r="K109" s="70"/>
      <c r="L109" s="70"/>
      <c r="M109" s="70"/>
      <c r="N109"/>
      <c r="O109" s="42"/>
      <c r="P109" s="83" t="str">
        <f t="shared" si="70"/>
        <v/>
      </c>
      <c r="Q109" s="15" t="str">
        <f t="shared" si="68"/>
        <v/>
      </c>
      <c r="R109" s="42"/>
      <c r="S109" s="16" t="str">
        <f t="shared" si="64"/>
        <v/>
      </c>
      <c r="T109" s="17" t="str">
        <f>IF(AND(O109&lt;&gt;"", R109&lt;&gt;""), SUM(R$4:R109), "")</f>
        <v/>
      </c>
      <c r="U109" s="16" t="str">
        <f t="shared" si="65"/>
        <v/>
      </c>
      <c r="W109" s="42"/>
      <c r="X109" s="83" t="str">
        <f t="shared" si="71"/>
        <v/>
      </c>
      <c r="Y109" s="15" t="str">
        <f t="shared" si="69"/>
        <v/>
      </c>
      <c r="Z109" s="42"/>
      <c r="AA109" s="16" t="str">
        <f t="shared" si="66"/>
        <v/>
      </c>
      <c r="AB109" s="17" t="str">
        <f>IF(AND(W109&lt;&gt;"", Z109&lt;&gt;""), SUM(Z$4:Z109), "")</f>
        <v/>
      </c>
      <c r="AC109" s="16" t="str">
        <f t="shared" si="67"/>
        <v/>
      </c>
      <c r="AD109" s="1"/>
      <c r="BK109" s="14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</row>
    <row r="110" spans="1:180" ht="16" customHeight="1" x14ac:dyDescent="0.2">
      <c r="E110" s="1"/>
      <c r="L110" s="36"/>
      <c r="M110" s="36"/>
      <c r="N110"/>
      <c r="O110" s="42"/>
      <c r="P110" s="83" t="str">
        <f t="shared" si="70"/>
        <v/>
      </c>
      <c r="Q110" s="15" t="str">
        <f t="shared" si="68"/>
        <v/>
      </c>
      <c r="R110" s="42"/>
      <c r="S110" s="16" t="str">
        <f t="shared" si="64"/>
        <v/>
      </c>
      <c r="T110" s="17" t="str">
        <f>IF(AND(O110&lt;&gt;"", R110&lt;&gt;""), SUM(R$4:R110), "")</f>
        <v/>
      </c>
      <c r="U110" s="16" t="str">
        <f t="shared" si="65"/>
        <v/>
      </c>
      <c r="W110" s="42"/>
      <c r="X110" s="83" t="str">
        <f t="shared" si="71"/>
        <v/>
      </c>
      <c r="Y110" s="15" t="str">
        <f t="shared" si="69"/>
        <v/>
      </c>
      <c r="Z110" s="42"/>
      <c r="AA110" s="16" t="str">
        <f t="shared" si="66"/>
        <v/>
      </c>
      <c r="AB110" s="17" t="str">
        <f>IF(AND(W110&lt;&gt;"", Z110&lt;&gt;""), SUM(Z$4:Z110), "")</f>
        <v/>
      </c>
      <c r="AC110" s="16" t="str">
        <f t="shared" si="67"/>
        <v/>
      </c>
      <c r="AD110" s="1"/>
      <c r="BK110" s="14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</row>
    <row r="111" spans="1:180" ht="16" customHeight="1" x14ac:dyDescent="0.2">
      <c r="E111" s="1"/>
      <c r="L111" s="36"/>
      <c r="M111" s="36"/>
      <c r="N111"/>
      <c r="O111" s="42"/>
      <c r="P111" s="83" t="str">
        <f t="shared" si="70"/>
        <v/>
      </c>
      <c r="Q111" s="15" t="str">
        <f t="shared" si="68"/>
        <v/>
      </c>
      <c r="R111" s="42"/>
      <c r="S111" s="16" t="str">
        <f t="shared" si="64"/>
        <v/>
      </c>
      <c r="T111" s="17" t="str">
        <f>IF(AND(O111&lt;&gt;"", R111&lt;&gt;""), SUM(R$4:R111), "")</f>
        <v/>
      </c>
      <c r="U111" s="16" t="str">
        <f t="shared" si="65"/>
        <v/>
      </c>
      <c r="W111" s="40"/>
      <c r="X111" s="83" t="str">
        <f t="shared" si="71"/>
        <v/>
      </c>
      <c r="Y111" s="15" t="str">
        <f t="shared" si="69"/>
        <v/>
      </c>
      <c r="Z111" s="40"/>
      <c r="AA111" s="16" t="str">
        <f t="shared" si="66"/>
        <v/>
      </c>
      <c r="AB111" s="17" t="str">
        <f>IF(AND(W111&lt;&gt;"", Z111&lt;&gt;""), SUM(Z$4:Z111), "")</f>
        <v/>
      </c>
      <c r="AC111" s="16" t="str">
        <f t="shared" si="67"/>
        <v/>
      </c>
      <c r="AD111" s="1"/>
      <c r="AE111" s="119" t="s">
        <v>24</v>
      </c>
      <c r="AF111" s="120"/>
      <c r="AG111" s="120"/>
      <c r="AH111" s="121"/>
      <c r="AI111" s="2" t="s">
        <v>2</v>
      </c>
      <c r="AJ111" s="5" cm="1">
        <f t="array" aca="1" ref="AJ111" ca="1">INDIRECT(SUBSTITUTE(ADDRESS(1,COLUMN($C$9),4),"1","")&amp;SUMPRODUCT(($B$10:$D$26=INDIRECT(SUBSTITUTE(ADDRESS(1,COLUMN()-5,4),"1","")&amp;ROW()))*ROW($B$10:$D$26)))</f>
        <v>20.503864360931299</v>
      </c>
      <c r="AK111" s="2" t="s">
        <v>3</v>
      </c>
      <c r="AL111" s="5" cm="1">
        <f t="array" aca="1" ref="AL111" ca="1">INDIRECT(SUBSTITUTE(ADDRESS(1,COLUMN($D$9),4),"1","")&amp;SUMPRODUCT(($B$10:$D$26=INDIRECT(SUBSTITUTE(ADDRESS(1,COLUMN()-7,4),"1","")&amp;ROW()))*ROW($B$10:$D$26)))</f>
        <v>11.159303500900499</v>
      </c>
      <c r="AM111" s="2" t="s">
        <v>34</v>
      </c>
      <c r="AN111" s="3">
        <f>SUM(AK114:AK161)</f>
        <v>20702</v>
      </c>
      <c r="AO111" s="6"/>
      <c r="AP111" s="119" t="s">
        <v>25</v>
      </c>
      <c r="AQ111" s="120"/>
      <c r="AR111" s="120"/>
      <c r="AS111" s="121"/>
      <c r="AT111" s="2" t="s">
        <v>2</v>
      </c>
      <c r="AU111" s="5" cm="1">
        <f t="array" aca="1" ref="AU111" ca="1">INDIRECT(SUBSTITUTE(ADDRESS(1,COLUMN($C$9),4),"1","")&amp;SUMPRODUCT(($B$10:$D$26=INDIRECT(SUBSTITUTE(ADDRESS(1,COLUMN()-5,4),"1","")&amp;ROW()))*ROW($B$10:$D$26)))</f>
        <v>18.473209141540199</v>
      </c>
      <c r="AV111" s="2" t="s">
        <v>3</v>
      </c>
      <c r="AW111" s="5" cm="1">
        <f t="array" aca="1" ref="AW111" ca="1">INDIRECT(SUBSTITUTE(ADDRESS(1,COLUMN($D$9),4),"1","")&amp;SUMPRODUCT(($B$10:$D$26=INDIRECT(SUBSTITUTE(ADDRESS(1,COLUMN()-7,4),"1","")&amp;ROW()))*ROW($B$10:$D$26)))</f>
        <v>10.373160591814599</v>
      </c>
      <c r="AX111" s="2" t="s">
        <v>34</v>
      </c>
      <c r="AY111" s="3">
        <f>SUM(AV114:AV162)</f>
        <v>5207</v>
      </c>
      <c r="AZ111" s="6"/>
      <c r="BA111" s="119" t="s">
        <v>26</v>
      </c>
      <c r="BB111" s="120"/>
      <c r="BC111" s="120"/>
      <c r="BD111" s="121"/>
      <c r="BE111" s="2" t="s">
        <v>2</v>
      </c>
      <c r="BF111" s="5" cm="1">
        <f t="array" aca="1" ref="BF111" ca="1">INDIRECT(SUBSTITUTE(ADDRESS(1,COLUMN($C$9),4),"1","")&amp;SUMPRODUCT(($B$10:$D$26=INDIRECT(SUBSTITUTE(ADDRESS(1,COLUMN()-5,4),"1","")&amp;ROW()))*ROW($B$10:$D$26)))</f>
        <v>23.502556990552101</v>
      </c>
      <c r="BG111" s="2" t="s">
        <v>3</v>
      </c>
      <c r="BH111" s="5" cm="1">
        <f t="array" aca="1" ref="BH111" ca="1">INDIRECT(SUBSTITUTE(ADDRESS(1,COLUMN($D$9),4),"1","")&amp;SUMPRODUCT(($B$10:$D$26=INDIRECT(SUBSTITUTE(ADDRESS(1,COLUMN()-7,4),"1","")&amp;ROW()))*ROW($B$10:$D$26)))</f>
        <v>11.945434886536299</v>
      </c>
      <c r="BI111" s="2" t="s">
        <v>34</v>
      </c>
      <c r="BJ111" s="3">
        <f>SUM(BG114:BG162)</f>
        <v>92296</v>
      </c>
      <c r="BK111" s="14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</row>
    <row r="112" spans="1:180" ht="16" customHeight="1" x14ac:dyDescent="0.2">
      <c r="E112" s="1"/>
      <c r="N112"/>
      <c r="O112" s="42"/>
      <c r="P112" s="83" t="str">
        <f t="shared" si="70"/>
        <v/>
      </c>
      <c r="Q112" s="15" t="str">
        <f t="shared" si="68"/>
        <v/>
      </c>
      <c r="R112" s="42"/>
      <c r="S112" s="16" t="str">
        <f t="shared" si="64"/>
        <v/>
      </c>
      <c r="T112" s="17" t="str">
        <f>IF(AND(O112&lt;&gt;"", R112&lt;&gt;""), SUM(R$4:R112), "")</f>
        <v/>
      </c>
      <c r="U112" s="16" t="str">
        <f t="shared" si="65"/>
        <v/>
      </c>
      <c r="W112" s="41"/>
      <c r="X112" s="83" t="str">
        <f t="shared" si="71"/>
        <v/>
      </c>
      <c r="Y112" s="15" t="str">
        <f t="shared" si="69"/>
        <v/>
      </c>
      <c r="Z112" s="41"/>
      <c r="AA112" s="16" t="str">
        <f t="shared" si="66"/>
        <v/>
      </c>
      <c r="AB112" s="17" t="str">
        <f>IF(AND(W112&lt;&gt;"", Z112&lt;&gt;""), SUM(Z$4:Z112), "")</f>
        <v/>
      </c>
      <c r="AC112" s="16" t="str">
        <f t="shared" si="67"/>
        <v/>
      </c>
      <c r="AD112" s="1"/>
      <c r="AG112" s="1"/>
      <c r="AO112" s="9"/>
      <c r="AZ112" s="9"/>
      <c r="BK112" s="14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</row>
    <row r="113" spans="5:180" ht="16" customHeight="1" x14ac:dyDescent="0.2">
      <c r="E113" s="1"/>
      <c r="N113"/>
      <c r="O113" s="42"/>
      <c r="P113" s="83" t="str">
        <f t="shared" si="70"/>
        <v/>
      </c>
      <c r="Q113" s="15" t="str">
        <f t="shared" si="68"/>
        <v/>
      </c>
      <c r="R113" s="42"/>
      <c r="S113" s="16" t="str">
        <f t="shared" si="64"/>
        <v/>
      </c>
      <c r="T113" s="17" t="str">
        <f>IF(AND(O113&lt;&gt;"", R113&lt;&gt;""), SUM(R$4:R113), "")</f>
        <v/>
      </c>
      <c r="U113" s="16" t="str">
        <f t="shared" si="65"/>
        <v/>
      </c>
      <c r="W113" s="42"/>
      <c r="X113" s="83" t="str">
        <f t="shared" si="71"/>
        <v/>
      </c>
      <c r="Y113" s="15" t="str">
        <f t="shared" si="69"/>
        <v/>
      </c>
      <c r="Z113" s="42"/>
      <c r="AA113" s="16" t="str">
        <f t="shared" si="66"/>
        <v/>
      </c>
      <c r="AB113" s="17" t="str">
        <f>IF(AND(W113&lt;&gt;"", Z113&lt;&gt;""), SUM(Z$4:Z113), "")</f>
        <v/>
      </c>
      <c r="AC113" s="16" t="str">
        <f t="shared" si="67"/>
        <v/>
      </c>
      <c r="AD113" s="1"/>
      <c r="AE113" s="13" t="s">
        <v>30</v>
      </c>
      <c r="AF113" s="13" t="s">
        <v>13</v>
      </c>
      <c r="AG113" s="1"/>
      <c r="AH113" s="11" t="s">
        <v>13</v>
      </c>
      <c r="AI113" s="11" t="s">
        <v>14</v>
      </c>
      <c r="AJ113" s="11" t="s">
        <v>15</v>
      </c>
      <c r="AK113" s="11" t="s">
        <v>16</v>
      </c>
      <c r="AL113" s="11" t="s">
        <v>17</v>
      </c>
      <c r="AM113" s="12" t="s">
        <v>18</v>
      </c>
      <c r="AN113" s="2" t="s">
        <v>19</v>
      </c>
      <c r="AO113" s="14"/>
      <c r="AP113" s="13" t="s">
        <v>30</v>
      </c>
      <c r="AQ113" s="13" t="s">
        <v>13</v>
      </c>
      <c r="AR113" s="1"/>
      <c r="AS113" s="11" t="s">
        <v>13</v>
      </c>
      <c r="AT113" s="11" t="s">
        <v>14</v>
      </c>
      <c r="AU113" s="11" t="s">
        <v>15</v>
      </c>
      <c r="AV113" s="11" t="s">
        <v>16</v>
      </c>
      <c r="AW113" s="11" t="s">
        <v>17</v>
      </c>
      <c r="AX113" s="12" t="s">
        <v>18</v>
      </c>
      <c r="AY113" s="2" t="s">
        <v>19</v>
      </c>
      <c r="AZ113" s="14"/>
      <c r="BA113" s="13" t="s">
        <v>30</v>
      </c>
      <c r="BB113" s="13" t="s">
        <v>13</v>
      </c>
      <c r="BC113" s="1"/>
      <c r="BD113" s="11" t="s">
        <v>13</v>
      </c>
      <c r="BE113" s="11" t="s">
        <v>14</v>
      </c>
      <c r="BF113" s="11" t="s">
        <v>15</v>
      </c>
      <c r="BG113" s="11" t="s">
        <v>16</v>
      </c>
      <c r="BH113" s="11" t="s">
        <v>17</v>
      </c>
      <c r="BI113" s="12" t="s">
        <v>18</v>
      </c>
      <c r="BJ113" s="2" t="s">
        <v>19</v>
      </c>
      <c r="BK113" s="14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</row>
    <row r="114" spans="5:180" ht="16" customHeight="1" x14ac:dyDescent="0.2">
      <c r="E114" s="1"/>
      <c r="N114"/>
      <c r="O114" s="42"/>
      <c r="P114" s="83" t="str">
        <f t="shared" si="70"/>
        <v/>
      </c>
      <c r="Q114" s="15" t="str">
        <f t="shared" si="68"/>
        <v/>
      </c>
      <c r="R114" s="42"/>
      <c r="S114" s="16" t="str">
        <f t="shared" si="64"/>
        <v/>
      </c>
      <c r="T114" s="17" t="str">
        <f>IF(AND(O114&lt;&gt;"", R114&lt;&gt;""), SUM(R$4:R114), "")</f>
        <v/>
      </c>
      <c r="U114" s="16" t="str">
        <f t="shared" si="65"/>
        <v/>
      </c>
      <c r="W114" s="42"/>
      <c r="X114" s="83" t="str">
        <f t="shared" si="71"/>
        <v/>
      </c>
      <c r="Y114" s="15" t="str">
        <f t="shared" si="69"/>
        <v/>
      </c>
      <c r="Z114" s="42"/>
      <c r="AA114" s="16" t="str">
        <f t="shared" si="66"/>
        <v/>
      </c>
      <c r="AB114" s="17" t="str">
        <f>IF(AND(W114&lt;&gt;"", Z114&lt;&gt;""), SUM(Z$4:Z114), "")</f>
        <v/>
      </c>
      <c r="AC114" s="16" t="str">
        <f t="shared" si="67"/>
        <v/>
      </c>
      <c r="AD114" s="1"/>
      <c r="AE114" s="19">
        <v>50</v>
      </c>
      <c r="AF114" s="20">
        <v>76</v>
      </c>
      <c r="AG114" s="8"/>
      <c r="AH114" s="45">
        <v>76</v>
      </c>
      <c r="AI114" s="37">
        <f>IF(AND(AH114&lt;&gt;"", AK114&lt;&gt;""), 1, "")</f>
        <v>1</v>
      </c>
      <c r="AJ114" s="21">
        <f>IF(AND(AH114&lt;&gt;"", AK114&lt;&gt;""), ROUND(100*(1-(0+AM114)/2/AN$111), 2), "")</f>
        <v>99.73</v>
      </c>
      <c r="AK114" s="50">
        <v>113</v>
      </c>
      <c r="AL114" s="22">
        <f t="shared" ref="AL114:AL162" si="72">IF(AND(AH114&lt;&gt;"", AK114&lt;&gt;""), AK114/AN$111, "")</f>
        <v>5.4584098154767651E-3</v>
      </c>
      <c r="AM114" s="23">
        <f>IF(AND(AH114&lt;&gt;"", AK114&lt;&gt;""), SUM(AK$114:AK114), "")</f>
        <v>113</v>
      </c>
      <c r="AN114" s="22">
        <f t="shared" ref="AN114:AN162" si="73">IF(AND(AH114&lt;&gt;"", AK114&lt;&gt;""), AM114/AN$111, "")</f>
        <v>5.4584098154767651E-3</v>
      </c>
      <c r="AO114" s="14"/>
      <c r="AP114" s="10">
        <v>50</v>
      </c>
      <c r="AQ114" s="24">
        <v>80</v>
      </c>
      <c r="AR114" s="8"/>
      <c r="AS114" s="48">
        <v>80</v>
      </c>
      <c r="AT114" s="37">
        <f>IF(AND(AS114&lt;&gt;"", AV114&lt;&gt;""), 1, "")</f>
        <v>1</v>
      </c>
      <c r="AU114" s="25">
        <f>IF(AND(AS114&lt;&gt;"", AV114&lt;&gt;""), ROUND(100*(1-(0+AX114)/2/AY$111), 2), "")</f>
        <v>99.5</v>
      </c>
      <c r="AV114" s="51">
        <v>52</v>
      </c>
      <c r="AW114" s="18">
        <f t="shared" ref="AW114:AW162" si="74">IF(AND(AS114&lt;&gt;"", AV114&lt;&gt;""), AV114/AY$111, "")</f>
        <v>9.9865565584789703E-3</v>
      </c>
      <c r="AX114" s="26">
        <f>IF(AND(AS114&lt;&gt;"", AV114&lt;&gt;""), SUM(AV$114:AV114), "")</f>
        <v>52</v>
      </c>
      <c r="AY114" s="18">
        <f t="shared" ref="AY114:AY162" si="75">IF(AND(AS114&lt;&gt;"", AV114&lt;&gt;""), AX114/AY$111, "")</f>
        <v>9.9865565584789703E-3</v>
      </c>
      <c r="AZ114" s="14"/>
      <c r="BA114" s="10">
        <v>50</v>
      </c>
      <c r="BB114" s="24">
        <v>72</v>
      </c>
      <c r="BC114" s="8"/>
      <c r="BD114" s="48">
        <v>72</v>
      </c>
      <c r="BE114" s="37">
        <f>IF(AND(BD114&lt;&gt;"", BG114&lt;&gt;""), 1, "")</f>
        <v>1</v>
      </c>
      <c r="BF114" s="25">
        <f>IF(AND(BD114&lt;&gt;"", BG114&lt;&gt;""), ROUND(100*(1-(0+BI114)/2/BJ$111), 2), "")</f>
        <v>99.47</v>
      </c>
      <c r="BG114" s="51">
        <v>987</v>
      </c>
      <c r="BH114" s="18">
        <f t="shared" ref="BH114:BH162" si="76">IF(AND(BD114&lt;&gt;"", BG114&lt;&gt;""), BG114/BJ$111, "")</f>
        <v>1.0693854554910289E-2</v>
      </c>
      <c r="BI114" s="26">
        <f>IF(AND(BD114&lt;&gt;"", BG114&lt;&gt;""), SUM(BG$114:BG114), "")</f>
        <v>987</v>
      </c>
      <c r="BJ114" s="18">
        <f t="shared" ref="BJ114:BJ162" si="77">IF(AND(BD114&lt;&gt;"", BG114&lt;&gt;""), BI114/BJ$111, "")</f>
        <v>1.0693854554910289E-2</v>
      </c>
      <c r="BK114" s="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</row>
    <row r="115" spans="5:180" ht="16" customHeight="1" x14ac:dyDescent="0.2">
      <c r="E115" s="1"/>
      <c r="N115"/>
      <c r="O115" s="42"/>
      <c r="P115" s="83" t="str">
        <f t="shared" si="70"/>
        <v/>
      </c>
      <c r="Q115" s="15" t="str">
        <f t="shared" si="68"/>
        <v/>
      </c>
      <c r="R115" s="42"/>
      <c r="S115" s="16" t="str">
        <f t="shared" si="64"/>
        <v/>
      </c>
      <c r="T115" s="17" t="str">
        <f>IF(AND(O115&lt;&gt;"", R115&lt;&gt;""), SUM(R$4:R115), "")</f>
        <v/>
      </c>
      <c r="U115" s="16" t="str">
        <f t="shared" si="65"/>
        <v/>
      </c>
      <c r="W115" s="42"/>
      <c r="X115" s="83" t="str">
        <f t="shared" si="71"/>
        <v/>
      </c>
      <c r="Y115" s="15" t="str">
        <f t="shared" si="69"/>
        <v/>
      </c>
      <c r="Z115" s="42"/>
      <c r="AA115" s="16" t="str">
        <f t="shared" si="66"/>
        <v/>
      </c>
      <c r="AB115" s="17" t="str">
        <f>IF(AND(W115&lt;&gt;"", Z115&lt;&gt;""), SUM(Z$4:Z115), "")</f>
        <v/>
      </c>
      <c r="AC115" s="16" t="str">
        <f t="shared" si="67"/>
        <v/>
      </c>
      <c r="AD115" s="1"/>
      <c r="AE115" s="19">
        <v>48</v>
      </c>
      <c r="AF115" s="20">
        <v>75</v>
      </c>
      <c r="AG115" s="8"/>
      <c r="AH115" s="48">
        <v>75</v>
      </c>
      <c r="AI115" s="83">
        <f>IF(AND(AH115&lt;&gt;"", AK115&lt;&gt;""), IF(AN114 &gt; $A$36, $B$37, IF(AN114 &gt; $A$35, $B$36, IF(AN114 &gt; $A$34, $B$35, IF(AN114 &gt; $A$33, $B$34, IF(AN114 &gt; $A$32, $B$33,IF(AN114 &gt; $A$31, $B$32, IF(AN114 &gt; $A$30, $B$31, IF(AN114 &gt; $A$29, $B$30, $B$29)))))))), "")</f>
        <v>1</v>
      </c>
      <c r="AJ115" s="25">
        <f t="shared" ref="AJ115:AJ162" si="78">IF(AND(AH115&lt;&gt;"", AK115&lt;&gt;""), ROUND(100*(1-(AM114+AM115)/2/AN$111), 2), "")</f>
        <v>99.25</v>
      </c>
      <c r="AK115" s="51">
        <v>86</v>
      </c>
      <c r="AL115" s="18">
        <f t="shared" si="72"/>
        <v>4.1541880011593084E-3</v>
      </c>
      <c r="AM115" s="26">
        <f>IF(AND(AH115&lt;&gt;"", AK115&lt;&gt;""), SUM(AK$114:AK115), "")</f>
        <v>199</v>
      </c>
      <c r="AN115" s="18">
        <f t="shared" si="73"/>
        <v>9.6125978166360735E-3</v>
      </c>
      <c r="AO115" s="14"/>
      <c r="AP115" s="27">
        <v>48</v>
      </c>
      <c r="AQ115" s="20">
        <v>78</v>
      </c>
      <c r="AR115" s="8"/>
      <c r="AS115" s="49">
        <v>78</v>
      </c>
      <c r="AT115" s="83">
        <f>IF(AND(AS115&lt;&gt;"", AV115&lt;&gt;""), IF(AY114 &gt; $A$36, $B$37, IF(AY114 &gt; $A$35, $B$36, IF(AY114 &gt; $A$34, $B$35, IF(AY114 &gt; $A$33, $B$34, IF(AY114 &gt; $A$32, $B$33,IF(AY114 &gt; $A$31, $B$32, IF(AY114 &gt; $A$30, $B$31, IF(AY114 &gt; $A$29, $B$30, $B$29)))))))), "")</f>
        <v>1</v>
      </c>
      <c r="AU115" s="15">
        <f t="shared" ref="AU115:AU162" si="79">IF(AND(AS115&lt;&gt;"", AV115&lt;&gt;""), ROUND(100*(1-(AX114+AX115)/2/AY$111), 2), "")</f>
        <v>98.55</v>
      </c>
      <c r="AV115" s="52">
        <v>47</v>
      </c>
      <c r="AW115" s="16">
        <f t="shared" si="74"/>
        <v>9.0263107355483003E-3</v>
      </c>
      <c r="AX115" s="17">
        <f>IF(AND(AS115&lt;&gt;"", AV115&lt;&gt;""), SUM(AV$114:AV115), "")</f>
        <v>99</v>
      </c>
      <c r="AY115" s="16">
        <f t="shared" si="75"/>
        <v>1.9012867294027271E-2</v>
      </c>
      <c r="AZ115" s="14"/>
      <c r="BA115" s="27">
        <v>48</v>
      </c>
      <c r="BB115" s="20">
        <v>71</v>
      </c>
      <c r="BC115" s="8"/>
      <c r="BD115" s="49">
        <v>71</v>
      </c>
      <c r="BE115" s="83">
        <f>IF(AND(BD115&lt;&gt;"", BG115&lt;&gt;""), IF(BJ114 &gt; $A$36, $B$37, IF(BJ114 &gt; $A$35, $B$36, IF(BJ114 &gt; $A$34, $B$35, IF(BJ114 &gt; $A$33, $B$34, IF(BJ114 &gt; $A$32, $B$33,IF(BJ114 &gt; $A$31, $B$32, IF(BJ114 &gt; $A$30, $B$31, IF(BJ114 &gt; $A$29, $B$30, $B$29)))))))), "")</f>
        <v>1</v>
      </c>
      <c r="BF115" s="15">
        <f t="shared" ref="BF115:BF162" si="80">IF(AND(BD115&lt;&gt;"", BG115&lt;&gt;""), ROUND(100*(1-(BI114+BI115)/2/BJ$111), 2), "")</f>
        <v>98.51</v>
      </c>
      <c r="BG115" s="52">
        <v>773</v>
      </c>
      <c r="BH115" s="16">
        <f t="shared" si="76"/>
        <v>8.3752275288203164E-3</v>
      </c>
      <c r="BI115" s="17">
        <f>IF(AND(BD115&lt;&gt;"", BG115&lt;&gt;""), SUM(BG$114:BG115), "")</f>
        <v>1760</v>
      </c>
      <c r="BJ115" s="16">
        <f t="shared" si="77"/>
        <v>1.9069082083730607E-2</v>
      </c>
      <c r="BK115" s="14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</row>
    <row r="116" spans="5:180" ht="16" customHeight="1" x14ac:dyDescent="0.2">
      <c r="E116" s="1"/>
      <c r="N116"/>
      <c r="O116" s="42"/>
      <c r="P116" s="83" t="str">
        <f t="shared" si="70"/>
        <v/>
      </c>
      <c r="Q116" s="15" t="str">
        <f t="shared" si="68"/>
        <v/>
      </c>
      <c r="R116" s="42"/>
      <c r="S116" s="16" t="str">
        <f t="shared" si="64"/>
        <v/>
      </c>
      <c r="T116" s="17" t="str">
        <f>IF(AND(O116&lt;&gt;"", R116&lt;&gt;""), SUM(R$4:R116), "")</f>
        <v/>
      </c>
      <c r="U116" s="16" t="str">
        <f t="shared" si="65"/>
        <v/>
      </c>
      <c r="W116" s="42"/>
      <c r="X116" s="83" t="str">
        <f t="shared" si="71"/>
        <v/>
      </c>
      <c r="Y116" s="15" t="str">
        <f t="shared" si="69"/>
        <v/>
      </c>
      <c r="Z116" s="42"/>
      <c r="AA116" s="16" t="str">
        <f t="shared" si="66"/>
        <v/>
      </c>
      <c r="AB116" s="17" t="str">
        <f>IF(AND(W116&lt;&gt;"", Z116&lt;&gt;""), SUM(Z$4:Z116), "")</f>
        <v/>
      </c>
      <c r="AC116" s="16" t="str">
        <f t="shared" si="67"/>
        <v/>
      </c>
      <c r="AD116" s="1"/>
      <c r="AE116" s="19">
        <v>47</v>
      </c>
      <c r="AF116" s="20">
        <v>74</v>
      </c>
      <c r="AG116" s="8"/>
      <c r="AH116" s="49">
        <v>74</v>
      </c>
      <c r="AI116" s="83">
        <f>IF(AND(AH116&lt;&gt;"", AK116&lt;&gt;""), IF(AN115 &gt; $A$36, $B$37, IF(AN115 &gt; $A$35, $B$36, IF(AN115 &gt; $A$34, $B$35, IF(AN115 &gt; $A$33, $B$34, IF(AN115 &gt; $A$32, $B$33,IF(AN115 &gt; $A$31, $B$32, IF(AN115 &gt; $A$30, $B$31, IF(AN115 &gt; $A$29, $B$30, $B$29)))))))), "")</f>
        <v>1</v>
      </c>
      <c r="AJ116" s="15">
        <f t="shared" si="78"/>
        <v>98.52</v>
      </c>
      <c r="AK116" s="52">
        <v>215</v>
      </c>
      <c r="AL116" s="16">
        <f t="shared" si="72"/>
        <v>1.0385470002898271E-2</v>
      </c>
      <c r="AM116" s="17">
        <f>IF(AND(AH116&lt;&gt;"", AK116&lt;&gt;""), SUM(AK$114:AK116), "")</f>
        <v>414</v>
      </c>
      <c r="AN116" s="16">
        <f t="shared" si="73"/>
        <v>1.9998067819534344E-2</v>
      </c>
      <c r="AO116" s="14"/>
      <c r="AP116" s="27">
        <v>47</v>
      </c>
      <c r="AQ116" s="20">
        <v>78</v>
      </c>
      <c r="AR116" s="8"/>
      <c r="AS116" s="49">
        <v>77</v>
      </c>
      <c r="AT116" s="83">
        <f>IF(AND(AS116&lt;&gt;"", AV116&lt;&gt;""), IF(AY115 &gt; $A$36, $B$37, IF(AY115 &gt; $A$35, $B$36, IF(AY115 &gt; $A$34, $B$35, IF(AY115 &gt; $A$33, $B$34, IF(AY115 &gt; $A$32, $B$33,IF(AY115 &gt; $A$31, $B$32, IF(AY115 &gt; $A$30, $B$31, IF(AY115 &gt; $A$29, $B$30, $B$29)))))))), "")</f>
        <v>1</v>
      </c>
      <c r="AU116" s="15">
        <f t="shared" si="79"/>
        <v>98.02</v>
      </c>
      <c r="AV116" s="52">
        <v>8</v>
      </c>
      <c r="AW116" s="16">
        <f t="shared" si="74"/>
        <v>1.5363933166890724E-3</v>
      </c>
      <c r="AX116" s="17">
        <f>IF(AND(AS116&lt;&gt;"", AV116&lt;&gt;""), SUM(AV$114:AV116), "")</f>
        <v>107</v>
      </c>
      <c r="AY116" s="16">
        <f t="shared" si="75"/>
        <v>2.0549260610716342E-2</v>
      </c>
      <c r="AZ116" s="14"/>
      <c r="BA116" s="27">
        <v>47</v>
      </c>
      <c r="BB116" s="20">
        <v>70</v>
      </c>
      <c r="BC116" s="8"/>
      <c r="BD116" s="49">
        <v>70</v>
      </c>
      <c r="BE116" s="83">
        <f>IF(AND(BD116&lt;&gt;"", BG116&lt;&gt;""), IF(BJ115 &gt; $A$36, $B$37, IF(BJ115 &gt; $A$35, $B$36, IF(BJ115 &gt; $A$34, $B$35, IF(BJ115 &gt; $A$33, $B$34, IF(BJ115 &gt; $A$32, $B$33,IF(BJ115 &gt; $A$31, $B$32, IF(BJ115 &gt; $A$30, $B$31, IF(BJ115 &gt; $A$29, $B$30, $B$29)))))))), "")</f>
        <v>1</v>
      </c>
      <c r="BF116" s="15">
        <f t="shared" si="80"/>
        <v>97.29</v>
      </c>
      <c r="BG116" s="52">
        <v>1483</v>
      </c>
      <c r="BH116" s="16">
        <f t="shared" si="76"/>
        <v>1.6067868596688913E-2</v>
      </c>
      <c r="BI116" s="17">
        <f>IF(AND(BD116&lt;&gt;"", BG116&lt;&gt;""), SUM(BG$114:BG116), "")</f>
        <v>3243</v>
      </c>
      <c r="BJ116" s="16">
        <f t="shared" si="77"/>
        <v>3.5136950680419519E-2</v>
      </c>
      <c r="BK116" s="14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</row>
    <row r="117" spans="5:180" ht="16" customHeight="1" x14ac:dyDescent="0.2">
      <c r="E117" s="1"/>
      <c r="N117"/>
      <c r="O117" s="42"/>
      <c r="P117" s="83" t="str">
        <f t="shared" si="70"/>
        <v/>
      </c>
      <c r="Q117" s="15" t="str">
        <f t="shared" si="68"/>
        <v/>
      </c>
      <c r="R117" s="42"/>
      <c r="S117" s="16" t="str">
        <f t="shared" si="64"/>
        <v/>
      </c>
      <c r="T117" s="17" t="str">
        <f>IF(AND(O117&lt;&gt;"", R117&lt;&gt;""), SUM(R$4:R117), "")</f>
        <v/>
      </c>
      <c r="U117" s="16" t="str">
        <f t="shared" si="65"/>
        <v/>
      </c>
      <c r="W117" s="42"/>
      <c r="X117" s="83" t="str">
        <f t="shared" si="71"/>
        <v/>
      </c>
      <c r="Y117" s="15" t="str">
        <f t="shared" si="69"/>
        <v/>
      </c>
      <c r="Z117" s="42"/>
      <c r="AA117" s="16" t="str">
        <f t="shared" si="66"/>
        <v/>
      </c>
      <c r="AB117" s="17" t="str">
        <f>IF(AND(W117&lt;&gt;"", Z117&lt;&gt;""), SUM(Z$4:Z117), "")</f>
        <v/>
      </c>
      <c r="AC117" s="16" t="str">
        <f t="shared" si="67"/>
        <v/>
      </c>
      <c r="AD117" s="1"/>
      <c r="AE117" s="19">
        <v>46</v>
      </c>
      <c r="AF117" s="20">
        <v>73</v>
      </c>
      <c r="AG117" s="8"/>
      <c r="AH117" s="49">
        <v>73</v>
      </c>
      <c r="AI117" s="83">
        <f t="shared" ref="AI117:AI162" si="81">IF(AND(AH117&lt;&gt;"", AK117&lt;&gt;""), IF(AN116 &gt; $A$36, $B$37, IF(AN116 &gt; $A$35, $B$36, IF(AN116 &gt; $A$34, $B$35, IF(AN116 &gt; $A$33, $B$34, IF(AN116 &gt; $A$32, $B$33,IF(AN116 &gt; $A$31, $B$32, IF(AN116 &gt; $A$30, $B$31, IF(AN116 &gt; $A$29, $B$30, $B$29)))))))), "")</f>
        <v>1</v>
      </c>
      <c r="AJ117" s="15">
        <f t="shared" si="78"/>
        <v>97.88</v>
      </c>
      <c r="AK117" s="52">
        <v>50</v>
      </c>
      <c r="AL117" s="16">
        <f t="shared" si="72"/>
        <v>2.4152255820693654E-3</v>
      </c>
      <c r="AM117" s="17">
        <f>IF(AND(AH117&lt;&gt;"", AK117&lt;&gt;""), SUM(AK$114:AK117), "")</f>
        <v>464</v>
      </c>
      <c r="AN117" s="16">
        <f t="shared" si="73"/>
        <v>2.2413293401603709E-2</v>
      </c>
      <c r="AO117" s="14"/>
      <c r="AP117" s="27">
        <v>46</v>
      </c>
      <c r="AQ117" s="20">
        <v>77</v>
      </c>
      <c r="AR117" s="8"/>
      <c r="AS117" s="49">
        <v>76</v>
      </c>
      <c r="AT117" s="83">
        <f t="shared" ref="AT117:AT162" si="82">IF(AND(AS117&lt;&gt;"", AV117&lt;&gt;""), IF(AY116 &gt; $A$36, $B$37, IF(AY116 &gt; $A$35, $B$36, IF(AY116 &gt; $A$34, $B$35, IF(AY116 &gt; $A$33, $B$34, IF(AY116 &gt; $A$32, $B$33,IF(AY116 &gt; $A$31, $B$32, IF(AY116 &gt; $A$30, $B$31, IF(AY116 &gt; $A$29, $B$30, $B$29)))))))), "")</f>
        <v>1</v>
      </c>
      <c r="AU117" s="15">
        <f t="shared" si="79"/>
        <v>97.64</v>
      </c>
      <c r="AV117" s="52">
        <v>32</v>
      </c>
      <c r="AW117" s="16">
        <f t="shared" si="74"/>
        <v>6.1455732667562895E-3</v>
      </c>
      <c r="AX117" s="17">
        <f>IF(AND(AS117&lt;&gt;"", AV117&lt;&gt;""), SUM(AV$114:AV117), "")</f>
        <v>139</v>
      </c>
      <c r="AY117" s="16">
        <f t="shared" si="75"/>
        <v>2.6694833877472634E-2</v>
      </c>
      <c r="AZ117" s="14"/>
      <c r="BA117" s="27">
        <v>46</v>
      </c>
      <c r="BB117" s="20">
        <v>69</v>
      </c>
      <c r="BC117" s="8"/>
      <c r="BD117" s="49">
        <v>69</v>
      </c>
      <c r="BE117" s="83">
        <f t="shared" ref="BE117:BE162" si="83">IF(AND(BD117&lt;&gt;"", BG117&lt;&gt;""), IF(BJ116 &gt; $A$36, $B$37, IF(BJ116 &gt; $A$35, $B$36, IF(BJ116 &gt; $A$34, $B$35, IF(BJ116 &gt; $A$33, $B$34, IF(BJ116 &gt; $A$32, $B$33,IF(BJ116 &gt; $A$31, $B$32, IF(BJ116 &gt; $A$30, $B$31, IF(BJ116 &gt; $A$29, $B$30, $B$29)))))))), "")</f>
        <v>1</v>
      </c>
      <c r="BF117" s="15">
        <f t="shared" si="80"/>
        <v>96.28</v>
      </c>
      <c r="BG117" s="52">
        <v>377</v>
      </c>
      <c r="BH117" s="16">
        <f t="shared" si="76"/>
        <v>4.0846840599809307E-3</v>
      </c>
      <c r="BI117" s="17">
        <f>IF(AND(BD117&lt;&gt;"", BG117&lt;&gt;""), SUM(BG$114:BG117), "")</f>
        <v>3620</v>
      </c>
      <c r="BJ117" s="16">
        <f t="shared" si="77"/>
        <v>3.9221634740400448E-2</v>
      </c>
      <c r="BK117" s="14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</row>
    <row r="118" spans="5:180" ht="16" customHeight="1" x14ac:dyDescent="0.2">
      <c r="E118" s="1"/>
      <c r="N118"/>
      <c r="O118" s="42"/>
      <c r="P118" s="83" t="str">
        <f t="shared" si="70"/>
        <v/>
      </c>
      <c r="Q118" s="15" t="str">
        <f t="shared" si="68"/>
        <v/>
      </c>
      <c r="R118" s="42"/>
      <c r="S118" s="16" t="str">
        <f t="shared" si="64"/>
        <v/>
      </c>
      <c r="T118" s="17" t="str">
        <f>IF(AND(O118&lt;&gt;"", R118&lt;&gt;""), SUM(R$4:R118), "")</f>
        <v/>
      </c>
      <c r="U118" s="16" t="str">
        <f t="shared" si="65"/>
        <v/>
      </c>
      <c r="W118" s="42"/>
      <c r="X118" s="83" t="str">
        <f t="shared" si="71"/>
        <v/>
      </c>
      <c r="Y118" s="15" t="str">
        <f t="shared" si="69"/>
        <v/>
      </c>
      <c r="Z118" s="42"/>
      <c r="AA118" s="16" t="str">
        <f t="shared" si="66"/>
        <v/>
      </c>
      <c r="AB118" s="17" t="str">
        <f>IF(AND(W118&lt;&gt;"", Z118&lt;&gt;""), SUM(Z$4:Z118), "")</f>
        <v/>
      </c>
      <c r="AC118" s="16" t="str">
        <f t="shared" si="67"/>
        <v/>
      </c>
      <c r="AD118" s="1"/>
      <c r="AE118" s="19">
        <v>45</v>
      </c>
      <c r="AF118" s="20">
        <v>72</v>
      </c>
      <c r="AG118" s="8"/>
      <c r="AH118" s="49">
        <v>72</v>
      </c>
      <c r="AI118" s="83">
        <f t="shared" si="81"/>
        <v>1</v>
      </c>
      <c r="AJ118" s="15">
        <f t="shared" si="78"/>
        <v>97.2</v>
      </c>
      <c r="AK118" s="52">
        <v>230</v>
      </c>
      <c r="AL118" s="16">
        <f t="shared" si="72"/>
        <v>1.111003767751908E-2</v>
      </c>
      <c r="AM118" s="17">
        <f>IF(AND(AH118&lt;&gt;"", AK118&lt;&gt;""), SUM(AK$114:AK118), "")</f>
        <v>694</v>
      </c>
      <c r="AN118" s="16">
        <f t="shared" si="73"/>
        <v>3.3523331079122788E-2</v>
      </c>
      <c r="AO118" s="14"/>
      <c r="AP118" s="27">
        <v>45</v>
      </c>
      <c r="AQ118" s="20">
        <v>76</v>
      </c>
      <c r="AR118" s="8"/>
      <c r="AS118" s="49">
        <v>75</v>
      </c>
      <c r="AT118" s="83">
        <f t="shared" si="82"/>
        <v>1</v>
      </c>
      <c r="AU118" s="15">
        <f t="shared" si="79"/>
        <v>97.19</v>
      </c>
      <c r="AV118" s="52">
        <v>15</v>
      </c>
      <c r="AW118" s="16">
        <f t="shared" si="74"/>
        <v>2.8807374687920108E-3</v>
      </c>
      <c r="AX118" s="17">
        <f>IF(AND(AS118&lt;&gt;"", AV118&lt;&gt;""), SUM(AV$114:AV118), "")</f>
        <v>154</v>
      </c>
      <c r="AY118" s="16">
        <f t="shared" si="75"/>
        <v>2.9575571346264644E-2</v>
      </c>
      <c r="AZ118" s="14"/>
      <c r="BA118" s="27">
        <v>45</v>
      </c>
      <c r="BB118" s="20">
        <v>68</v>
      </c>
      <c r="BC118" s="8"/>
      <c r="BD118" s="49">
        <v>68</v>
      </c>
      <c r="BE118" s="83">
        <f t="shared" si="83"/>
        <v>1</v>
      </c>
      <c r="BF118" s="15">
        <f t="shared" si="80"/>
        <v>95.16</v>
      </c>
      <c r="BG118" s="52">
        <v>1699</v>
      </c>
      <c r="BH118" s="16">
        <f t="shared" si="76"/>
        <v>1.8408165034237669E-2</v>
      </c>
      <c r="BI118" s="17">
        <f>IF(AND(BD118&lt;&gt;"", BG118&lt;&gt;""), SUM(BG$114:BG118), "")</f>
        <v>5319</v>
      </c>
      <c r="BJ118" s="16">
        <f t="shared" si="77"/>
        <v>5.762979977463812E-2</v>
      </c>
      <c r="BK118" s="14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</row>
    <row r="119" spans="5:180" ht="16" customHeight="1" x14ac:dyDescent="0.2">
      <c r="E119" s="1"/>
      <c r="N119"/>
      <c r="O119" s="42"/>
      <c r="P119" s="83" t="str">
        <f t="shared" si="70"/>
        <v/>
      </c>
      <c r="Q119" s="15" t="str">
        <f t="shared" si="68"/>
        <v/>
      </c>
      <c r="R119" s="42"/>
      <c r="S119" s="16" t="str">
        <f t="shared" si="64"/>
        <v/>
      </c>
      <c r="T119" s="17" t="str">
        <f>IF(AND(O119&lt;&gt;"", R119&lt;&gt;""), SUM(R$4:R119), "")</f>
        <v/>
      </c>
      <c r="U119" s="16" t="str">
        <f t="shared" si="65"/>
        <v/>
      </c>
      <c r="W119" s="42"/>
      <c r="X119" s="83" t="str">
        <f t="shared" si="71"/>
        <v/>
      </c>
      <c r="Y119" s="15" t="str">
        <f t="shared" si="69"/>
        <v/>
      </c>
      <c r="Z119" s="42"/>
      <c r="AA119" s="16" t="str">
        <f t="shared" si="66"/>
        <v/>
      </c>
      <c r="AB119" s="17" t="str">
        <f>IF(AND(W119&lt;&gt;"", Z119&lt;&gt;""), SUM(Z$4:Z119), "")</f>
        <v/>
      </c>
      <c r="AC119" s="16" t="str">
        <f t="shared" si="67"/>
        <v/>
      </c>
      <c r="AD119" s="1"/>
      <c r="AE119" s="19">
        <v>44</v>
      </c>
      <c r="AF119" s="20">
        <v>71</v>
      </c>
      <c r="AG119" s="8"/>
      <c r="AH119" s="49">
        <v>71</v>
      </c>
      <c r="AI119" s="83">
        <f t="shared" si="81"/>
        <v>1</v>
      </c>
      <c r="AJ119" s="15">
        <f t="shared" si="78"/>
        <v>96.28</v>
      </c>
      <c r="AK119" s="52">
        <v>152</v>
      </c>
      <c r="AL119" s="16">
        <f t="shared" si="72"/>
        <v>7.3422857694908708E-3</v>
      </c>
      <c r="AM119" s="17">
        <f>IF(AND(AH119&lt;&gt;"", AK119&lt;&gt;""), SUM(AK$114:AK119), "")</f>
        <v>846</v>
      </c>
      <c r="AN119" s="16">
        <f t="shared" si="73"/>
        <v>4.0865616848613659E-2</v>
      </c>
      <c r="AO119" s="14"/>
      <c r="AP119" s="27">
        <v>44</v>
      </c>
      <c r="AQ119" s="20">
        <v>75</v>
      </c>
      <c r="AR119" s="8"/>
      <c r="AS119" s="49">
        <v>74</v>
      </c>
      <c r="AT119" s="83">
        <f t="shared" si="82"/>
        <v>1</v>
      </c>
      <c r="AU119" s="15">
        <f t="shared" si="79"/>
        <v>96.68</v>
      </c>
      <c r="AV119" s="52">
        <v>38</v>
      </c>
      <c r="AW119" s="16">
        <f t="shared" si="74"/>
        <v>7.2978682542730938E-3</v>
      </c>
      <c r="AX119" s="17">
        <f>IF(AND(AS119&lt;&gt;"", AV119&lt;&gt;""), SUM(AV$114:AV119), "")</f>
        <v>192</v>
      </c>
      <c r="AY119" s="16">
        <f t="shared" si="75"/>
        <v>3.6873439600537739E-2</v>
      </c>
      <c r="AZ119" s="14"/>
      <c r="BA119" s="27">
        <v>44</v>
      </c>
      <c r="BB119" s="20">
        <v>67</v>
      </c>
      <c r="BC119" s="8"/>
      <c r="BD119" s="49">
        <v>67</v>
      </c>
      <c r="BE119" s="83">
        <f t="shared" si="83"/>
        <v>2</v>
      </c>
      <c r="BF119" s="15">
        <f t="shared" si="80"/>
        <v>93.58</v>
      </c>
      <c r="BG119" s="52">
        <v>1218</v>
      </c>
      <c r="BH119" s="16">
        <f t="shared" si="76"/>
        <v>1.319667157839993E-2</v>
      </c>
      <c r="BI119" s="17">
        <f>IF(AND(BD119&lt;&gt;"", BG119&lt;&gt;""), SUM(BG$114:BG119), "")</f>
        <v>6537</v>
      </c>
      <c r="BJ119" s="16">
        <f t="shared" si="77"/>
        <v>7.0826471353038045E-2</v>
      </c>
      <c r="BK119" s="14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</row>
    <row r="120" spans="5:180" ht="16" customHeight="1" x14ac:dyDescent="0.2">
      <c r="E120" s="1"/>
      <c r="N120"/>
      <c r="O120" s="42"/>
      <c r="P120" s="83" t="str">
        <f t="shared" si="70"/>
        <v/>
      </c>
      <c r="Q120" s="15" t="str">
        <f t="shared" si="68"/>
        <v/>
      </c>
      <c r="R120" s="42"/>
      <c r="S120" s="16" t="str">
        <f t="shared" si="64"/>
        <v/>
      </c>
      <c r="T120" s="17" t="str">
        <f>IF(AND(O120&lt;&gt;"", R120&lt;&gt;""), SUM(R$4:R120), "")</f>
        <v/>
      </c>
      <c r="U120" s="16" t="str">
        <f t="shared" si="65"/>
        <v/>
      </c>
      <c r="W120" s="42"/>
      <c r="X120" s="83" t="str">
        <f t="shared" si="71"/>
        <v/>
      </c>
      <c r="Y120" s="15" t="str">
        <f t="shared" si="69"/>
        <v/>
      </c>
      <c r="Z120" s="42"/>
      <c r="AA120" s="16" t="str">
        <f t="shared" si="66"/>
        <v/>
      </c>
      <c r="AB120" s="17" t="str">
        <f>IF(AND(W120&lt;&gt;"", Z120&lt;&gt;""), SUM(Z$4:Z120), "")</f>
        <v/>
      </c>
      <c r="AC120" s="16" t="str">
        <f t="shared" si="67"/>
        <v/>
      </c>
      <c r="AD120" s="1"/>
      <c r="AE120" s="19">
        <v>43</v>
      </c>
      <c r="AF120" s="20">
        <v>70</v>
      </c>
      <c r="AG120" s="8"/>
      <c r="AH120" s="49">
        <v>70</v>
      </c>
      <c r="AI120" s="83">
        <f t="shared" si="81"/>
        <v>2</v>
      </c>
      <c r="AJ120" s="15">
        <f t="shared" si="78"/>
        <v>95.47</v>
      </c>
      <c r="AK120" s="52">
        <v>185</v>
      </c>
      <c r="AL120" s="16">
        <f t="shared" si="72"/>
        <v>8.936334653656652E-3</v>
      </c>
      <c r="AM120" s="17">
        <f>IF(AND(AH120&lt;&gt;"", AK120&lt;&gt;""), SUM(AK$114:AK120), "")</f>
        <v>1031</v>
      </c>
      <c r="AN120" s="16">
        <f t="shared" si="73"/>
        <v>4.9801951502270313E-2</v>
      </c>
      <c r="AO120" s="14"/>
      <c r="AP120" s="27">
        <v>43</v>
      </c>
      <c r="AQ120" s="20">
        <v>74</v>
      </c>
      <c r="AR120" s="8"/>
      <c r="AS120" s="49">
        <v>73</v>
      </c>
      <c r="AT120" s="83">
        <f t="shared" si="82"/>
        <v>1</v>
      </c>
      <c r="AU120" s="15">
        <f t="shared" si="79"/>
        <v>95.99</v>
      </c>
      <c r="AV120" s="52">
        <v>34</v>
      </c>
      <c r="AW120" s="16">
        <f t="shared" si="74"/>
        <v>6.5296715959285573E-3</v>
      </c>
      <c r="AX120" s="17">
        <f>IF(AND(AS120&lt;&gt;"", AV120&lt;&gt;""), SUM(AV$114:AV120), "")</f>
        <v>226</v>
      </c>
      <c r="AY120" s="16">
        <f t="shared" si="75"/>
        <v>4.3403111196466296E-2</v>
      </c>
      <c r="AZ120" s="14"/>
      <c r="BA120" s="27">
        <v>43</v>
      </c>
      <c r="BB120" s="20">
        <v>66</v>
      </c>
      <c r="BC120" s="8"/>
      <c r="BD120" s="49">
        <v>66</v>
      </c>
      <c r="BE120" s="83">
        <f t="shared" si="83"/>
        <v>2</v>
      </c>
      <c r="BF120" s="15">
        <f t="shared" si="80"/>
        <v>92.3</v>
      </c>
      <c r="BG120" s="52">
        <v>1133</v>
      </c>
      <c r="BH120" s="16">
        <f t="shared" si="76"/>
        <v>1.2275721591401577E-2</v>
      </c>
      <c r="BI120" s="17">
        <f>IF(AND(BD120&lt;&gt;"", BG120&lt;&gt;""), SUM(BG$114:BG120), "")</f>
        <v>7670</v>
      </c>
      <c r="BJ120" s="16">
        <f t="shared" si="77"/>
        <v>8.3102192944439629E-2</v>
      </c>
      <c r="BK120" s="14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</row>
    <row r="121" spans="5:180" ht="16" customHeight="1" x14ac:dyDescent="0.2">
      <c r="E121" s="1"/>
      <c r="N121"/>
      <c r="O121" s="42"/>
      <c r="P121" s="83" t="str">
        <f t="shared" si="70"/>
        <v/>
      </c>
      <c r="Q121" s="15" t="str">
        <f t="shared" si="68"/>
        <v/>
      </c>
      <c r="R121" s="42"/>
      <c r="S121" s="16" t="str">
        <f t="shared" si="64"/>
        <v/>
      </c>
      <c r="T121" s="17" t="str">
        <f>IF(AND(O121&lt;&gt;"", R121&lt;&gt;""), SUM(R$4:R121), "")</f>
        <v/>
      </c>
      <c r="U121" s="16" t="str">
        <f t="shared" si="65"/>
        <v/>
      </c>
      <c r="W121" s="42"/>
      <c r="X121" s="83" t="str">
        <f t="shared" si="71"/>
        <v/>
      </c>
      <c r="Y121" s="15" t="str">
        <f t="shared" si="69"/>
        <v/>
      </c>
      <c r="Z121" s="42"/>
      <c r="AA121" s="16" t="str">
        <f t="shared" si="66"/>
        <v/>
      </c>
      <c r="AB121" s="17" t="str">
        <f>IF(AND(W121&lt;&gt;"", Z121&lt;&gt;""), SUM(Z$4:Z121), "")</f>
        <v/>
      </c>
      <c r="AC121" s="16" t="str">
        <f t="shared" si="67"/>
        <v/>
      </c>
      <c r="AD121" s="1"/>
      <c r="AE121" s="19">
        <v>42</v>
      </c>
      <c r="AF121" s="20">
        <v>69</v>
      </c>
      <c r="AG121" s="8"/>
      <c r="AH121" s="49">
        <v>69</v>
      </c>
      <c r="AI121" s="83">
        <f t="shared" si="81"/>
        <v>2</v>
      </c>
      <c r="AJ121" s="15">
        <f t="shared" si="78"/>
        <v>94.4</v>
      </c>
      <c r="AK121" s="52">
        <v>257</v>
      </c>
      <c r="AL121" s="16">
        <f t="shared" si="72"/>
        <v>1.2414259491836537E-2</v>
      </c>
      <c r="AM121" s="17">
        <f>IF(AND(AH121&lt;&gt;"", AK121&lt;&gt;""), SUM(AK$114:AK121), "")</f>
        <v>1288</v>
      </c>
      <c r="AN121" s="16">
        <f t="shared" si="73"/>
        <v>6.2216210994106846E-2</v>
      </c>
      <c r="AO121" s="14"/>
      <c r="AP121" s="27">
        <v>42</v>
      </c>
      <c r="AQ121" s="20">
        <v>73</v>
      </c>
      <c r="AR121" s="8"/>
      <c r="AS121" s="49">
        <v>72</v>
      </c>
      <c r="AT121" s="83">
        <f t="shared" si="82"/>
        <v>2</v>
      </c>
      <c r="AU121" s="15">
        <f t="shared" si="79"/>
        <v>95.52</v>
      </c>
      <c r="AV121" s="52">
        <v>15</v>
      </c>
      <c r="AW121" s="16">
        <f t="shared" si="74"/>
        <v>2.8807374687920108E-3</v>
      </c>
      <c r="AX121" s="17">
        <f>IF(AND(AS121&lt;&gt;"", AV121&lt;&gt;""), SUM(AV$114:AV121), "")</f>
        <v>241</v>
      </c>
      <c r="AY121" s="16">
        <f t="shared" si="75"/>
        <v>4.6283848665258309E-2</v>
      </c>
      <c r="AZ121" s="14"/>
      <c r="BA121" s="27">
        <v>42</v>
      </c>
      <c r="BB121" s="20">
        <v>65</v>
      </c>
      <c r="BC121" s="8"/>
      <c r="BD121" s="49">
        <v>65</v>
      </c>
      <c r="BE121" s="83">
        <f t="shared" si="83"/>
        <v>2</v>
      </c>
      <c r="BF121" s="15">
        <f t="shared" si="80"/>
        <v>90.07</v>
      </c>
      <c r="BG121" s="52">
        <v>2993</v>
      </c>
      <c r="BH121" s="16">
        <f t="shared" si="76"/>
        <v>3.2428274248071425E-2</v>
      </c>
      <c r="BI121" s="17">
        <f>IF(AND(BD121&lt;&gt;"", BG121&lt;&gt;""), SUM(BG$114:BG121), "")</f>
        <v>10663</v>
      </c>
      <c r="BJ121" s="16">
        <f t="shared" si="77"/>
        <v>0.11553046719251105</v>
      </c>
      <c r="BK121" s="14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</row>
    <row r="122" spans="5:180" ht="16" customHeight="1" x14ac:dyDescent="0.2">
      <c r="E122" s="1"/>
      <c r="N122"/>
      <c r="O122" s="42"/>
      <c r="P122" s="83" t="str">
        <f t="shared" si="70"/>
        <v/>
      </c>
      <c r="Q122" s="15" t="str">
        <f t="shared" si="68"/>
        <v/>
      </c>
      <c r="R122" s="42"/>
      <c r="S122" s="16" t="str">
        <f t="shared" si="64"/>
        <v/>
      </c>
      <c r="T122" s="17" t="str">
        <f>IF(AND(O122&lt;&gt;"", R122&lt;&gt;""), SUM(R$4:R122), "")</f>
        <v/>
      </c>
      <c r="U122" s="16" t="str">
        <f t="shared" si="65"/>
        <v/>
      </c>
      <c r="W122" s="42"/>
      <c r="X122" s="83" t="str">
        <f t="shared" si="71"/>
        <v/>
      </c>
      <c r="Y122" s="15" t="str">
        <f t="shared" si="69"/>
        <v/>
      </c>
      <c r="Z122" s="42"/>
      <c r="AA122" s="16" t="str">
        <f t="shared" si="66"/>
        <v/>
      </c>
      <c r="AB122" s="17" t="str">
        <f>IF(AND(W122&lt;&gt;"", Z122&lt;&gt;""), SUM(Z$4:Z122), "")</f>
        <v/>
      </c>
      <c r="AC122" s="16" t="str">
        <f t="shared" si="67"/>
        <v/>
      </c>
      <c r="AD122" s="1"/>
      <c r="AE122" s="19">
        <v>41</v>
      </c>
      <c r="AF122" s="20">
        <v>68</v>
      </c>
      <c r="AG122" s="8"/>
      <c r="AH122" s="49">
        <v>68</v>
      </c>
      <c r="AI122" s="83">
        <f t="shared" si="81"/>
        <v>2</v>
      </c>
      <c r="AJ122" s="15">
        <f t="shared" si="78"/>
        <v>93.4</v>
      </c>
      <c r="AK122" s="52">
        <v>155</v>
      </c>
      <c r="AL122" s="16">
        <f t="shared" si="72"/>
        <v>7.4871993044150322E-3</v>
      </c>
      <c r="AM122" s="17">
        <f>IF(AND(AH122&lt;&gt;"", AK122&lt;&gt;""), SUM(AK$114:AK122), "")</f>
        <v>1443</v>
      </c>
      <c r="AN122" s="16">
        <f t="shared" si="73"/>
        <v>6.9703410298521881E-2</v>
      </c>
      <c r="AO122" s="14"/>
      <c r="AP122" s="27">
        <v>41</v>
      </c>
      <c r="AQ122" s="20">
        <v>72</v>
      </c>
      <c r="AR122" s="8"/>
      <c r="AS122" s="49">
        <v>71</v>
      </c>
      <c r="AT122" s="83">
        <f t="shared" si="82"/>
        <v>2</v>
      </c>
      <c r="AU122" s="15">
        <f t="shared" si="79"/>
        <v>94.9</v>
      </c>
      <c r="AV122" s="52">
        <v>49</v>
      </c>
      <c r="AW122" s="16">
        <f t="shared" si="74"/>
        <v>9.410409064720569E-3</v>
      </c>
      <c r="AX122" s="17">
        <f>IF(AND(AS122&lt;&gt;"", AV122&lt;&gt;""), SUM(AV$114:AV122), "")</f>
        <v>290</v>
      </c>
      <c r="AY122" s="16">
        <f t="shared" si="75"/>
        <v>5.5694257729978873E-2</v>
      </c>
      <c r="AZ122" s="14"/>
      <c r="BA122" s="27">
        <v>41</v>
      </c>
      <c r="BB122" s="20">
        <v>65</v>
      </c>
      <c r="BC122" s="8"/>
      <c r="BD122" s="49">
        <v>64</v>
      </c>
      <c r="BE122" s="83">
        <f t="shared" si="83"/>
        <v>3</v>
      </c>
      <c r="BF122" s="15">
        <f t="shared" si="80"/>
        <v>87.54</v>
      </c>
      <c r="BG122" s="52">
        <v>1681</v>
      </c>
      <c r="BH122" s="16">
        <f t="shared" si="76"/>
        <v>1.8213140331108608E-2</v>
      </c>
      <c r="BI122" s="17">
        <f>IF(AND(BD122&lt;&gt;"", BG122&lt;&gt;""), SUM(BG$114:BG122), "")</f>
        <v>12344</v>
      </c>
      <c r="BJ122" s="16">
        <f t="shared" si="77"/>
        <v>0.13374360752361966</v>
      </c>
      <c r="BK122" s="14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</row>
    <row r="123" spans="5:180" ht="16" customHeight="1" x14ac:dyDescent="0.2">
      <c r="E123" s="1"/>
      <c r="N123"/>
      <c r="O123" s="42"/>
      <c r="P123" s="83" t="str">
        <f t="shared" si="70"/>
        <v/>
      </c>
      <c r="Q123" s="15" t="str">
        <f t="shared" si="68"/>
        <v/>
      </c>
      <c r="R123" s="42"/>
      <c r="S123" s="16" t="str">
        <f t="shared" si="64"/>
        <v/>
      </c>
      <c r="T123" s="17" t="str">
        <f>IF(AND(O123&lt;&gt;"", R123&lt;&gt;""), SUM(R$4:R123), "")</f>
        <v/>
      </c>
      <c r="U123" s="16" t="str">
        <f t="shared" si="65"/>
        <v/>
      </c>
      <c r="W123" s="40"/>
      <c r="X123" s="83" t="str">
        <f t="shared" si="71"/>
        <v/>
      </c>
      <c r="Y123" s="15" t="str">
        <f t="shared" si="69"/>
        <v/>
      </c>
      <c r="Z123" s="40"/>
      <c r="AA123" s="16" t="str">
        <f t="shared" si="66"/>
        <v/>
      </c>
      <c r="AB123" s="17" t="str">
        <f>IF(AND(W123&lt;&gt;"", Z123&lt;&gt;""), SUM(Z$4:Z123), "")</f>
        <v/>
      </c>
      <c r="AC123" s="16" t="str">
        <f t="shared" si="67"/>
        <v/>
      </c>
      <c r="AD123" s="1"/>
      <c r="AE123" s="19">
        <v>40</v>
      </c>
      <c r="AF123" s="20">
        <v>67</v>
      </c>
      <c r="AG123" s="8"/>
      <c r="AH123" s="49">
        <v>67</v>
      </c>
      <c r="AI123" s="83">
        <f t="shared" si="81"/>
        <v>2</v>
      </c>
      <c r="AJ123" s="15">
        <f t="shared" si="78"/>
        <v>91.84</v>
      </c>
      <c r="AK123" s="52">
        <v>492</v>
      </c>
      <c r="AL123" s="16">
        <f t="shared" si="72"/>
        <v>2.3765819727562556E-2</v>
      </c>
      <c r="AM123" s="17">
        <f>IF(AND(AH123&lt;&gt;"", AK123&lt;&gt;""), SUM(AK$114:AK123), "")</f>
        <v>1935</v>
      </c>
      <c r="AN123" s="16">
        <f t="shared" si="73"/>
        <v>9.3469230026084441E-2</v>
      </c>
      <c r="AO123" s="14"/>
      <c r="AP123" s="27">
        <v>40</v>
      </c>
      <c r="AQ123" s="20">
        <v>71</v>
      </c>
      <c r="AR123" s="8"/>
      <c r="AS123" s="49">
        <v>70</v>
      </c>
      <c r="AT123" s="83">
        <f t="shared" si="82"/>
        <v>2</v>
      </c>
      <c r="AU123" s="15">
        <f t="shared" si="79"/>
        <v>94.12</v>
      </c>
      <c r="AV123" s="52">
        <v>32</v>
      </c>
      <c r="AW123" s="16">
        <f t="shared" si="74"/>
        <v>6.1455732667562895E-3</v>
      </c>
      <c r="AX123" s="17">
        <f>IF(AND(AS123&lt;&gt;"", AV123&lt;&gt;""), SUM(AV$114:AV123), "")</f>
        <v>322</v>
      </c>
      <c r="AY123" s="16">
        <f t="shared" si="75"/>
        <v>6.1839830996735165E-2</v>
      </c>
      <c r="AZ123" s="14"/>
      <c r="BA123" s="27">
        <v>40</v>
      </c>
      <c r="BB123" s="20">
        <v>64</v>
      </c>
      <c r="BC123" s="8"/>
      <c r="BD123" s="49">
        <v>63</v>
      </c>
      <c r="BE123" s="83">
        <f t="shared" si="83"/>
        <v>3</v>
      </c>
      <c r="BF123" s="15">
        <f t="shared" si="80"/>
        <v>85.83</v>
      </c>
      <c r="BG123" s="52">
        <v>1461</v>
      </c>
      <c r="BH123" s="16">
        <f t="shared" si="76"/>
        <v>1.5829505070642281E-2</v>
      </c>
      <c r="BI123" s="17">
        <f>IF(AND(BD123&lt;&gt;"", BG123&lt;&gt;""), SUM(BG$114:BG123), "")</f>
        <v>13805</v>
      </c>
      <c r="BJ123" s="16">
        <f t="shared" si="77"/>
        <v>0.14957311259426195</v>
      </c>
      <c r="BK123" s="14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</row>
    <row r="124" spans="5:180" ht="16" customHeight="1" x14ac:dyDescent="0.2">
      <c r="E124" s="1"/>
      <c r="N124"/>
      <c r="O124" s="42"/>
      <c r="P124" s="83" t="str">
        <f t="shared" si="70"/>
        <v/>
      </c>
      <c r="Q124" s="15" t="str">
        <f t="shared" si="68"/>
        <v/>
      </c>
      <c r="R124" s="42"/>
      <c r="S124" s="16" t="str">
        <f t="shared" si="64"/>
        <v/>
      </c>
      <c r="T124" s="17" t="str">
        <f>IF(AND(O124&lt;&gt;"", R124&lt;&gt;""), SUM(R$4:R124), "")</f>
        <v/>
      </c>
      <c r="U124" s="16" t="str">
        <f t="shared" si="65"/>
        <v/>
      </c>
      <c r="W124" s="41"/>
      <c r="X124" s="83" t="str">
        <f t="shared" si="71"/>
        <v/>
      </c>
      <c r="Y124" s="15" t="str">
        <f t="shared" si="69"/>
        <v/>
      </c>
      <c r="Z124" s="41"/>
      <c r="AA124" s="16" t="str">
        <f t="shared" si="66"/>
        <v/>
      </c>
      <c r="AB124" s="17" t="str">
        <f>IF(AND(W124&lt;&gt;"", Z124&lt;&gt;""), SUM(Z$4:Z124), "")</f>
        <v/>
      </c>
      <c r="AC124" s="16" t="str">
        <f t="shared" si="67"/>
        <v/>
      </c>
      <c r="AD124" s="1"/>
      <c r="AE124" s="19">
        <v>39</v>
      </c>
      <c r="AF124" s="20">
        <v>67</v>
      </c>
      <c r="AG124" s="8"/>
      <c r="AH124" s="49">
        <v>66</v>
      </c>
      <c r="AI124" s="83">
        <f t="shared" si="81"/>
        <v>2</v>
      </c>
      <c r="AJ124" s="15">
        <f t="shared" si="78"/>
        <v>90.13</v>
      </c>
      <c r="AK124" s="52">
        <v>218</v>
      </c>
      <c r="AL124" s="16">
        <f t="shared" si="72"/>
        <v>1.0530383537822433E-2</v>
      </c>
      <c r="AM124" s="17">
        <f>IF(AND(AH124&lt;&gt;"", AK124&lt;&gt;""), SUM(AK$114:AK124), "")</f>
        <v>2153</v>
      </c>
      <c r="AN124" s="16">
        <f t="shared" si="73"/>
        <v>0.10399961356390687</v>
      </c>
      <c r="AO124" s="14"/>
      <c r="AP124" s="27">
        <v>39</v>
      </c>
      <c r="AQ124" s="20">
        <v>70</v>
      </c>
      <c r="AR124" s="8"/>
      <c r="AS124" s="49">
        <v>69</v>
      </c>
      <c r="AT124" s="83">
        <f t="shared" si="82"/>
        <v>2</v>
      </c>
      <c r="AU124" s="15">
        <f t="shared" si="79"/>
        <v>93.38</v>
      </c>
      <c r="AV124" s="52">
        <v>45</v>
      </c>
      <c r="AW124" s="16">
        <f t="shared" si="74"/>
        <v>8.6422124063760316E-3</v>
      </c>
      <c r="AX124" s="17">
        <f>IF(AND(AS124&lt;&gt;"", AV124&lt;&gt;""), SUM(AV$114:AV124), "")</f>
        <v>367</v>
      </c>
      <c r="AY124" s="16">
        <f t="shared" si="75"/>
        <v>7.0482043403111191E-2</v>
      </c>
      <c r="AZ124" s="14"/>
      <c r="BA124" s="27">
        <v>39</v>
      </c>
      <c r="BB124" s="20">
        <v>63</v>
      </c>
      <c r="BC124" s="8"/>
      <c r="BD124" s="49">
        <v>62</v>
      </c>
      <c r="BE124" s="83">
        <f t="shared" si="83"/>
        <v>3</v>
      </c>
      <c r="BF124" s="15">
        <f t="shared" si="80"/>
        <v>84.22</v>
      </c>
      <c r="BG124" s="52">
        <v>1527</v>
      </c>
      <c r="BH124" s="16">
        <f t="shared" si="76"/>
        <v>1.654459564878218E-2</v>
      </c>
      <c r="BI124" s="17">
        <f>IF(AND(BD124&lt;&gt;"", BG124&lt;&gt;""), SUM(BG$114:BG124), "")</f>
        <v>15332</v>
      </c>
      <c r="BJ124" s="16">
        <f t="shared" si="77"/>
        <v>0.16611770824304412</v>
      </c>
      <c r="BK124" s="1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</row>
    <row r="125" spans="5:180" ht="16" customHeight="1" x14ac:dyDescent="0.2">
      <c r="E125" s="1"/>
      <c r="N125"/>
      <c r="O125" s="42"/>
      <c r="P125" s="83" t="str">
        <f t="shared" si="70"/>
        <v/>
      </c>
      <c r="Q125" s="15" t="str">
        <f t="shared" si="68"/>
        <v/>
      </c>
      <c r="R125" s="42"/>
      <c r="S125" s="16" t="str">
        <f t="shared" si="64"/>
        <v/>
      </c>
      <c r="T125" s="17" t="str">
        <f>IF(AND(O125&lt;&gt;"", R125&lt;&gt;""), SUM(R$4:R125), "")</f>
        <v/>
      </c>
      <c r="U125" s="16" t="str">
        <f t="shared" si="65"/>
        <v/>
      </c>
      <c r="W125" s="42"/>
      <c r="X125" s="83" t="str">
        <f t="shared" si="71"/>
        <v/>
      </c>
      <c r="Y125" s="15" t="str">
        <f t="shared" si="69"/>
        <v/>
      </c>
      <c r="Z125" s="42"/>
      <c r="AA125" s="16" t="str">
        <f t="shared" si="66"/>
        <v/>
      </c>
      <c r="AB125" s="17" t="str">
        <f>IF(AND(W125&lt;&gt;"", Z125&lt;&gt;""), SUM(Z$4:Z125), "")</f>
        <v/>
      </c>
      <c r="AC125" s="16" t="str">
        <f t="shared" si="67"/>
        <v/>
      </c>
      <c r="AD125" s="1"/>
      <c r="AE125" s="19">
        <v>38</v>
      </c>
      <c r="AF125" s="20">
        <v>66</v>
      </c>
      <c r="AG125" s="8"/>
      <c r="AH125" s="49">
        <v>65</v>
      </c>
      <c r="AI125" s="83">
        <f t="shared" si="81"/>
        <v>2</v>
      </c>
      <c r="AJ125" s="15">
        <f t="shared" si="78"/>
        <v>88.87</v>
      </c>
      <c r="AK125" s="52">
        <v>301</v>
      </c>
      <c r="AL125" s="16">
        <f t="shared" si="72"/>
        <v>1.4539658004057579E-2</v>
      </c>
      <c r="AM125" s="17">
        <f>IF(AND(AH125&lt;&gt;"", AK125&lt;&gt;""), SUM(AK$114:AK125), "")</f>
        <v>2454</v>
      </c>
      <c r="AN125" s="16">
        <f t="shared" si="73"/>
        <v>0.11853927156796444</v>
      </c>
      <c r="AO125" s="14"/>
      <c r="AP125" s="27">
        <v>38</v>
      </c>
      <c r="AQ125" s="20">
        <v>69</v>
      </c>
      <c r="AR125" s="8"/>
      <c r="AS125" s="49">
        <v>68</v>
      </c>
      <c r="AT125" s="83">
        <f t="shared" si="82"/>
        <v>2</v>
      </c>
      <c r="AU125" s="15">
        <f t="shared" si="79"/>
        <v>92.52</v>
      </c>
      <c r="AV125" s="52">
        <v>45</v>
      </c>
      <c r="AW125" s="16">
        <f t="shared" si="74"/>
        <v>8.6422124063760316E-3</v>
      </c>
      <c r="AX125" s="17">
        <f>IF(AND(AS125&lt;&gt;"", AV125&lt;&gt;""), SUM(AV$114:AV125), "")</f>
        <v>412</v>
      </c>
      <c r="AY125" s="16">
        <f t="shared" si="75"/>
        <v>7.9124255809487232E-2</v>
      </c>
      <c r="AZ125" s="14"/>
      <c r="BA125" s="27">
        <v>38</v>
      </c>
      <c r="BB125" s="20">
        <v>62</v>
      </c>
      <c r="BC125" s="8"/>
      <c r="BD125" s="49">
        <v>61</v>
      </c>
      <c r="BE125" s="83">
        <f t="shared" si="83"/>
        <v>3</v>
      </c>
      <c r="BF125" s="15">
        <f t="shared" si="80"/>
        <v>82.47</v>
      </c>
      <c r="BG125" s="52">
        <v>1689</v>
      </c>
      <c r="BH125" s="16">
        <f t="shared" si="76"/>
        <v>1.8299817976943748E-2</v>
      </c>
      <c r="BI125" s="17">
        <f>IF(AND(BD125&lt;&gt;"", BG125&lt;&gt;""), SUM(BG$114:BG125), "")</f>
        <v>17021</v>
      </c>
      <c r="BJ125" s="16">
        <f t="shared" si="77"/>
        <v>0.18441752621998786</v>
      </c>
      <c r="BK125" s="14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</row>
    <row r="126" spans="5:180" ht="16" customHeight="1" x14ac:dyDescent="0.2">
      <c r="E126" s="1"/>
      <c r="N126"/>
      <c r="O126" s="42"/>
      <c r="P126" s="83" t="str">
        <f t="shared" si="70"/>
        <v/>
      </c>
      <c r="Q126" s="15" t="str">
        <f t="shared" si="68"/>
        <v/>
      </c>
      <c r="R126" s="42"/>
      <c r="S126" s="16" t="str">
        <f t="shared" si="64"/>
        <v/>
      </c>
      <c r="T126" s="17" t="str">
        <f>IF(AND(O126&lt;&gt;"", R126&lt;&gt;""), SUM(R$4:R126), "")</f>
        <v/>
      </c>
      <c r="U126" s="16" t="str">
        <f t="shared" si="65"/>
        <v/>
      </c>
      <c r="W126" s="42"/>
      <c r="X126" s="83" t="str">
        <f t="shared" si="71"/>
        <v/>
      </c>
      <c r="Y126" s="15" t="str">
        <f t="shared" si="69"/>
        <v/>
      </c>
      <c r="Z126" s="42"/>
      <c r="AA126" s="16" t="str">
        <f t="shared" si="66"/>
        <v/>
      </c>
      <c r="AB126" s="17" t="str">
        <f>IF(AND(W126&lt;&gt;"", Z126&lt;&gt;""), SUM(Z$4:Z126), "")</f>
        <v/>
      </c>
      <c r="AC126" s="16" t="str">
        <f t="shared" si="67"/>
        <v/>
      </c>
      <c r="AD126" s="1"/>
      <c r="AE126" s="19">
        <v>37</v>
      </c>
      <c r="AF126" s="20">
        <v>65</v>
      </c>
      <c r="AG126" s="8"/>
      <c r="AH126" s="49">
        <v>64</v>
      </c>
      <c r="AI126" s="83">
        <f t="shared" si="81"/>
        <v>3</v>
      </c>
      <c r="AJ126" s="15">
        <f t="shared" si="78"/>
        <v>87.63</v>
      </c>
      <c r="AK126" s="52">
        <v>215</v>
      </c>
      <c r="AL126" s="16">
        <f t="shared" si="72"/>
        <v>1.0385470002898271E-2</v>
      </c>
      <c r="AM126" s="17">
        <f>IF(AND(AH126&lt;&gt;"", AK126&lt;&gt;""), SUM(AK$114:AK126), "")</f>
        <v>2669</v>
      </c>
      <c r="AN126" s="16">
        <f t="shared" si="73"/>
        <v>0.12892474157086273</v>
      </c>
      <c r="AO126" s="14"/>
      <c r="AP126" s="27">
        <v>37</v>
      </c>
      <c r="AQ126" s="20">
        <v>68</v>
      </c>
      <c r="AR126" s="8"/>
      <c r="AS126" s="49">
        <v>67</v>
      </c>
      <c r="AT126" s="83">
        <f t="shared" si="82"/>
        <v>2</v>
      </c>
      <c r="AU126" s="15">
        <f t="shared" si="79"/>
        <v>91.69</v>
      </c>
      <c r="AV126" s="52">
        <v>41</v>
      </c>
      <c r="AW126" s="16">
        <f t="shared" si="74"/>
        <v>7.874015748031496E-3</v>
      </c>
      <c r="AX126" s="17">
        <f>IF(AND(AS126&lt;&gt;"", AV126&lt;&gt;""), SUM(AV$114:AV126), "")</f>
        <v>453</v>
      </c>
      <c r="AY126" s="16">
        <f t="shared" si="75"/>
        <v>8.6998271557518728E-2</v>
      </c>
      <c r="AZ126" s="14"/>
      <c r="BA126" s="27">
        <v>37</v>
      </c>
      <c r="BB126" s="20">
        <v>61</v>
      </c>
      <c r="BC126" s="8"/>
      <c r="BD126" s="49">
        <v>60</v>
      </c>
      <c r="BE126" s="83">
        <f t="shared" si="83"/>
        <v>3</v>
      </c>
      <c r="BF126" s="15">
        <f t="shared" si="80"/>
        <v>79.86</v>
      </c>
      <c r="BG126" s="52">
        <v>3135</v>
      </c>
      <c r="BH126" s="16">
        <f t="shared" si="76"/>
        <v>3.3966802461645143E-2</v>
      </c>
      <c r="BI126" s="17">
        <f>IF(AND(BD126&lt;&gt;"", BG126&lt;&gt;""), SUM(BG$114:BG126), "")</f>
        <v>20156</v>
      </c>
      <c r="BJ126" s="16">
        <f t="shared" si="77"/>
        <v>0.21838432868163302</v>
      </c>
      <c r="BK126" s="14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</row>
    <row r="127" spans="5:180" ht="16" customHeight="1" x14ac:dyDescent="0.2">
      <c r="E127" s="1"/>
      <c r="N127"/>
      <c r="O127" s="42"/>
      <c r="P127" s="83" t="str">
        <f t="shared" si="70"/>
        <v/>
      </c>
      <c r="Q127" s="15" t="str">
        <f t="shared" si="68"/>
        <v/>
      </c>
      <c r="R127" s="42"/>
      <c r="S127" s="16" t="str">
        <f t="shared" si="64"/>
        <v/>
      </c>
      <c r="T127" s="17" t="str">
        <f>IF(AND(O127&lt;&gt;"", R127&lt;&gt;""), SUM(R$4:R127), "")</f>
        <v/>
      </c>
      <c r="U127" s="16" t="str">
        <f t="shared" si="65"/>
        <v/>
      </c>
      <c r="W127" s="42"/>
      <c r="X127" s="83" t="str">
        <f t="shared" si="71"/>
        <v/>
      </c>
      <c r="Y127" s="15" t="str">
        <f t="shared" si="69"/>
        <v/>
      </c>
      <c r="Z127" s="42"/>
      <c r="AA127" s="16" t="str">
        <f t="shared" si="66"/>
        <v/>
      </c>
      <c r="AB127" s="17" t="str">
        <f>IF(AND(W127&lt;&gt;"", Z127&lt;&gt;""), SUM(Z$4:Z127), "")</f>
        <v/>
      </c>
      <c r="AC127" s="16" t="str">
        <f t="shared" si="67"/>
        <v/>
      </c>
      <c r="AD127" s="1"/>
      <c r="AE127" s="19">
        <v>36</v>
      </c>
      <c r="AF127" s="20">
        <v>64</v>
      </c>
      <c r="AG127" s="8"/>
      <c r="AH127" s="49">
        <v>63</v>
      </c>
      <c r="AI127" s="83">
        <f t="shared" si="81"/>
        <v>3</v>
      </c>
      <c r="AJ127" s="15">
        <f t="shared" si="78"/>
        <v>86.4</v>
      </c>
      <c r="AK127" s="52">
        <v>291</v>
      </c>
      <c r="AL127" s="16">
        <f t="shared" si="72"/>
        <v>1.4056612887643706E-2</v>
      </c>
      <c r="AM127" s="17">
        <f>IF(AND(AH127&lt;&gt;"", AK127&lt;&gt;""), SUM(AK$114:AK127), "")</f>
        <v>2960</v>
      </c>
      <c r="AN127" s="16">
        <f t="shared" si="73"/>
        <v>0.14298135445850643</v>
      </c>
      <c r="AO127" s="14"/>
      <c r="AP127" s="27">
        <v>36</v>
      </c>
      <c r="AQ127" s="20">
        <v>67</v>
      </c>
      <c r="AR127" s="8"/>
      <c r="AS127" s="49">
        <v>66</v>
      </c>
      <c r="AT127" s="83">
        <f t="shared" si="82"/>
        <v>2</v>
      </c>
      <c r="AU127" s="15">
        <f t="shared" si="79"/>
        <v>90.89</v>
      </c>
      <c r="AV127" s="52">
        <v>43</v>
      </c>
      <c r="AW127" s="16">
        <f t="shared" si="74"/>
        <v>8.2581140772037646E-3</v>
      </c>
      <c r="AX127" s="17">
        <f>IF(AND(AS127&lt;&gt;"", AV127&lt;&gt;""), SUM(AV$114:AV127), "")</f>
        <v>496</v>
      </c>
      <c r="AY127" s="16">
        <f t="shared" si="75"/>
        <v>9.5256385634722496E-2</v>
      </c>
      <c r="AZ127" s="14"/>
      <c r="BA127" s="27">
        <v>36</v>
      </c>
      <c r="BB127" s="20">
        <v>60</v>
      </c>
      <c r="BC127" s="8"/>
      <c r="BD127" s="49">
        <v>59</v>
      </c>
      <c r="BE127" s="83">
        <f t="shared" si="83"/>
        <v>3</v>
      </c>
      <c r="BF127" s="15">
        <f t="shared" si="80"/>
        <v>77.290000000000006</v>
      </c>
      <c r="BG127" s="52">
        <v>1602</v>
      </c>
      <c r="BH127" s="16">
        <f t="shared" si="76"/>
        <v>1.7357198578486607E-2</v>
      </c>
      <c r="BI127" s="17">
        <f>IF(AND(BD127&lt;&gt;"", BG127&lt;&gt;""), SUM(BG$114:BG127), "")</f>
        <v>21758</v>
      </c>
      <c r="BJ127" s="16">
        <f t="shared" si="77"/>
        <v>0.23574152726011963</v>
      </c>
      <c r="BK127" s="14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</row>
    <row r="128" spans="5:180" ht="16" customHeight="1" x14ac:dyDescent="0.2">
      <c r="E128" s="1"/>
      <c r="N128"/>
      <c r="O128" s="42"/>
      <c r="P128" s="83" t="str">
        <f t="shared" si="70"/>
        <v/>
      </c>
      <c r="Q128" s="15" t="str">
        <f t="shared" si="68"/>
        <v/>
      </c>
      <c r="R128" s="42"/>
      <c r="S128" s="16" t="str">
        <f t="shared" si="64"/>
        <v/>
      </c>
      <c r="T128" s="17" t="str">
        <f>IF(AND(O128&lt;&gt;"", R128&lt;&gt;""), SUM(R$4:R128), "")</f>
        <v/>
      </c>
      <c r="U128" s="16" t="str">
        <f t="shared" si="65"/>
        <v/>
      </c>
      <c r="W128" s="42"/>
      <c r="X128" s="83" t="str">
        <f t="shared" si="71"/>
        <v/>
      </c>
      <c r="Y128" s="15" t="str">
        <f t="shared" si="69"/>
        <v/>
      </c>
      <c r="Z128" s="42"/>
      <c r="AA128" s="16" t="str">
        <f t="shared" si="66"/>
        <v/>
      </c>
      <c r="AB128" s="17" t="str">
        <f>IF(AND(W128&lt;&gt;"", Z128&lt;&gt;""), SUM(Z$4:Z128), "")</f>
        <v/>
      </c>
      <c r="AC128" s="16" t="str">
        <f t="shared" si="67"/>
        <v/>
      </c>
      <c r="AD128" s="1"/>
      <c r="AE128" s="19">
        <v>35</v>
      </c>
      <c r="AF128" s="20">
        <v>63</v>
      </c>
      <c r="AG128" s="8"/>
      <c r="AH128" s="49">
        <v>62</v>
      </c>
      <c r="AI128" s="83">
        <f t="shared" si="81"/>
        <v>3</v>
      </c>
      <c r="AJ128" s="15">
        <f t="shared" si="78"/>
        <v>85.06</v>
      </c>
      <c r="AK128" s="52">
        <v>266</v>
      </c>
      <c r="AL128" s="16">
        <f t="shared" si="72"/>
        <v>1.2849000096609024E-2</v>
      </c>
      <c r="AM128" s="17">
        <f>IF(AND(AH128&lt;&gt;"", AK128&lt;&gt;""), SUM(AK$114:AK128), "")</f>
        <v>3226</v>
      </c>
      <c r="AN128" s="16">
        <f t="shared" si="73"/>
        <v>0.15583035455511546</v>
      </c>
      <c r="AO128" s="14"/>
      <c r="AP128" s="27">
        <v>35</v>
      </c>
      <c r="AQ128" s="20">
        <v>66</v>
      </c>
      <c r="AR128" s="8"/>
      <c r="AS128" s="49">
        <v>65</v>
      </c>
      <c r="AT128" s="83">
        <f t="shared" si="82"/>
        <v>2</v>
      </c>
      <c r="AU128" s="15">
        <f t="shared" si="79"/>
        <v>90.07</v>
      </c>
      <c r="AV128" s="52">
        <v>42</v>
      </c>
      <c r="AW128" s="16">
        <f t="shared" si="74"/>
        <v>8.0660649126176303E-3</v>
      </c>
      <c r="AX128" s="17">
        <f>IF(AND(AS128&lt;&gt;"", AV128&lt;&gt;""), SUM(AV$114:AV128), "")</f>
        <v>538</v>
      </c>
      <c r="AY128" s="16">
        <f t="shared" si="75"/>
        <v>0.10332245054734011</v>
      </c>
      <c r="AZ128" s="14"/>
      <c r="BA128" s="27">
        <v>35</v>
      </c>
      <c r="BB128" s="20">
        <v>60</v>
      </c>
      <c r="BC128" s="8"/>
      <c r="BD128" s="49">
        <v>58</v>
      </c>
      <c r="BE128" s="83">
        <f t="shared" si="83"/>
        <v>4</v>
      </c>
      <c r="BF128" s="15">
        <f t="shared" si="80"/>
        <v>75.510000000000005</v>
      </c>
      <c r="BG128" s="52">
        <v>1695</v>
      </c>
      <c r="BH128" s="16">
        <f t="shared" si="76"/>
        <v>1.8364826211320101E-2</v>
      </c>
      <c r="BI128" s="17">
        <f>IF(AND(BD128&lt;&gt;"", BG128&lt;&gt;""), SUM(BG$114:BG128), "")</f>
        <v>23453</v>
      </c>
      <c r="BJ128" s="16">
        <f t="shared" si="77"/>
        <v>0.25410635347143973</v>
      </c>
      <c r="BK128" s="14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</row>
    <row r="129" spans="1:180" ht="16" customHeight="1" x14ac:dyDescent="0.2">
      <c r="E129" s="1"/>
      <c r="N129"/>
      <c r="O129" s="42"/>
      <c r="P129" s="83" t="str">
        <f t="shared" si="70"/>
        <v/>
      </c>
      <c r="Q129" s="15" t="str">
        <f t="shared" si="68"/>
        <v/>
      </c>
      <c r="R129" s="42"/>
      <c r="S129" s="16" t="str">
        <f t="shared" si="64"/>
        <v/>
      </c>
      <c r="T129" s="17" t="str">
        <f>IF(AND(O129&lt;&gt;"", R129&lt;&gt;""), SUM(R$4:R129), "")</f>
        <v/>
      </c>
      <c r="U129" s="16" t="str">
        <f t="shared" si="65"/>
        <v/>
      </c>
      <c r="W129" s="42"/>
      <c r="X129" s="83" t="str">
        <f t="shared" si="71"/>
        <v/>
      </c>
      <c r="Y129" s="15" t="str">
        <f t="shared" si="69"/>
        <v/>
      </c>
      <c r="Z129" s="42"/>
      <c r="AA129" s="16" t="str">
        <f t="shared" si="66"/>
        <v/>
      </c>
      <c r="AB129" s="17" t="str">
        <f>IF(AND(W129&lt;&gt;"", Z129&lt;&gt;""), SUM(Z$4:Z129), "")</f>
        <v/>
      </c>
      <c r="AC129" s="16" t="str">
        <f t="shared" si="67"/>
        <v/>
      </c>
      <c r="AD129" s="1"/>
      <c r="AE129" s="19">
        <v>34</v>
      </c>
      <c r="AF129" s="20">
        <v>62</v>
      </c>
      <c r="AG129" s="8"/>
      <c r="AH129" s="49">
        <v>61</v>
      </c>
      <c r="AI129" s="83">
        <f t="shared" si="81"/>
        <v>3</v>
      </c>
      <c r="AJ129" s="15">
        <f t="shared" si="78"/>
        <v>83.71</v>
      </c>
      <c r="AK129" s="52">
        <v>291</v>
      </c>
      <c r="AL129" s="16">
        <f t="shared" si="72"/>
        <v>1.4056612887643706E-2</v>
      </c>
      <c r="AM129" s="17">
        <f>IF(AND(AH129&lt;&gt;"", AK129&lt;&gt;""), SUM(AK$114:AK129), "")</f>
        <v>3517</v>
      </c>
      <c r="AN129" s="16">
        <f t="shared" si="73"/>
        <v>0.16988696744275916</v>
      </c>
      <c r="AO129" s="14"/>
      <c r="AP129" s="27">
        <v>34</v>
      </c>
      <c r="AQ129" s="20">
        <v>65</v>
      </c>
      <c r="AR129" s="8"/>
      <c r="AS129" s="49">
        <v>64</v>
      </c>
      <c r="AT129" s="83">
        <f t="shared" si="82"/>
        <v>2</v>
      </c>
      <c r="AU129" s="15">
        <f t="shared" si="79"/>
        <v>89.18</v>
      </c>
      <c r="AV129" s="52">
        <v>51</v>
      </c>
      <c r="AW129" s="16">
        <f t="shared" si="74"/>
        <v>9.7945073938928359E-3</v>
      </c>
      <c r="AX129" s="17">
        <f>IF(AND(AS129&lt;&gt;"", AV129&lt;&gt;""), SUM(AV$114:AV129), "")</f>
        <v>589</v>
      </c>
      <c r="AY129" s="16">
        <f t="shared" si="75"/>
        <v>0.11311695794123296</v>
      </c>
      <c r="AZ129" s="14"/>
      <c r="BA129" s="27">
        <v>34</v>
      </c>
      <c r="BB129" s="20">
        <v>59</v>
      </c>
      <c r="BC129" s="8"/>
      <c r="BD129" s="49">
        <v>57</v>
      </c>
      <c r="BE129" s="83">
        <f t="shared" si="83"/>
        <v>4</v>
      </c>
      <c r="BF129" s="15">
        <f t="shared" si="80"/>
        <v>73.599999999999994</v>
      </c>
      <c r="BG129" s="52">
        <v>1833</v>
      </c>
      <c r="BH129" s="16">
        <f t="shared" si="76"/>
        <v>1.9860015601976252E-2</v>
      </c>
      <c r="BI129" s="17">
        <f>IF(AND(BD129&lt;&gt;"", BG129&lt;&gt;""), SUM(BG$114:BG129), "")</f>
        <v>25286</v>
      </c>
      <c r="BJ129" s="16">
        <f t="shared" si="77"/>
        <v>0.27396636907341598</v>
      </c>
      <c r="BK129" s="14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</row>
    <row r="130" spans="1:180" ht="16" customHeight="1" x14ac:dyDescent="0.2">
      <c r="E130" s="1"/>
      <c r="N130"/>
      <c r="O130" s="42"/>
      <c r="P130" s="83" t="str">
        <f t="shared" si="70"/>
        <v/>
      </c>
      <c r="Q130" s="15" t="str">
        <f t="shared" si="68"/>
        <v/>
      </c>
      <c r="R130" s="42"/>
      <c r="S130" s="16" t="str">
        <f t="shared" si="64"/>
        <v/>
      </c>
      <c r="T130" s="17" t="str">
        <f>IF(AND(O130&lt;&gt;"", R130&lt;&gt;""), SUM(R$4:R130), "")</f>
        <v/>
      </c>
      <c r="U130" s="16" t="str">
        <f t="shared" si="65"/>
        <v/>
      </c>
      <c r="W130" s="42"/>
      <c r="X130" s="83" t="str">
        <f t="shared" si="71"/>
        <v/>
      </c>
      <c r="Y130" s="15" t="str">
        <f t="shared" si="69"/>
        <v/>
      </c>
      <c r="Z130" s="42"/>
      <c r="AA130" s="16" t="str">
        <f t="shared" si="66"/>
        <v/>
      </c>
      <c r="AB130" s="17" t="str">
        <f>IF(AND(W130&lt;&gt;"", Z130&lt;&gt;""), SUM(Z$4:Z130), "")</f>
        <v/>
      </c>
      <c r="AC130" s="16" t="str">
        <f t="shared" si="67"/>
        <v/>
      </c>
      <c r="AD130" s="1"/>
      <c r="AE130" s="19">
        <v>33</v>
      </c>
      <c r="AF130" s="20">
        <v>61</v>
      </c>
      <c r="AG130" s="8"/>
      <c r="AH130" s="49">
        <v>60</v>
      </c>
      <c r="AI130" s="83">
        <f t="shared" si="81"/>
        <v>3</v>
      </c>
      <c r="AJ130" s="15">
        <f t="shared" si="78"/>
        <v>82.3</v>
      </c>
      <c r="AK130" s="52">
        <v>293</v>
      </c>
      <c r="AL130" s="16">
        <f t="shared" si="72"/>
        <v>1.4153221910926481E-2</v>
      </c>
      <c r="AM130" s="17">
        <f>IF(AND(AH130&lt;&gt;"", AK130&lt;&gt;""), SUM(AK$114:AK130), "")</f>
        <v>3810</v>
      </c>
      <c r="AN130" s="16">
        <f t="shared" si="73"/>
        <v>0.18404018935368563</v>
      </c>
      <c r="AO130" s="14"/>
      <c r="AP130" s="27">
        <v>33</v>
      </c>
      <c r="AQ130" s="20">
        <v>64</v>
      </c>
      <c r="AR130" s="8"/>
      <c r="AS130" s="49">
        <v>63</v>
      </c>
      <c r="AT130" s="83">
        <f t="shared" si="82"/>
        <v>3</v>
      </c>
      <c r="AU130" s="15">
        <f t="shared" si="79"/>
        <v>88.1</v>
      </c>
      <c r="AV130" s="52">
        <v>61</v>
      </c>
      <c r="AW130" s="16">
        <f t="shared" si="74"/>
        <v>1.1714999039754178E-2</v>
      </c>
      <c r="AX130" s="17">
        <f>IF(AND(AS130&lt;&gt;"", AV130&lt;&gt;""), SUM(AV$114:AV130), "")</f>
        <v>650</v>
      </c>
      <c r="AY130" s="16">
        <f t="shared" si="75"/>
        <v>0.12483195698098713</v>
      </c>
      <c r="AZ130" s="14"/>
      <c r="BA130" s="27">
        <v>33</v>
      </c>
      <c r="BB130" s="20">
        <v>58</v>
      </c>
      <c r="BC130" s="8"/>
      <c r="BD130" s="49">
        <v>56</v>
      </c>
      <c r="BE130" s="83">
        <f t="shared" si="83"/>
        <v>4</v>
      </c>
      <c r="BF130" s="15">
        <f t="shared" si="80"/>
        <v>71.709999999999994</v>
      </c>
      <c r="BG130" s="52">
        <v>1646</v>
      </c>
      <c r="BH130" s="16">
        <f t="shared" si="76"/>
        <v>1.7833925630579874E-2</v>
      </c>
      <c r="BI130" s="17">
        <f>IF(AND(BD130&lt;&gt;"", BG130&lt;&gt;""), SUM(BG$114:BG130), "")</f>
        <v>26932</v>
      </c>
      <c r="BJ130" s="16">
        <f t="shared" si="77"/>
        <v>0.29180029470399582</v>
      </c>
      <c r="BK130" s="14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</row>
    <row r="131" spans="1:180" ht="16" customHeight="1" x14ac:dyDescent="0.2">
      <c r="E131" s="1"/>
      <c r="N131"/>
      <c r="O131" s="42"/>
      <c r="P131" s="83" t="str">
        <f t="shared" si="70"/>
        <v/>
      </c>
      <c r="Q131" s="15" t="str">
        <f t="shared" si="68"/>
        <v/>
      </c>
      <c r="R131" s="42"/>
      <c r="S131" s="16" t="str">
        <f t="shared" si="64"/>
        <v/>
      </c>
      <c r="T131" s="17" t="str">
        <f>IF(AND(O131&lt;&gt;"", R131&lt;&gt;""), SUM(R$4:R131), "")</f>
        <v/>
      </c>
      <c r="U131" s="16" t="str">
        <f t="shared" si="65"/>
        <v/>
      </c>
      <c r="W131" s="42"/>
      <c r="X131" s="83" t="str">
        <f t="shared" si="71"/>
        <v/>
      </c>
      <c r="Y131" s="15" t="str">
        <f t="shared" si="69"/>
        <v/>
      </c>
      <c r="Z131" s="42"/>
      <c r="AA131" s="16" t="str">
        <f t="shared" si="66"/>
        <v/>
      </c>
      <c r="AB131" s="17" t="str">
        <f>IF(AND(W131&lt;&gt;"", Z131&lt;&gt;""), SUM(Z$4:Z131), "")</f>
        <v/>
      </c>
      <c r="AC131" s="16" t="str">
        <f t="shared" si="67"/>
        <v/>
      </c>
      <c r="AD131" s="1"/>
      <c r="AE131" s="19">
        <v>32</v>
      </c>
      <c r="AF131" s="20">
        <v>60</v>
      </c>
      <c r="AG131" s="8"/>
      <c r="AH131" s="49">
        <v>59</v>
      </c>
      <c r="AI131" s="83">
        <f t="shared" si="81"/>
        <v>3</v>
      </c>
      <c r="AJ131" s="15">
        <f t="shared" si="78"/>
        <v>79.91</v>
      </c>
      <c r="AK131" s="52">
        <v>697</v>
      </c>
      <c r="AL131" s="16">
        <f t="shared" si="72"/>
        <v>3.3668244614046952E-2</v>
      </c>
      <c r="AM131" s="17">
        <f>IF(AND(AH131&lt;&gt;"", AK131&lt;&gt;""), SUM(AK$114:AK131), "")</f>
        <v>4507</v>
      </c>
      <c r="AN131" s="16">
        <f t="shared" si="73"/>
        <v>0.2177084339677326</v>
      </c>
      <c r="AO131" s="14"/>
      <c r="AP131" s="27">
        <v>32</v>
      </c>
      <c r="AQ131" s="20">
        <v>63</v>
      </c>
      <c r="AR131" s="8"/>
      <c r="AS131" s="49">
        <v>62</v>
      </c>
      <c r="AT131" s="83">
        <f t="shared" si="82"/>
        <v>3</v>
      </c>
      <c r="AU131" s="15">
        <f t="shared" si="79"/>
        <v>86.99</v>
      </c>
      <c r="AV131" s="52">
        <v>55</v>
      </c>
      <c r="AW131" s="16">
        <f t="shared" si="74"/>
        <v>1.0562704052237373E-2</v>
      </c>
      <c r="AX131" s="17">
        <f>IF(AND(AS131&lt;&gt;"", AV131&lt;&gt;""), SUM(AV$114:AV131), "")</f>
        <v>705</v>
      </c>
      <c r="AY131" s="16">
        <f t="shared" si="75"/>
        <v>0.13539466103322451</v>
      </c>
      <c r="AZ131" s="14"/>
      <c r="BA131" s="27">
        <v>32</v>
      </c>
      <c r="BB131" s="20">
        <v>57</v>
      </c>
      <c r="BC131" s="8"/>
      <c r="BD131" s="49">
        <v>55</v>
      </c>
      <c r="BE131" s="83">
        <f t="shared" si="83"/>
        <v>4</v>
      </c>
      <c r="BF131" s="15">
        <f t="shared" si="80"/>
        <v>68.73</v>
      </c>
      <c r="BG131" s="52">
        <v>3860</v>
      </c>
      <c r="BH131" s="16">
        <f t="shared" si="76"/>
        <v>4.1821964115454621E-2</v>
      </c>
      <c r="BI131" s="17">
        <f>IF(AND(BD131&lt;&gt;"", BG131&lt;&gt;""), SUM(BG$114:BG131), "")</f>
        <v>30792</v>
      </c>
      <c r="BJ131" s="16">
        <f t="shared" si="77"/>
        <v>0.33362225881945046</v>
      </c>
      <c r="BK131" s="14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</row>
    <row r="132" spans="1:180" ht="16" customHeight="1" x14ac:dyDescent="0.2">
      <c r="E132" s="1"/>
      <c r="N132"/>
      <c r="O132" s="42"/>
      <c r="P132" s="83" t="str">
        <f t="shared" si="70"/>
        <v/>
      </c>
      <c r="Q132" s="15" t="str">
        <f t="shared" si="68"/>
        <v/>
      </c>
      <c r="R132" s="42"/>
      <c r="S132" s="16" t="str">
        <f t="shared" ref="S132:S150" si="84">IF(AND(O132&lt;&gt;"", R132&lt;&gt;""), R132/U$1, "")</f>
        <v/>
      </c>
      <c r="T132" s="17" t="str">
        <f>IF(AND(O132&lt;&gt;"", R132&lt;&gt;""), SUM(R$4:R132), "")</f>
        <v/>
      </c>
      <c r="U132" s="16" t="str">
        <f t="shared" ref="U132:U150" si="85">IF(AND(O132&lt;&gt;"", R132&lt;&gt;""), T132/U$1, "")</f>
        <v/>
      </c>
      <c r="W132" s="42"/>
      <c r="X132" s="83" t="str">
        <f t="shared" si="71"/>
        <v/>
      </c>
      <c r="Y132" s="15" t="str">
        <f t="shared" si="69"/>
        <v/>
      </c>
      <c r="Z132" s="42"/>
      <c r="AA132" s="16" t="str">
        <f t="shared" ref="AA132:AA150" si="86">IF(AND(W132&lt;&gt;"", Z132&lt;&gt;""), Z132/AC$1, "")</f>
        <v/>
      </c>
      <c r="AB132" s="17" t="str">
        <f>IF(AND(W132&lt;&gt;"", Z132&lt;&gt;""), SUM(Z$4:Z132), "")</f>
        <v/>
      </c>
      <c r="AC132" s="16" t="str">
        <f t="shared" ref="AC132:AC150" si="87">IF(AND(W132&lt;&gt;"", Z132&lt;&gt;""), AB132/AC$1, "")</f>
        <v/>
      </c>
      <c r="AD132" s="1"/>
      <c r="AE132" s="19">
        <v>31</v>
      </c>
      <c r="AF132" s="20">
        <v>59</v>
      </c>
      <c r="AG132" s="8"/>
      <c r="AH132" s="49">
        <v>58</v>
      </c>
      <c r="AI132" s="83">
        <f t="shared" si="81"/>
        <v>3</v>
      </c>
      <c r="AJ132" s="15">
        <f t="shared" si="78"/>
        <v>77.44</v>
      </c>
      <c r="AK132" s="52">
        <v>328</v>
      </c>
      <c r="AL132" s="16">
        <f t="shared" si="72"/>
        <v>1.5843879818375036E-2</v>
      </c>
      <c r="AM132" s="17">
        <f>IF(AND(AH132&lt;&gt;"", AK132&lt;&gt;""), SUM(AK$114:AK132), "")</f>
        <v>4835</v>
      </c>
      <c r="AN132" s="16">
        <f t="shared" si="73"/>
        <v>0.23355231378610763</v>
      </c>
      <c r="AO132" s="14"/>
      <c r="AP132" s="27">
        <v>31</v>
      </c>
      <c r="AQ132" s="20">
        <v>62</v>
      </c>
      <c r="AR132" s="8"/>
      <c r="AS132" s="49">
        <v>61</v>
      </c>
      <c r="AT132" s="83">
        <f t="shared" si="82"/>
        <v>3</v>
      </c>
      <c r="AU132" s="15">
        <f t="shared" si="79"/>
        <v>85.74</v>
      </c>
      <c r="AV132" s="52">
        <v>75</v>
      </c>
      <c r="AW132" s="16">
        <f t="shared" si="74"/>
        <v>1.4403687343960053E-2</v>
      </c>
      <c r="AX132" s="17">
        <f>IF(AND(AS132&lt;&gt;"", AV132&lt;&gt;""), SUM(AV$114:AV132), "")</f>
        <v>780</v>
      </c>
      <c r="AY132" s="16">
        <f t="shared" si="75"/>
        <v>0.14979834837718456</v>
      </c>
      <c r="AZ132" s="14"/>
      <c r="BA132" s="27">
        <v>31</v>
      </c>
      <c r="BB132" s="20">
        <v>56</v>
      </c>
      <c r="BC132" s="8"/>
      <c r="BD132" s="49">
        <v>54</v>
      </c>
      <c r="BE132" s="83">
        <f t="shared" si="83"/>
        <v>4</v>
      </c>
      <c r="BF132" s="15">
        <f t="shared" si="80"/>
        <v>65.56</v>
      </c>
      <c r="BG132" s="52">
        <v>1982</v>
      </c>
      <c r="BH132" s="16">
        <f t="shared" si="76"/>
        <v>2.1474386755655717E-2</v>
      </c>
      <c r="BI132" s="17">
        <f>IF(AND(BD132&lt;&gt;"", BG132&lt;&gt;""), SUM(BG$114:BG132), "")</f>
        <v>32774</v>
      </c>
      <c r="BJ132" s="16">
        <f t="shared" si="77"/>
        <v>0.35509664557510617</v>
      </c>
      <c r="BK132" s="14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</row>
    <row r="133" spans="1:180" ht="16" customHeight="1" x14ac:dyDescent="0.2">
      <c r="E133" s="1"/>
      <c r="N133"/>
      <c r="O133" s="42"/>
      <c r="P133" s="83" t="str">
        <f t="shared" si="70"/>
        <v/>
      </c>
      <c r="Q133" s="15" t="str">
        <f t="shared" ref="Q133:Q150" si="88">IF(AND(O133&lt;&gt;"", R133&lt;&gt;""), ROUND(100*(1-(T132+T133)/2/U$1), 2), "")</f>
        <v/>
      </c>
      <c r="R133" s="42"/>
      <c r="S133" s="16" t="str">
        <f t="shared" si="84"/>
        <v/>
      </c>
      <c r="T133" s="17" t="str">
        <f>IF(AND(O133&lt;&gt;"", R133&lt;&gt;""), SUM(R$4:R133), "")</f>
        <v/>
      </c>
      <c r="U133" s="16" t="str">
        <f t="shared" si="85"/>
        <v/>
      </c>
      <c r="W133" s="42"/>
      <c r="X133" s="83" t="str">
        <f t="shared" si="71"/>
        <v/>
      </c>
      <c r="Y133" s="15" t="str">
        <f t="shared" ref="Y133:Y150" si="89">IF(AND(W133&lt;&gt;"", Z133&lt;&gt;""), ROUND(100*(1-(AB132+AB133)/2/AC$1), 2), "")</f>
        <v/>
      </c>
      <c r="Z133" s="42"/>
      <c r="AA133" s="16" t="str">
        <f t="shared" si="86"/>
        <v/>
      </c>
      <c r="AB133" s="17" t="str">
        <f>IF(AND(W133&lt;&gt;"", Z133&lt;&gt;""), SUM(Z$4:Z133), "")</f>
        <v/>
      </c>
      <c r="AC133" s="16" t="str">
        <f t="shared" si="87"/>
        <v/>
      </c>
      <c r="AD133" s="1"/>
      <c r="AE133" s="19">
        <v>30</v>
      </c>
      <c r="AF133" s="20">
        <v>59</v>
      </c>
      <c r="AG133" s="8"/>
      <c r="AH133" s="49">
        <v>57</v>
      </c>
      <c r="AI133" s="83">
        <f t="shared" si="81"/>
        <v>4</v>
      </c>
      <c r="AJ133" s="15">
        <f t="shared" si="78"/>
        <v>75.69</v>
      </c>
      <c r="AK133" s="52">
        <v>397</v>
      </c>
      <c r="AL133" s="16">
        <f t="shared" si="72"/>
        <v>1.9176891121630759E-2</v>
      </c>
      <c r="AM133" s="17">
        <f>IF(AND(AH133&lt;&gt;"", AK133&lt;&gt;""), SUM(AK$114:AK133), "")</f>
        <v>5232</v>
      </c>
      <c r="AN133" s="16">
        <f t="shared" si="73"/>
        <v>0.25272920490773837</v>
      </c>
      <c r="AO133" s="14"/>
      <c r="AP133" s="27">
        <v>30</v>
      </c>
      <c r="AQ133" s="20">
        <v>61</v>
      </c>
      <c r="AR133" s="8"/>
      <c r="AS133" s="49">
        <v>60</v>
      </c>
      <c r="AT133" s="83">
        <f t="shared" si="82"/>
        <v>3</v>
      </c>
      <c r="AU133" s="15">
        <f t="shared" si="79"/>
        <v>84.46</v>
      </c>
      <c r="AV133" s="52">
        <v>58</v>
      </c>
      <c r="AW133" s="16">
        <f t="shared" si="74"/>
        <v>1.1138851545995775E-2</v>
      </c>
      <c r="AX133" s="17">
        <f>IF(AND(AS133&lt;&gt;"", AV133&lt;&gt;""), SUM(AV$114:AV133), "")</f>
        <v>838</v>
      </c>
      <c r="AY133" s="16">
        <f t="shared" si="75"/>
        <v>0.16093719992318034</v>
      </c>
      <c r="AZ133" s="14"/>
      <c r="BA133" s="27">
        <v>30</v>
      </c>
      <c r="BB133" s="20">
        <v>55</v>
      </c>
      <c r="BC133" s="8"/>
      <c r="BD133" s="49">
        <v>53</v>
      </c>
      <c r="BE133" s="83">
        <f t="shared" si="83"/>
        <v>4</v>
      </c>
      <c r="BF133" s="15">
        <f t="shared" si="80"/>
        <v>63.28</v>
      </c>
      <c r="BG133" s="52">
        <v>2227</v>
      </c>
      <c r="BH133" s="16">
        <f t="shared" si="76"/>
        <v>2.4128889659356851E-2</v>
      </c>
      <c r="BI133" s="17">
        <f>IF(AND(BD133&lt;&gt;"", BG133&lt;&gt;""), SUM(BG$114:BG133), "")</f>
        <v>35001</v>
      </c>
      <c r="BJ133" s="16">
        <f t="shared" si="77"/>
        <v>0.37922553523446301</v>
      </c>
      <c r="BK133" s="14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</row>
    <row r="134" spans="1:180" ht="16" customHeight="1" x14ac:dyDescent="0.2">
      <c r="O134" s="42"/>
      <c r="P134" s="83" t="str">
        <f t="shared" si="70"/>
        <v/>
      </c>
      <c r="Q134" s="15" t="str">
        <f t="shared" si="88"/>
        <v/>
      </c>
      <c r="R134" s="42"/>
      <c r="S134" s="16" t="str">
        <f t="shared" si="84"/>
        <v/>
      </c>
      <c r="T134" s="17" t="str">
        <f>IF(AND(O134&lt;&gt;"", R134&lt;&gt;""), SUM(R$4:R134), "")</f>
        <v/>
      </c>
      <c r="U134" s="16" t="str">
        <f t="shared" si="85"/>
        <v/>
      </c>
      <c r="W134" s="42"/>
      <c r="X134" s="83" t="str">
        <f t="shared" si="71"/>
        <v/>
      </c>
      <c r="Y134" s="15" t="str">
        <f t="shared" si="89"/>
        <v/>
      </c>
      <c r="Z134" s="42"/>
      <c r="AA134" s="16" t="str">
        <f t="shared" si="86"/>
        <v/>
      </c>
      <c r="AB134" s="17" t="str">
        <f>IF(AND(W134&lt;&gt;"", Z134&lt;&gt;""), SUM(Z$4:Z134), "")</f>
        <v/>
      </c>
      <c r="AC134" s="16" t="str">
        <f t="shared" si="87"/>
        <v/>
      </c>
      <c r="AD134" s="1"/>
      <c r="AE134" s="19">
        <v>29</v>
      </c>
      <c r="AF134" s="20">
        <v>58</v>
      </c>
      <c r="AG134" s="8"/>
      <c r="AH134" s="49">
        <v>56</v>
      </c>
      <c r="AI134" s="83">
        <f t="shared" si="81"/>
        <v>4</v>
      </c>
      <c r="AJ134" s="15">
        <f t="shared" si="78"/>
        <v>73.84</v>
      </c>
      <c r="AK134" s="52">
        <v>368</v>
      </c>
      <c r="AL134" s="16">
        <f t="shared" si="72"/>
        <v>1.7776060284030528E-2</v>
      </c>
      <c r="AM134" s="17">
        <f>IF(AND(AH134&lt;&gt;"", AK134&lt;&gt;""), SUM(AK$114:AK134), "")</f>
        <v>5600</v>
      </c>
      <c r="AN134" s="16">
        <f t="shared" si="73"/>
        <v>0.27050526519176893</v>
      </c>
      <c r="AO134" s="14"/>
      <c r="AP134" s="27">
        <v>29</v>
      </c>
      <c r="AQ134" s="20">
        <v>60</v>
      </c>
      <c r="AR134" s="8"/>
      <c r="AS134" s="49">
        <v>59</v>
      </c>
      <c r="AT134" s="83">
        <f t="shared" si="82"/>
        <v>3</v>
      </c>
      <c r="AU134" s="15">
        <f t="shared" si="79"/>
        <v>83.02</v>
      </c>
      <c r="AV134" s="52">
        <v>92</v>
      </c>
      <c r="AW134" s="16">
        <f t="shared" si="74"/>
        <v>1.7668523141924332E-2</v>
      </c>
      <c r="AX134" s="17">
        <f>IF(AND(AS134&lt;&gt;"", AV134&lt;&gt;""), SUM(AV$114:AV134), "")</f>
        <v>930</v>
      </c>
      <c r="AY134" s="16">
        <f t="shared" si="75"/>
        <v>0.17860572306510467</v>
      </c>
      <c r="AZ134" s="14"/>
      <c r="BA134" s="27">
        <v>29</v>
      </c>
      <c r="BB134" s="20">
        <v>55</v>
      </c>
      <c r="BC134" s="8"/>
      <c r="BD134" s="49">
        <v>52</v>
      </c>
      <c r="BE134" s="83">
        <f t="shared" si="83"/>
        <v>4</v>
      </c>
      <c r="BF134" s="15">
        <f t="shared" si="80"/>
        <v>61.06</v>
      </c>
      <c r="BG134" s="52">
        <v>1878</v>
      </c>
      <c r="BH134" s="16">
        <f t="shared" si="76"/>
        <v>2.0347577359798908E-2</v>
      </c>
      <c r="BI134" s="17">
        <f>IF(AND(BD134&lt;&gt;"", BG134&lt;&gt;""), SUM(BG$114:BG134), "")</f>
        <v>36879</v>
      </c>
      <c r="BJ134" s="16">
        <f t="shared" si="77"/>
        <v>0.39957311259426193</v>
      </c>
      <c r="BK134" s="1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</row>
    <row r="135" spans="1:180" ht="16" customHeight="1" x14ac:dyDescent="0.2">
      <c r="O135" s="42"/>
      <c r="P135" s="83" t="str">
        <f t="shared" ref="P135:P150" si="90">IF(AND(O135&lt;&gt;"", R135&lt;&gt;""), IF(U134 &gt; $A$36, $B$37, IF(U134 &gt; $A$35, $B$36, IF(U134 &gt; $A$34, $B$35, IF(U134 &gt; $A$33, $B$34, IF(U134 &gt; $A$32, $B$33,IF(U134 &gt; $A$31, $B$32, IF(U134 &gt; $A$30, $B$31, IF(U134 &gt; $A$29, $B$30, $B$29)))))))), "")</f>
        <v/>
      </c>
      <c r="Q135" s="15" t="str">
        <f t="shared" si="88"/>
        <v/>
      </c>
      <c r="R135" s="42"/>
      <c r="S135" s="16" t="str">
        <f t="shared" si="84"/>
        <v/>
      </c>
      <c r="T135" s="17" t="str">
        <f>IF(AND(O135&lt;&gt;"", R135&lt;&gt;""), SUM(R$4:R135), "")</f>
        <v/>
      </c>
      <c r="U135" s="16" t="str">
        <f t="shared" si="85"/>
        <v/>
      </c>
      <c r="W135" s="40"/>
      <c r="X135" s="83" t="str">
        <f t="shared" ref="X135:X150" si="91">IF(AND(W135&lt;&gt;"", Z135&lt;&gt;""), IF(AC134 &gt; $A$36, $B$37, IF(AC134 &gt; $A$35, $B$36, IF(AC134 &gt; $A$34, $B$35, IF(AC134 &gt; $A$33, $B$34, IF(AC134 &gt; $A$32, $B$33,IF(AC134 &gt; $A$31, $B$32, IF(AC134 &gt; $A$30, $B$31, IF(AC134 &gt; $A$29, $B$30, $B$29)))))))), "")</f>
        <v/>
      </c>
      <c r="Y135" s="15" t="str">
        <f t="shared" si="89"/>
        <v/>
      </c>
      <c r="Z135" s="40"/>
      <c r="AA135" s="16" t="str">
        <f t="shared" si="86"/>
        <v/>
      </c>
      <c r="AB135" s="17" t="str">
        <f>IF(AND(W135&lt;&gt;"", Z135&lt;&gt;""), SUM(Z$4:Z135), "")</f>
        <v/>
      </c>
      <c r="AC135" s="16" t="str">
        <f t="shared" si="87"/>
        <v/>
      </c>
      <c r="AD135" s="1"/>
      <c r="AE135" s="19">
        <v>28</v>
      </c>
      <c r="AF135" s="20">
        <v>57</v>
      </c>
      <c r="AG135" s="8"/>
      <c r="AH135" s="49">
        <v>55</v>
      </c>
      <c r="AI135" s="83">
        <f t="shared" si="81"/>
        <v>4</v>
      </c>
      <c r="AJ135" s="15">
        <f t="shared" si="78"/>
        <v>71.849999999999994</v>
      </c>
      <c r="AK135" s="52">
        <v>456</v>
      </c>
      <c r="AL135" s="16">
        <f t="shared" si="72"/>
        <v>2.2026857308472612E-2</v>
      </c>
      <c r="AM135" s="17">
        <f>IF(AND(AH135&lt;&gt;"", AK135&lt;&gt;""), SUM(AK$114:AK135), "")</f>
        <v>6056</v>
      </c>
      <c r="AN135" s="16">
        <f t="shared" si="73"/>
        <v>0.29253212250024152</v>
      </c>
      <c r="AO135" s="14"/>
      <c r="AP135" s="27">
        <v>28</v>
      </c>
      <c r="AQ135" s="20">
        <v>59</v>
      </c>
      <c r="AR135" s="8"/>
      <c r="AS135" s="49">
        <v>58</v>
      </c>
      <c r="AT135" s="83">
        <f t="shared" si="82"/>
        <v>3</v>
      </c>
      <c r="AU135" s="15">
        <f t="shared" si="79"/>
        <v>81.11</v>
      </c>
      <c r="AV135" s="52">
        <v>107</v>
      </c>
      <c r="AW135" s="16">
        <f t="shared" si="74"/>
        <v>2.0549260610716342E-2</v>
      </c>
      <c r="AX135" s="17">
        <f>IF(AND(AS135&lt;&gt;"", AV135&lt;&gt;""), SUM(AV$114:AV135), "")</f>
        <v>1037</v>
      </c>
      <c r="AY135" s="16">
        <f t="shared" si="75"/>
        <v>0.19915498367582102</v>
      </c>
      <c r="AZ135" s="14"/>
      <c r="BA135" s="27">
        <v>28</v>
      </c>
      <c r="BB135" s="20">
        <v>54</v>
      </c>
      <c r="BC135" s="8"/>
      <c r="BD135" s="49">
        <v>51</v>
      </c>
      <c r="BE135" s="83">
        <f t="shared" si="83"/>
        <v>4</v>
      </c>
      <c r="BF135" s="15">
        <f t="shared" si="80"/>
        <v>58.75</v>
      </c>
      <c r="BG135" s="52">
        <v>2384</v>
      </c>
      <c r="BH135" s="16">
        <f t="shared" si="76"/>
        <v>2.5829938458871458E-2</v>
      </c>
      <c r="BI135" s="17">
        <f>IF(AND(BD135&lt;&gt;"", BG135&lt;&gt;""), SUM(BG$114:BG135), "")</f>
        <v>39263</v>
      </c>
      <c r="BJ135" s="16">
        <f t="shared" si="77"/>
        <v>0.42540305105313342</v>
      </c>
      <c r="BK135" s="14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</row>
    <row r="136" spans="1:180" ht="16" customHeight="1" x14ac:dyDescent="0.2">
      <c r="O136" s="42"/>
      <c r="P136" s="83" t="str">
        <f t="shared" si="90"/>
        <v/>
      </c>
      <c r="Q136" s="15" t="str">
        <f t="shared" si="88"/>
        <v/>
      </c>
      <c r="R136" s="42"/>
      <c r="S136" s="16" t="str">
        <f t="shared" si="84"/>
        <v/>
      </c>
      <c r="T136" s="17" t="str">
        <f>IF(AND(O136&lt;&gt;"", R136&lt;&gt;""), SUM(R$4:R136), "")</f>
        <v/>
      </c>
      <c r="U136" s="16" t="str">
        <f t="shared" si="85"/>
        <v/>
      </c>
      <c r="W136" s="41"/>
      <c r="X136" s="83" t="str">
        <f t="shared" si="91"/>
        <v/>
      </c>
      <c r="Y136" s="15" t="str">
        <f t="shared" si="89"/>
        <v/>
      </c>
      <c r="Z136" s="41"/>
      <c r="AA136" s="16" t="str">
        <f t="shared" si="86"/>
        <v/>
      </c>
      <c r="AB136" s="17" t="str">
        <f>IF(AND(W136&lt;&gt;"", Z136&lt;&gt;""), SUM(Z$4:Z136), "")</f>
        <v/>
      </c>
      <c r="AC136" s="16" t="str">
        <f t="shared" si="87"/>
        <v/>
      </c>
      <c r="AD136" s="1"/>
      <c r="AE136" s="19">
        <v>27</v>
      </c>
      <c r="AF136" s="20">
        <v>56</v>
      </c>
      <c r="AG136" s="8"/>
      <c r="AH136" s="49">
        <v>54</v>
      </c>
      <c r="AI136" s="83">
        <f t="shared" si="81"/>
        <v>4</v>
      </c>
      <c r="AJ136" s="15">
        <f t="shared" si="78"/>
        <v>69.510000000000005</v>
      </c>
      <c r="AK136" s="52">
        <v>511</v>
      </c>
      <c r="AL136" s="16">
        <f t="shared" si="72"/>
        <v>2.4683605448748914E-2</v>
      </c>
      <c r="AM136" s="17">
        <f>IF(AND(AH136&lt;&gt;"", AK136&lt;&gt;""), SUM(AK$114:AK136), "")</f>
        <v>6567</v>
      </c>
      <c r="AN136" s="16">
        <f t="shared" si="73"/>
        <v>0.31721572794899044</v>
      </c>
      <c r="AO136" s="14"/>
      <c r="AP136" s="27">
        <v>27</v>
      </c>
      <c r="AQ136" s="20">
        <v>58</v>
      </c>
      <c r="AR136" s="8"/>
      <c r="AS136" s="49">
        <v>57</v>
      </c>
      <c r="AT136" s="83">
        <f t="shared" si="82"/>
        <v>3</v>
      </c>
      <c r="AU136" s="15">
        <f t="shared" si="79"/>
        <v>79.09</v>
      </c>
      <c r="AV136" s="52">
        <v>104</v>
      </c>
      <c r="AW136" s="16">
        <f t="shared" si="74"/>
        <v>1.9973113116957941E-2</v>
      </c>
      <c r="AX136" s="17">
        <f>IF(AND(AS136&lt;&gt;"", AV136&lt;&gt;""), SUM(AV$114:AV136), "")</f>
        <v>1141</v>
      </c>
      <c r="AY136" s="16">
        <f t="shared" si="75"/>
        <v>0.21912809679277895</v>
      </c>
      <c r="AZ136" s="14"/>
      <c r="BA136" s="27">
        <v>27</v>
      </c>
      <c r="BB136" s="20">
        <v>53</v>
      </c>
      <c r="BC136" s="8"/>
      <c r="BD136" s="49">
        <v>50</v>
      </c>
      <c r="BE136" s="83">
        <f t="shared" si="83"/>
        <v>5</v>
      </c>
      <c r="BF136" s="15">
        <f t="shared" si="80"/>
        <v>55.04</v>
      </c>
      <c r="BG136" s="52">
        <v>4458</v>
      </c>
      <c r="BH136" s="16">
        <f t="shared" si="76"/>
        <v>4.8301118141631273E-2</v>
      </c>
      <c r="BI136" s="17">
        <f>IF(AND(BD136&lt;&gt;"", BG136&lt;&gt;""), SUM(BG$114:BG136), "")</f>
        <v>43721</v>
      </c>
      <c r="BJ136" s="16">
        <f t="shared" si="77"/>
        <v>0.47370416919476466</v>
      </c>
      <c r="BK136" s="14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</row>
    <row r="137" spans="1:180" ht="16" customHeight="1" x14ac:dyDescent="0.2">
      <c r="O137" s="42"/>
      <c r="P137" s="83" t="str">
        <f t="shared" si="90"/>
        <v/>
      </c>
      <c r="Q137" s="15" t="str">
        <f t="shared" si="88"/>
        <v/>
      </c>
      <c r="R137" s="42"/>
      <c r="S137" s="16" t="str">
        <f t="shared" si="84"/>
        <v/>
      </c>
      <c r="T137" s="17" t="str">
        <f>IF(AND(O137&lt;&gt;"", R137&lt;&gt;""), SUM(R$4:R137), "")</f>
        <v/>
      </c>
      <c r="U137" s="16" t="str">
        <f t="shared" si="85"/>
        <v/>
      </c>
      <c r="W137" s="42"/>
      <c r="X137" s="83" t="str">
        <f t="shared" si="91"/>
        <v/>
      </c>
      <c r="Y137" s="15" t="str">
        <f t="shared" si="89"/>
        <v/>
      </c>
      <c r="Z137" s="42"/>
      <c r="AA137" s="16" t="str">
        <f t="shared" si="86"/>
        <v/>
      </c>
      <c r="AB137" s="17" t="str">
        <f>IF(AND(W137&lt;&gt;"", Z137&lt;&gt;""), SUM(Z$4:Z137), "")</f>
        <v/>
      </c>
      <c r="AC137" s="16" t="str">
        <f t="shared" si="87"/>
        <v/>
      </c>
      <c r="AD137" s="1"/>
      <c r="AE137" s="19">
        <v>26</v>
      </c>
      <c r="AF137" s="20">
        <v>55</v>
      </c>
      <c r="AG137" s="8"/>
      <c r="AH137" s="49">
        <v>53</v>
      </c>
      <c r="AI137" s="83">
        <f t="shared" si="81"/>
        <v>4</v>
      </c>
      <c r="AJ137" s="15">
        <f t="shared" si="78"/>
        <v>67.12</v>
      </c>
      <c r="AK137" s="52">
        <v>480</v>
      </c>
      <c r="AL137" s="16">
        <f t="shared" si="72"/>
        <v>2.3186165587865907E-2</v>
      </c>
      <c r="AM137" s="17">
        <f>IF(AND(AH137&lt;&gt;"", AK137&lt;&gt;""), SUM(AK$114:AK137), "")</f>
        <v>7047</v>
      </c>
      <c r="AN137" s="16">
        <f t="shared" si="73"/>
        <v>0.34040189353685635</v>
      </c>
      <c r="AO137" s="14"/>
      <c r="AP137" s="27">
        <v>26</v>
      </c>
      <c r="AQ137" s="20">
        <v>57</v>
      </c>
      <c r="AR137" s="8"/>
      <c r="AS137" s="49">
        <v>56</v>
      </c>
      <c r="AT137" s="83">
        <f t="shared" si="82"/>
        <v>3</v>
      </c>
      <c r="AU137" s="15">
        <f t="shared" si="79"/>
        <v>76.75</v>
      </c>
      <c r="AV137" s="52">
        <v>139</v>
      </c>
      <c r="AW137" s="16">
        <f t="shared" si="74"/>
        <v>2.6694833877472634E-2</v>
      </c>
      <c r="AX137" s="17">
        <f>IF(AND(AS137&lt;&gt;"", AV137&lt;&gt;""), SUM(AV$114:AV137), "")</f>
        <v>1280</v>
      </c>
      <c r="AY137" s="16">
        <f t="shared" si="75"/>
        <v>0.24582293067025157</v>
      </c>
      <c r="AZ137" s="14"/>
      <c r="BA137" s="27">
        <v>26</v>
      </c>
      <c r="BB137" s="20">
        <v>52</v>
      </c>
      <c r="BC137" s="8"/>
      <c r="BD137" s="49">
        <v>49</v>
      </c>
      <c r="BE137" s="83">
        <f t="shared" si="83"/>
        <v>5</v>
      </c>
      <c r="BF137" s="15">
        <f t="shared" si="80"/>
        <v>51.29</v>
      </c>
      <c r="BG137" s="52">
        <v>2465</v>
      </c>
      <c r="BH137" s="16">
        <f t="shared" si="76"/>
        <v>2.6707549622952239E-2</v>
      </c>
      <c r="BI137" s="17">
        <f>IF(AND(BD137&lt;&gt;"", BG137&lt;&gt;""), SUM(BG$114:BG137), "")</f>
        <v>46186</v>
      </c>
      <c r="BJ137" s="16">
        <f t="shared" si="77"/>
        <v>0.50041171881771696</v>
      </c>
      <c r="BK137" s="14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</row>
    <row r="138" spans="1:180" ht="16" customHeight="1" x14ac:dyDescent="0.2">
      <c r="O138" s="42"/>
      <c r="P138" s="83" t="str">
        <f t="shared" si="90"/>
        <v/>
      </c>
      <c r="Q138" s="15" t="str">
        <f t="shared" si="88"/>
        <v/>
      </c>
      <c r="R138" s="42"/>
      <c r="S138" s="16" t="str">
        <f t="shared" si="84"/>
        <v/>
      </c>
      <c r="T138" s="17" t="str">
        <f>IF(AND(O138&lt;&gt;"", R138&lt;&gt;""), SUM(R$4:R138), "")</f>
        <v/>
      </c>
      <c r="U138" s="16" t="str">
        <f t="shared" si="85"/>
        <v/>
      </c>
      <c r="W138" s="42"/>
      <c r="X138" s="83" t="str">
        <f t="shared" si="91"/>
        <v/>
      </c>
      <c r="Y138" s="15" t="str">
        <f t="shared" si="89"/>
        <v/>
      </c>
      <c r="Z138" s="42"/>
      <c r="AA138" s="16" t="str">
        <f t="shared" si="86"/>
        <v/>
      </c>
      <c r="AB138" s="17" t="str">
        <f>IF(AND(W138&lt;&gt;"", Z138&lt;&gt;""), SUM(Z$4:Z138), "")</f>
        <v/>
      </c>
      <c r="AC138" s="16" t="str">
        <f t="shared" si="87"/>
        <v/>
      </c>
      <c r="AD138" s="1"/>
      <c r="AE138" s="19">
        <v>25</v>
      </c>
      <c r="AF138" s="20">
        <v>54</v>
      </c>
      <c r="AG138" s="8"/>
      <c r="AH138" s="49">
        <v>52</v>
      </c>
      <c r="AI138" s="83">
        <f t="shared" si="81"/>
        <v>4</v>
      </c>
      <c r="AJ138" s="15">
        <f t="shared" si="78"/>
        <v>64.67</v>
      </c>
      <c r="AK138" s="52">
        <v>535</v>
      </c>
      <c r="AL138" s="16">
        <f t="shared" si="72"/>
        <v>2.5842913728142208E-2</v>
      </c>
      <c r="AM138" s="17">
        <f>IF(AND(AH138&lt;&gt;"", AK138&lt;&gt;""), SUM(AK$114:AK138), "")</f>
        <v>7582</v>
      </c>
      <c r="AN138" s="16">
        <f t="shared" si="73"/>
        <v>0.36624480726499853</v>
      </c>
      <c r="AO138" s="14"/>
      <c r="AP138" s="27">
        <v>25</v>
      </c>
      <c r="AQ138" s="20">
        <v>56</v>
      </c>
      <c r="AR138" s="8"/>
      <c r="AS138" s="49">
        <v>55</v>
      </c>
      <c r="AT138" s="83">
        <f t="shared" si="82"/>
        <v>4</v>
      </c>
      <c r="AU138" s="15">
        <f t="shared" si="79"/>
        <v>74.3</v>
      </c>
      <c r="AV138" s="52">
        <v>116</v>
      </c>
      <c r="AW138" s="16">
        <f t="shared" si="74"/>
        <v>2.2277703091991549E-2</v>
      </c>
      <c r="AX138" s="17">
        <f>IF(AND(AS138&lt;&gt;"", AV138&lt;&gt;""), SUM(AV$114:AV138), "")</f>
        <v>1396</v>
      </c>
      <c r="AY138" s="16">
        <f t="shared" si="75"/>
        <v>0.26810063376224313</v>
      </c>
      <c r="AZ138" s="14"/>
      <c r="BA138" s="27">
        <v>25</v>
      </c>
      <c r="BB138" s="20">
        <v>51</v>
      </c>
      <c r="BC138" s="8"/>
      <c r="BD138" s="49">
        <v>48</v>
      </c>
      <c r="BE138" s="83">
        <f t="shared" si="83"/>
        <v>5</v>
      </c>
      <c r="BF138" s="15">
        <f t="shared" si="80"/>
        <v>48.69</v>
      </c>
      <c r="BG138" s="52">
        <v>2340</v>
      </c>
      <c r="BH138" s="16">
        <f t="shared" si="76"/>
        <v>2.5353211406778191E-2</v>
      </c>
      <c r="BI138" s="17">
        <f>IF(AND(BD138&lt;&gt;"", BG138&lt;&gt;""), SUM(BG$114:BG138), "")</f>
        <v>48526</v>
      </c>
      <c r="BJ138" s="16">
        <f t="shared" si="77"/>
        <v>0.52576493022449511</v>
      </c>
      <c r="BK138" s="14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</row>
    <row r="139" spans="1:180" ht="16" customHeight="1" x14ac:dyDescent="0.2">
      <c r="O139" s="42"/>
      <c r="P139" s="83" t="str">
        <f t="shared" si="90"/>
        <v/>
      </c>
      <c r="Q139" s="15" t="str">
        <f t="shared" si="88"/>
        <v/>
      </c>
      <c r="R139" s="42"/>
      <c r="S139" s="16" t="str">
        <f t="shared" si="84"/>
        <v/>
      </c>
      <c r="T139" s="17" t="str">
        <f>IF(AND(O139&lt;&gt;"", R139&lt;&gt;""), SUM(R$4:R139), "")</f>
        <v/>
      </c>
      <c r="U139" s="16" t="str">
        <f t="shared" si="85"/>
        <v/>
      </c>
      <c r="W139" s="42"/>
      <c r="X139" s="83" t="str">
        <f t="shared" si="91"/>
        <v/>
      </c>
      <c r="Y139" s="15" t="str">
        <f t="shared" si="89"/>
        <v/>
      </c>
      <c r="Z139" s="42"/>
      <c r="AA139" s="16" t="str">
        <f t="shared" si="86"/>
        <v/>
      </c>
      <c r="AB139" s="17" t="str">
        <f>IF(AND(W139&lt;&gt;"", Z139&lt;&gt;""), SUM(Z$4:Z139), "")</f>
        <v/>
      </c>
      <c r="AC139" s="16" t="str">
        <f t="shared" si="87"/>
        <v/>
      </c>
      <c r="AD139" s="1"/>
      <c r="AE139" s="19">
        <v>24</v>
      </c>
      <c r="AF139" s="20">
        <v>53</v>
      </c>
      <c r="AG139" s="8"/>
      <c r="AH139" s="49">
        <v>51</v>
      </c>
      <c r="AI139" s="83">
        <f t="shared" si="81"/>
        <v>4</v>
      </c>
      <c r="AJ139" s="15">
        <f t="shared" si="78"/>
        <v>62.18</v>
      </c>
      <c r="AK139" s="52">
        <v>493</v>
      </c>
      <c r="AL139" s="16">
        <f t="shared" si="72"/>
        <v>2.381412423920394E-2</v>
      </c>
      <c r="AM139" s="17">
        <f>IF(AND(AH139&lt;&gt;"", AK139&lt;&gt;""), SUM(AK$114:AK139), "")</f>
        <v>8075</v>
      </c>
      <c r="AN139" s="16">
        <f t="shared" si="73"/>
        <v>0.39005893150420251</v>
      </c>
      <c r="AO139" s="14"/>
      <c r="AP139" s="27">
        <v>24</v>
      </c>
      <c r="AQ139" s="20">
        <v>55</v>
      </c>
      <c r="AR139" s="8"/>
      <c r="AS139" s="49">
        <v>54</v>
      </c>
      <c r="AT139" s="83">
        <f t="shared" si="82"/>
        <v>4</v>
      </c>
      <c r="AU139" s="15">
        <f t="shared" si="79"/>
        <v>71.959999999999994</v>
      </c>
      <c r="AV139" s="52">
        <v>128</v>
      </c>
      <c r="AW139" s="16">
        <f t="shared" si="74"/>
        <v>2.4582293067025158E-2</v>
      </c>
      <c r="AX139" s="17">
        <f>IF(AND(AS139&lt;&gt;"", AV139&lt;&gt;""), SUM(AV$114:AV139), "")</f>
        <v>1524</v>
      </c>
      <c r="AY139" s="16">
        <f t="shared" si="75"/>
        <v>0.29268292682926828</v>
      </c>
      <c r="AZ139" s="14"/>
      <c r="BA139" s="27">
        <v>24</v>
      </c>
      <c r="BB139" s="20">
        <v>50</v>
      </c>
      <c r="BC139" s="8"/>
      <c r="BD139" s="49">
        <v>47</v>
      </c>
      <c r="BE139" s="83">
        <f t="shared" si="83"/>
        <v>5</v>
      </c>
      <c r="BF139" s="15">
        <f t="shared" si="80"/>
        <v>45.97</v>
      </c>
      <c r="BG139" s="52">
        <v>2690</v>
      </c>
      <c r="BH139" s="16">
        <f t="shared" si="76"/>
        <v>2.9145358412065527E-2</v>
      </c>
      <c r="BI139" s="17">
        <f>IF(AND(BD139&lt;&gt;"", BG139&lt;&gt;""), SUM(BG$114:BG139), "")</f>
        <v>51216</v>
      </c>
      <c r="BJ139" s="16">
        <f t="shared" si="77"/>
        <v>0.55491028863656067</v>
      </c>
      <c r="BK139" s="14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</row>
    <row r="140" spans="1:180" ht="16" customHeight="1" x14ac:dyDescent="0.2">
      <c r="O140" s="42"/>
      <c r="P140" s="83" t="str">
        <f t="shared" si="90"/>
        <v/>
      </c>
      <c r="Q140" s="15" t="str">
        <f t="shared" si="88"/>
        <v/>
      </c>
      <c r="R140" s="42"/>
      <c r="S140" s="16" t="str">
        <f t="shared" si="84"/>
        <v/>
      </c>
      <c r="T140" s="17" t="str">
        <f>IF(AND(O140&lt;&gt;"", R140&lt;&gt;""), SUM(R$4:R140), "")</f>
        <v/>
      </c>
      <c r="U140" s="16" t="str">
        <f t="shared" si="85"/>
        <v/>
      </c>
      <c r="W140" s="42"/>
      <c r="X140" s="83" t="str">
        <f t="shared" si="91"/>
        <v/>
      </c>
      <c r="Y140" s="15" t="str">
        <f t="shared" si="89"/>
        <v/>
      </c>
      <c r="Z140" s="42"/>
      <c r="AA140" s="16" t="str">
        <f t="shared" si="86"/>
        <v/>
      </c>
      <c r="AB140" s="17" t="str">
        <f>IF(AND(W140&lt;&gt;"", Z140&lt;&gt;""), SUM(Z$4:Z140), "")</f>
        <v/>
      </c>
      <c r="AC140" s="16" t="str">
        <f t="shared" si="87"/>
        <v/>
      </c>
      <c r="AD140" s="1"/>
      <c r="AE140" s="19">
        <v>23</v>
      </c>
      <c r="AF140" s="20">
        <v>52</v>
      </c>
      <c r="AG140" s="8"/>
      <c r="AH140" s="49">
        <v>50</v>
      </c>
      <c r="AI140" s="83">
        <f t="shared" si="81"/>
        <v>4</v>
      </c>
      <c r="AJ140" s="15">
        <f t="shared" si="78"/>
        <v>58.12</v>
      </c>
      <c r="AK140" s="52">
        <v>1192</v>
      </c>
      <c r="AL140" s="16">
        <f t="shared" si="72"/>
        <v>5.7578977876533669E-2</v>
      </c>
      <c r="AM140" s="17">
        <f>IF(AND(AH140&lt;&gt;"", AK140&lt;&gt;""), SUM(AK$114:AK140), "")</f>
        <v>9267</v>
      </c>
      <c r="AN140" s="16">
        <f t="shared" si="73"/>
        <v>0.44763790938073617</v>
      </c>
      <c r="AO140" s="14"/>
      <c r="AP140" s="27">
        <v>23</v>
      </c>
      <c r="AQ140" s="20">
        <v>54</v>
      </c>
      <c r="AR140" s="8"/>
      <c r="AS140" s="49">
        <v>53</v>
      </c>
      <c r="AT140" s="83">
        <f t="shared" si="82"/>
        <v>4</v>
      </c>
      <c r="AU140" s="15">
        <f t="shared" si="79"/>
        <v>69.52</v>
      </c>
      <c r="AV140" s="52">
        <v>126</v>
      </c>
      <c r="AW140" s="16">
        <f t="shared" si="74"/>
        <v>2.4198194737852889E-2</v>
      </c>
      <c r="AX140" s="17">
        <f>IF(AND(AS140&lt;&gt;"", AV140&lt;&gt;""), SUM(AV$114:AV140), "")</f>
        <v>1650</v>
      </c>
      <c r="AY140" s="16">
        <f t="shared" si="75"/>
        <v>0.31688112156712117</v>
      </c>
      <c r="AZ140" s="14"/>
      <c r="BA140" s="27">
        <v>23</v>
      </c>
      <c r="BB140" s="20">
        <v>50</v>
      </c>
      <c r="BC140" s="8"/>
      <c r="BD140" s="49">
        <v>46</v>
      </c>
      <c r="BE140" s="83">
        <f t="shared" si="83"/>
        <v>5</v>
      </c>
      <c r="BF140" s="15">
        <f t="shared" si="80"/>
        <v>43.11</v>
      </c>
      <c r="BG140" s="52">
        <v>2581</v>
      </c>
      <c r="BH140" s="16">
        <f t="shared" si="76"/>
        <v>2.7964375487561758E-2</v>
      </c>
      <c r="BI140" s="17">
        <f>IF(AND(BD140&lt;&gt;"", BG140&lt;&gt;""), SUM(BG$114:BG140), "")</f>
        <v>53797</v>
      </c>
      <c r="BJ140" s="16">
        <f t="shared" si="77"/>
        <v>0.58287466412412237</v>
      </c>
      <c r="BK140" s="14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</row>
    <row r="141" spans="1:180" ht="16" customHeight="1" x14ac:dyDescent="0.2">
      <c r="O141" s="42"/>
      <c r="P141" s="83" t="str">
        <f t="shared" si="90"/>
        <v/>
      </c>
      <c r="Q141" s="15" t="str">
        <f t="shared" si="88"/>
        <v/>
      </c>
      <c r="R141" s="42"/>
      <c r="S141" s="16" t="str">
        <f t="shared" si="84"/>
        <v/>
      </c>
      <c r="T141" s="17" t="str">
        <f>IF(AND(O141&lt;&gt;"", R141&lt;&gt;""), SUM(R$4:R141), "")</f>
        <v/>
      </c>
      <c r="U141" s="16" t="str">
        <f t="shared" si="85"/>
        <v/>
      </c>
      <c r="W141" s="42"/>
      <c r="X141" s="83" t="str">
        <f t="shared" si="91"/>
        <v/>
      </c>
      <c r="Y141" s="15" t="str">
        <f t="shared" si="89"/>
        <v/>
      </c>
      <c r="Z141" s="42"/>
      <c r="AA141" s="16" t="str">
        <f t="shared" si="86"/>
        <v/>
      </c>
      <c r="AB141" s="17" t="str">
        <f>IF(AND(W141&lt;&gt;"", Z141&lt;&gt;""), SUM(Z$4:Z141), "")</f>
        <v/>
      </c>
      <c r="AC141" s="16" t="str">
        <f t="shared" si="87"/>
        <v/>
      </c>
      <c r="AD141" s="1"/>
      <c r="AE141" s="19">
        <v>22</v>
      </c>
      <c r="AF141" s="20">
        <v>51</v>
      </c>
      <c r="AG141" s="8"/>
      <c r="AH141" s="49">
        <v>49</v>
      </c>
      <c r="AI141" s="83">
        <f t="shared" si="81"/>
        <v>5</v>
      </c>
      <c r="AJ141" s="15">
        <f t="shared" si="78"/>
        <v>53.74</v>
      </c>
      <c r="AK141" s="52">
        <v>618</v>
      </c>
      <c r="AL141" s="16">
        <f t="shared" si="72"/>
        <v>2.9852188194377356E-2</v>
      </c>
      <c r="AM141" s="17">
        <f>IF(AND(AH141&lt;&gt;"", AK141&lt;&gt;""), SUM(AK$114:AK141), "")</f>
        <v>9885</v>
      </c>
      <c r="AN141" s="16">
        <f t="shared" si="73"/>
        <v>0.47749009757511351</v>
      </c>
      <c r="AO141" s="14"/>
      <c r="AP141" s="27">
        <v>22</v>
      </c>
      <c r="AQ141" s="20">
        <v>53</v>
      </c>
      <c r="AR141" s="8"/>
      <c r="AS141" s="49">
        <v>52</v>
      </c>
      <c r="AT141" s="83">
        <f t="shared" si="82"/>
        <v>4</v>
      </c>
      <c r="AU141" s="15">
        <f t="shared" si="79"/>
        <v>67.010000000000005</v>
      </c>
      <c r="AV141" s="52">
        <v>136</v>
      </c>
      <c r="AW141" s="16">
        <f t="shared" si="74"/>
        <v>2.6118686383714229E-2</v>
      </c>
      <c r="AX141" s="17">
        <f>IF(AND(AS141&lt;&gt;"", AV141&lt;&gt;""), SUM(AV$114:AV141), "")</f>
        <v>1786</v>
      </c>
      <c r="AY141" s="16">
        <f t="shared" si="75"/>
        <v>0.3429998079508354</v>
      </c>
      <c r="AZ141" s="14"/>
      <c r="BA141" s="27">
        <v>22</v>
      </c>
      <c r="BB141" s="20">
        <v>49</v>
      </c>
      <c r="BC141" s="8"/>
      <c r="BD141" s="49">
        <v>45</v>
      </c>
      <c r="BE141" s="83">
        <f t="shared" si="83"/>
        <v>5</v>
      </c>
      <c r="BF141" s="15">
        <f t="shared" si="80"/>
        <v>38.74</v>
      </c>
      <c r="BG141" s="52">
        <v>5480</v>
      </c>
      <c r="BH141" s="16">
        <f t="shared" si="76"/>
        <v>5.9374187397070295E-2</v>
      </c>
      <c r="BI141" s="17">
        <f>IF(AND(BD141&lt;&gt;"", BG141&lt;&gt;""), SUM(BG$114:BG141), "")</f>
        <v>59277</v>
      </c>
      <c r="BJ141" s="16">
        <f t="shared" si="77"/>
        <v>0.64224885152119271</v>
      </c>
      <c r="BK141" s="14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</row>
    <row r="142" spans="1:180" ht="16" customHeight="1" x14ac:dyDescent="0.2">
      <c r="A142" s="1"/>
      <c r="B142" s="1"/>
      <c r="C142" s="1"/>
      <c r="O142" s="42"/>
      <c r="P142" s="83" t="str">
        <f t="shared" si="90"/>
        <v/>
      </c>
      <c r="Q142" s="15" t="str">
        <f t="shared" si="88"/>
        <v/>
      </c>
      <c r="R142" s="42"/>
      <c r="S142" s="16" t="str">
        <f t="shared" si="84"/>
        <v/>
      </c>
      <c r="T142" s="17" t="str">
        <f>IF(AND(O142&lt;&gt;"", R142&lt;&gt;""), SUM(R$4:R142), "")</f>
        <v/>
      </c>
      <c r="U142" s="16" t="str">
        <f t="shared" si="85"/>
        <v/>
      </c>
      <c r="W142" s="42"/>
      <c r="X142" s="83" t="str">
        <f t="shared" si="91"/>
        <v/>
      </c>
      <c r="Y142" s="15" t="str">
        <f t="shared" si="89"/>
        <v/>
      </c>
      <c r="Z142" s="42"/>
      <c r="AA142" s="16" t="str">
        <f t="shared" si="86"/>
        <v/>
      </c>
      <c r="AB142" s="17" t="str">
        <f>IF(AND(W142&lt;&gt;"", Z142&lt;&gt;""), SUM(Z$4:Z142), "")</f>
        <v/>
      </c>
      <c r="AC142" s="16" t="str">
        <f t="shared" si="87"/>
        <v/>
      </c>
      <c r="AD142" s="1"/>
      <c r="AE142" s="19">
        <v>21</v>
      </c>
      <c r="AF142" s="20">
        <v>50</v>
      </c>
      <c r="AG142" s="8"/>
      <c r="AH142" s="49">
        <v>48</v>
      </c>
      <c r="AI142" s="83">
        <f t="shared" si="81"/>
        <v>5</v>
      </c>
      <c r="AJ142" s="15">
        <f t="shared" si="78"/>
        <v>50.43</v>
      </c>
      <c r="AK142" s="52">
        <v>755</v>
      </c>
      <c r="AL142" s="16">
        <f t="shared" si="72"/>
        <v>3.6469906289247414E-2</v>
      </c>
      <c r="AM142" s="17">
        <f>IF(AND(AH142&lt;&gt;"", AK142&lt;&gt;""), SUM(AK$114:AK142), "")</f>
        <v>10640</v>
      </c>
      <c r="AN142" s="16">
        <f t="shared" si="73"/>
        <v>0.51396000386436091</v>
      </c>
      <c r="AO142" s="14"/>
      <c r="AP142" s="27">
        <v>21</v>
      </c>
      <c r="AQ142" s="20">
        <v>52</v>
      </c>
      <c r="AR142" s="8"/>
      <c r="AS142" s="49">
        <v>51</v>
      </c>
      <c r="AT142" s="83">
        <f t="shared" si="82"/>
        <v>4</v>
      </c>
      <c r="AU142" s="15">
        <f t="shared" si="79"/>
        <v>62.79</v>
      </c>
      <c r="AV142" s="52">
        <v>303</v>
      </c>
      <c r="AW142" s="16">
        <f t="shared" si="74"/>
        <v>5.8190896869598614E-2</v>
      </c>
      <c r="AX142" s="17">
        <f>IF(AND(AS142&lt;&gt;"", AV142&lt;&gt;""), SUM(AV$114:AV142), "")</f>
        <v>2089</v>
      </c>
      <c r="AY142" s="16">
        <f t="shared" si="75"/>
        <v>0.40119070482043401</v>
      </c>
      <c r="AZ142" s="14"/>
      <c r="BA142" s="27">
        <v>21</v>
      </c>
      <c r="BB142" s="20">
        <v>48</v>
      </c>
      <c r="BC142" s="8"/>
      <c r="BD142" s="49">
        <v>44</v>
      </c>
      <c r="BE142" s="83">
        <f t="shared" si="83"/>
        <v>6</v>
      </c>
      <c r="BF142" s="15">
        <f t="shared" si="80"/>
        <v>34.380000000000003</v>
      </c>
      <c r="BG142" s="52">
        <v>2573</v>
      </c>
      <c r="BH142" s="16">
        <f t="shared" si="76"/>
        <v>2.7877697841726619E-2</v>
      </c>
      <c r="BI142" s="17">
        <f>IF(AND(BD142&lt;&gt;"", BG142&lt;&gt;""), SUM(BG$114:BG142), "")</f>
        <v>61850</v>
      </c>
      <c r="BJ142" s="16">
        <f t="shared" si="77"/>
        <v>0.67012654936291927</v>
      </c>
      <c r="BK142" s="14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</row>
    <row r="143" spans="1:180" ht="16" customHeight="1" x14ac:dyDescent="0.2">
      <c r="A143" s="1"/>
      <c r="B143" s="1"/>
      <c r="C143" s="1"/>
      <c r="O143" s="42"/>
      <c r="P143" s="83" t="str">
        <f t="shared" si="90"/>
        <v/>
      </c>
      <c r="Q143" s="15" t="str">
        <f t="shared" si="88"/>
        <v/>
      </c>
      <c r="R143" s="42"/>
      <c r="S143" s="16" t="str">
        <f t="shared" si="84"/>
        <v/>
      </c>
      <c r="T143" s="17" t="str">
        <f>IF(AND(O143&lt;&gt;"", R143&lt;&gt;""), SUM(R$4:R143), "")</f>
        <v/>
      </c>
      <c r="U143" s="16" t="str">
        <f t="shared" si="85"/>
        <v/>
      </c>
      <c r="W143" s="42"/>
      <c r="X143" s="83" t="str">
        <f t="shared" si="91"/>
        <v/>
      </c>
      <c r="Y143" s="15" t="str">
        <f t="shared" si="89"/>
        <v/>
      </c>
      <c r="Z143" s="42"/>
      <c r="AA143" s="16" t="str">
        <f t="shared" si="86"/>
        <v/>
      </c>
      <c r="AB143" s="17" t="str">
        <f>IF(AND(W143&lt;&gt;"", Z143&lt;&gt;""), SUM(Z$4:Z143), "")</f>
        <v/>
      </c>
      <c r="AC143" s="16" t="str">
        <f t="shared" si="87"/>
        <v/>
      </c>
      <c r="AD143" s="1"/>
      <c r="AE143" s="19">
        <v>20</v>
      </c>
      <c r="AF143" s="20">
        <v>50</v>
      </c>
      <c r="AG143" s="8"/>
      <c r="AH143" s="49">
        <v>47</v>
      </c>
      <c r="AI143" s="83">
        <f t="shared" si="81"/>
        <v>5</v>
      </c>
      <c r="AJ143" s="15">
        <f t="shared" si="78"/>
        <v>47.1</v>
      </c>
      <c r="AK143" s="52">
        <v>623</v>
      </c>
      <c r="AL143" s="16">
        <f t="shared" si="72"/>
        <v>3.0093710752584293E-2</v>
      </c>
      <c r="AM143" s="17">
        <f>IF(AND(AH143&lt;&gt;"", AK143&lt;&gt;""), SUM(AK$114:AK143), "")</f>
        <v>11263</v>
      </c>
      <c r="AN143" s="16">
        <f t="shared" si="73"/>
        <v>0.54405371461694518</v>
      </c>
      <c r="AO143" s="14"/>
      <c r="AP143" s="27">
        <v>20</v>
      </c>
      <c r="AQ143" s="20">
        <v>51</v>
      </c>
      <c r="AR143" s="8"/>
      <c r="AS143" s="49">
        <v>50</v>
      </c>
      <c r="AT143" s="83">
        <f t="shared" si="82"/>
        <v>5</v>
      </c>
      <c r="AU143" s="15">
        <f t="shared" si="79"/>
        <v>58.18</v>
      </c>
      <c r="AV143" s="52">
        <v>177</v>
      </c>
      <c r="AW143" s="16">
        <f t="shared" si="74"/>
        <v>3.3992702131745725E-2</v>
      </c>
      <c r="AX143" s="17">
        <f>IF(AND(AS143&lt;&gt;"", AV143&lt;&gt;""), SUM(AV$114:AV143), "")</f>
        <v>2266</v>
      </c>
      <c r="AY143" s="16">
        <f t="shared" si="75"/>
        <v>0.43518340695217977</v>
      </c>
      <c r="AZ143" s="14"/>
      <c r="BA143" s="27">
        <v>20</v>
      </c>
      <c r="BB143" s="20">
        <v>47</v>
      </c>
      <c r="BC143" s="8"/>
      <c r="BD143" s="49">
        <v>43</v>
      </c>
      <c r="BE143" s="83">
        <f t="shared" si="83"/>
        <v>6</v>
      </c>
      <c r="BF143" s="15">
        <f t="shared" si="80"/>
        <v>31.4</v>
      </c>
      <c r="BG143" s="52">
        <v>2924</v>
      </c>
      <c r="BH143" s="16">
        <f t="shared" si="76"/>
        <v>3.1680679552743347E-2</v>
      </c>
      <c r="BI143" s="17">
        <f>IF(AND(BD143&lt;&gt;"", BG143&lt;&gt;""), SUM(BG$114:BG143), "")</f>
        <v>64774</v>
      </c>
      <c r="BJ143" s="16">
        <f t="shared" si="77"/>
        <v>0.70180722891566261</v>
      </c>
      <c r="BK143" s="14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</row>
    <row r="144" spans="1:180" ht="16" customHeight="1" x14ac:dyDescent="0.2">
      <c r="A144" s="1"/>
      <c r="B144" s="1"/>
      <c r="C144" s="1"/>
      <c r="O144" s="42"/>
      <c r="P144" s="83" t="str">
        <f t="shared" si="90"/>
        <v/>
      </c>
      <c r="Q144" s="15" t="str">
        <f t="shared" si="88"/>
        <v/>
      </c>
      <c r="R144" s="42"/>
      <c r="S144" s="16" t="str">
        <f t="shared" si="84"/>
        <v/>
      </c>
      <c r="T144" s="17" t="str">
        <f>IF(AND(O144&lt;&gt;"", R144&lt;&gt;""), SUM(R$4:R144), "")</f>
        <v/>
      </c>
      <c r="U144" s="16" t="str">
        <f t="shared" si="85"/>
        <v/>
      </c>
      <c r="W144" s="42"/>
      <c r="X144" s="83" t="str">
        <f t="shared" si="91"/>
        <v/>
      </c>
      <c r="Y144" s="15" t="str">
        <f t="shared" si="89"/>
        <v/>
      </c>
      <c r="Z144" s="42"/>
      <c r="AA144" s="16" t="str">
        <f t="shared" si="86"/>
        <v/>
      </c>
      <c r="AB144" s="17" t="str">
        <f>IF(AND(W144&lt;&gt;"", Z144&lt;&gt;""), SUM(Z$4:Z144), "")</f>
        <v/>
      </c>
      <c r="AC144" s="16" t="str">
        <f t="shared" si="87"/>
        <v/>
      </c>
      <c r="AD144" s="1"/>
      <c r="AE144" s="19">
        <v>19</v>
      </c>
      <c r="AF144" s="20">
        <v>49</v>
      </c>
      <c r="AG144" s="8"/>
      <c r="AH144" s="49">
        <v>46</v>
      </c>
      <c r="AI144" s="83">
        <f t="shared" si="81"/>
        <v>5</v>
      </c>
      <c r="AJ144" s="15">
        <f t="shared" si="78"/>
        <v>42.37</v>
      </c>
      <c r="AK144" s="52">
        <v>1336</v>
      </c>
      <c r="AL144" s="16">
        <f t="shared" si="72"/>
        <v>6.4534827552893442E-2</v>
      </c>
      <c r="AM144" s="17">
        <f>IF(AND(AH144&lt;&gt;"", AK144&lt;&gt;""), SUM(AK$114:AK144), "")</f>
        <v>12599</v>
      </c>
      <c r="AN144" s="16">
        <f t="shared" si="73"/>
        <v>0.60858854216983871</v>
      </c>
      <c r="AO144" s="14"/>
      <c r="AP144" s="27">
        <v>19</v>
      </c>
      <c r="AQ144" s="20">
        <v>51</v>
      </c>
      <c r="AR144" s="8"/>
      <c r="AS144" s="49">
        <v>49</v>
      </c>
      <c r="AT144" s="83">
        <f t="shared" si="82"/>
        <v>5</v>
      </c>
      <c r="AU144" s="15">
        <f t="shared" si="79"/>
        <v>54.52</v>
      </c>
      <c r="AV144" s="52">
        <v>204</v>
      </c>
      <c r="AW144" s="16">
        <f t="shared" si="74"/>
        <v>3.9178029575571344E-2</v>
      </c>
      <c r="AX144" s="17">
        <f>IF(AND(AS144&lt;&gt;"", AV144&lt;&gt;""), SUM(AV$114:AV144), "")</f>
        <v>2470</v>
      </c>
      <c r="AY144" s="16">
        <f t="shared" si="75"/>
        <v>0.47436143652775109</v>
      </c>
      <c r="AZ144" s="14"/>
      <c r="BA144" s="27">
        <v>19</v>
      </c>
      <c r="BB144" s="20">
        <v>46</v>
      </c>
      <c r="BC144" s="8"/>
      <c r="BD144" s="49">
        <v>42</v>
      </c>
      <c r="BE144" s="83">
        <f t="shared" si="83"/>
        <v>6</v>
      </c>
      <c r="BF144" s="15">
        <f t="shared" si="80"/>
        <v>28.18</v>
      </c>
      <c r="BG144" s="52">
        <v>3028</v>
      </c>
      <c r="BH144" s="16">
        <f t="shared" si="76"/>
        <v>3.2807488948600159E-2</v>
      </c>
      <c r="BI144" s="17">
        <f>IF(AND(BD144&lt;&gt;"", BG144&lt;&gt;""), SUM(BG$114:BG144), "")</f>
        <v>67802</v>
      </c>
      <c r="BJ144" s="16">
        <f t="shared" si="77"/>
        <v>0.7346147178642628</v>
      </c>
      <c r="BK144" s="1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</row>
    <row r="145" spans="1:180" ht="16" customHeight="1" x14ac:dyDescent="0.2">
      <c r="A145" s="1"/>
      <c r="B145" s="1"/>
      <c r="C145" s="1"/>
      <c r="O145" s="42"/>
      <c r="P145" s="83" t="str">
        <f t="shared" si="90"/>
        <v/>
      </c>
      <c r="Q145" s="15" t="str">
        <f t="shared" si="88"/>
        <v/>
      </c>
      <c r="R145" s="42"/>
      <c r="S145" s="16" t="str">
        <f t="shared" si="84"/>
        <v/>
      </c>
      <c r="T145" s="17" t="str">
        <f>IF(AND(O145&lt;&gt;"", R145&lt;&gt;""), SUM(R$4:R145), "")</f>
        <v/>
      </c>
      <c r="U145" s="16" t="str">
        <f t="shared" si="85"/>
        <v/>
      </c>
      <c r="W145" s="42"/>
      <c r="X145" s="83" t="str">
        <f t="shared" si="91"/>
        <v/>
      </c>
      <c r="Y145" s="15" t="str">
        <f t="shared" si="89"/>
        <v/>
      </c>
      <c r="Z145" s="42"/>
      <c r="AA145" s="16" t="str">
        <f t="shared" si="86"/>
        <v/>
      </c>
      <c r="AB145" s="17" t="str">
        <f>IF(AND(W145&lt;&gt;"", Z145&lt;&gt;""), SUM(Z$4:Z145), "")</f>
        <v/>
      </c>
      <c r="AC145" s="16" t="str">
        <f t="shared" si="87"/>
        <v/>
      </c>
      <c r="AD145" s="1"/>
      <c r="AE145" s="19">
        <v>18</v>
      </c>
      <c r="AF145" s="20">
        <v>48</v>
      </c>
      <c r="AG145" s="8"/>
      <c r="AH145" s="49">
        <v>45</v>
      </c>
      <c r="AI145" s="83">
        <f t="shared" si="81"/>
        <v>6</v>
      </c>
      <c r="AJ145" s="15">
        <f t="shared" si="78"/>
        <v>37.270000000000003</v>
      </c>
      <c r="AK145" s="52">
        <v>776</v>
      </c>
      <c r="AL145" s="16">
        <f t="shared" si="72"/>
        <v>3.7484301033716548E-2</v>
      </c>
      <c r="AM145" s="17">
        <f>IF(AND(AH145&lt;&gt;"", AK145&lt;&gt;""), SUM(AK$114:AK145), "")</f>
        <v>13375</v>
      </c>
      <c r="AN145" s="16">
        <f t="shared" si="73"/>
        <v>0.64607284320355518</v>
      </c>
      <c r="AO145" s="14"/>
      <c r="AP145" s="27">
        <v>18</v>
      </c>
      <c r="AQ145" s="20">
        <v>50</v>
      </c>
      <c r="AR145" s="8"/>
      <c r="AS145" s="49">
        <v>48</v>
      </c>
      <c r="AT145" s="83">
        <f t="shared" si="82"/>
        <v>5</v>
      </c>
      <c r="AU145" s="15">
        <f t="shared" si="79"/>
        <v>50.83</v>
      </c>
      <c r="AV145" s="52">
        <v>181</v>
      </c>
      <c r="AW145" s="16">
        <f t="shared" si="74"/>
        <v>3.4760898790090262E-2</v>
      </c>
      <c r="AX145" s="17">
        <f>IF(AND(AS145&lt;&gt;"", AV145&lt;&gt;""), SUM(AV$114:AV145), "")</f>
        <v>2651</v>
      </c>
      <c r="AY145" s="16">
        <f t="shared" si="75"/>
        <v>0.50912233531784135</v>
      </c>
      <c r="AZ145" s="14"/>
      <c r="BA145" s="27">
        <v>18</v>
      </c>
      <c r="BB145" s="20">
        <v>45</v>
      </c>
      <c r="BC145" s="8"/>
      <c r="BD145" s="49">
        <v>41</v>
      </c>
      <c r="BE145" s="83">
        <f t="shared" si="83"/>
        <v>6</v>
      </c>
      <c r="BF145" s="15">
        <f t="shared" si="80"/>
        <v>25.21</v>
      </c>
      <c r="BG145" s="52">
        <v>2459</v>
      </c>
      <c r="BH145" s="16">
        <f t="shared" si="76"/>
        <v>2.6642541388575885E-2</v>
      </c>
      <c r="BI145" s="17">
        <f>IF(AND(BD145&lt;&gt;"", BG145&lt;&gt;""), SUM(BG$114:BG145), "")</f>
        <v>70261</v>
      </c>
      <c r="BJ145" s="16">
        <f t="shared" si="77"/>
        <v>0.76125725925283871</v>
      </c>
      <c r="BK145" s="14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</row>
    <row r="146" spans="1:180" ht="16" customHeight="1" x14ac:dyDescent="0.2">
      <c r="A146" s="1"/>
      <c r="B146" s="1"/>
      <c r="C146" s="1"/>
      <c r="O146" s="42"/>
      <c r="P146" s="83" t="str">
        <f t="shared" si="90"/>
        <v/>
      </c>
      <c r="Q146" s="15" t="str">
        <f t="shared" si="88"/>
        <v/>
      </c>
      <c r="R146" s="42"/>
      <c r="S146" s="16" t="str">
        <f t="shared" si="84"/>
        <v/>
      </c>
      <c r="T146" s="17" t="str">
        <f>IF(AND(O146&lt;&gt;"", R146&lt;&gt;""), SUM(R$4:R146), "")</f>
        <v/>
      </c>
      <c r="U146" s="16" t="str">
        <f t="shared" si="85"/>
        <v/>
      </c>
      <c r="W146" s="42"/>
      <c r="X146" s="83" t="str">
        <f t="shared" si="91"/>
        <v/>
      </c>
      <c r="Y146" s="15" t="str">
        <f t="shared" si="89"/>
        <v/>
      </c>
      <c r="Z146" s="42"/>
      <c r="AA146" s="16" t="str">
        <f t="shared" si="86"/>
        <v/>
      </c>
      <c r="AB146" s="17" t="str">
        <f>IF(AND(W146&lt;&gt;"", Z146&lt;&gt;""), SUM(Z$4:Z146), "")</f>
        <v/>
      </c>
      <c r="AC146" s="16" t="str">
        <f t="shared" si="87"/>
        <v/>
      </c>
      <c r="AD146" s="1"/>
      <c r="AE146" s="19">
        <v>17</v>
      </c>
      <c r="AF146" s="20">
        <v>47</v>
      </c>
      <c r="AG146" s="8"/>
      <c r="AH146" s="49">
        <v>44</v>
      </c>
      <c r="AI146" s="83">
        <f t="shared" si="81"/>
        <v>6</v>
      </c>
      <c r="AJ146" s="15">
        <f t="shared" si="78"/>
        <v>33.869999999999997</v>
      </c>
      <c r="AK146" s="52">
        <v>630</v>
      </c>
      <c r="AL146" s="16">
        <f t="shared" si="72"/>
        <v>3.0431842334074002E-2</v>
      </c>
      <c r="AM146" s="17">
        <f>IF(AND(AH146&lt;&gt;"", AK146&lt;&gt;""), SUM(AK$114:AK146), "")</f>
        <v>14005</v>
      </c>
      <c r="AN146" s="16">
        <f t="shared" si="73"/>
        <v>0.67650468553762921</v>
      </c>
      <c r="AO146" s="14"/>
      <c r="AP146" s="27">
        <v>17</v>
      </c>
      <c r="AQ146" s="20">
        <v>49</v>
      </c>
      <c r="AR146" s="8"/>
      <c r="AS146" s="49">
        <v>47</v>
      </c>
      <c r="AT146" s="83">
        <f t="shared" si="82"/>
        <v>5</v>
      </c>
      <c r="AU146" s="15">
        <f t="shared" si="79"/>
        <v>47.17</v>
      </c>
      <c r="AV146" s="52">
        <v>200</v>
      </c>
      <c r="AW146" s="16">
        <f t="shared" si="74"/>
        <v>3.8409832917226813E-2</v>
      </c>
      <c r="AX146" s="17">
        <f>IF(AND(AS146&lt;&gt;"", AV146&lt;&gt;""), SUM(AV$114:AV146), "")</f>
        <v>2851</v>
      </c>
      <c r="AY146" s="16">
        <f t="shared" si="75"/>
        <v>0.54753216823506823</v>
      </c>
      <c r="AZ146" s="14"/>
      <c r="BA146" s="27">
        <v>17</v>
      </c>
      <c r="BB146" s="20">
        <v>45</v>
      </c>
      <c r="BC146" s="8"/>
      <c r="BD146" s="49">
        <v>40</v>
      </c>
      <c r="BE146" s="83">
        <f t="shared" si="83"/>
        <v>6</v>
      </c>
      <c r="BF146" s="15">
        <f t="shared" si="80"/>
        <v>17.72</v>
      </c>
      <c r="BG146" s="52">
        <v>11363</v>
      </c>
      <c r="BH146" s="16">
        <f t="shared" si="76"/>
        <v>0.12311476120308572</v>
      </c>
      <c r="BI146" s="17">
        <f>IF(AND(BD146&lt;&gt;"", BG146&lt;&gt;""), SUM(BG$114:BG146), "")</f>
        <v>81624</v>
      </c>
      <c r="BJ146" s="16">
        <f t="shared" si="77"/>
        <v>0.88437202045592445</v>
      </c>
      <c r="BK146" s="14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</row>
    <row r="147" spans="1:180" ht="16" customHeight="1" x14ac:dyDescent="0.2">
      <c r="A147" s="1"/>
      <c r="B147" s="1"/>
      <c r="C147" s="1"/>
      <c r="O147" s="42"/>
      <c r="P147" s="83" t="str">
        <f t="shared" si="90"/>
        <v/>
      </c>
      <c r="Q147" s="15" t="str">
        <f t="shared" si="88"/>
        <v/>
      </c>
      <c r="R147" s="42"/>
      <c r="S147" s="16" t="str">
        <f t="shared" si="84"/>
        <v/>
      </c>
      <c r="T147" s="17" t="str">
        <f>IF(AND(O147&lt;&gt;"", R147&lt;&gt;""), SUM(R$4:R147), "")</f>
        <v/>
      </c>
      <c r="U147" s="16" t="str">
        <f t="shared" si="85"/>
        <v/>
      </c>
      <c r="W147" s="42"/>
      <c r="X147" s="83" t="str">
        <f t="shared" si="91"/>
        <v/>
      </c>
      <c r="Y147" s="15" t="str">
        <f t="shared" si="89"/>
        <v/>
      </c>
      <c r="Z147" s="42"/>
      <c r="AA147" s="16" t="str">
        <f t="shared" si="86"/>
        <v/>
      </c>
      <c r="AB147" s="17" t="str">
        <f>IF(AND(W147&lt;&gt;"", Z147&lt;&gt;""), SUM(Z$4:Z147), "")</f>
        <v/>
      </c>
      <c r="AC147" s="16" t="str">
        <f t="shared" si="87"/>
        <v/>
      </c>
      <c r="AD147" s="1"/>
      <c r="AE147" s="19">
        <v>16</v>
      </c>
      <c r="AF147" s="20">
        <v>46</v>
      </c>
      <c r="AG147" s="8"/>
      <c r="AH147" s="49">
        <v>43</v>
      </c>
      <c r="AI147" s="83">
        <f t="shared" si="81"/>
        <v>6</v>
      </c>
      <c r="AJ147" s="15">
        <f t="shared" si="78"/>
        <v>30.34</v>
      </c>
      <c r="AK147" s="52">
        <v>833</v>
      </c>
      <c r="AL147" s="16">
        <f t="shared" si="72"/>
        <v>4.0237658197275629E-2</v>
      </c>
      <c r="AM147" s="17">
        <f>IF(AND(AH147&lt;&gt;"", AK147&lt;&gt;""), SUM(AK$114:AK147), "")</f>
        <v>14838</v>
      </c>
      <c r="AN147" s="16">
        <f t="shared" si="73"/>
        <v>0.71674234373490486</v>
      </c>
      <c r="AO147" s="14"/>
      <c r="AP147" s="27">
        <v>16</v>
      </c>
      <c r="AQ147" s="20">
        <v>48</v>
      </c>
      <c r="AR147" s="8"/>
      <c r="AS147" s="49">
        <v>46</v>
      </c>
      <c r="AT147" s="83">
        <f t="shared" si="82"/>
        <v>5</v>
      </c>
      <c r="AU147" s="15">
        <f t="shared" si="79"/>
        <v>43.41</v>
      </c>
      <c r="AV147" s="52">
        <v>191</v>
      </c>
      <c r="AW147" s="16">
        <f t="shared" si="74"/>
        <v>3.6681390435951602E-2</v>
      </c>
      <c r="AX147" s="17">
        <f>IF(AND(AS147&lt;&gt;"", AV147&lt;&gt;""), SUM(AV$114:AV147), "")</f>
        <v>3042</v>
      </c>
      <c r="AY147" s="16">
        <f t="shared" si="75"/>
        <v>0.58421355867101976</v>
      </c>
      <c r="AZ147" s="14"/>
      <c r="BA147" s="27">
        <v>16</v>
      </c>
      <c r="BB147" s="20">
        <v>44</v>
      </c>
      <c r="BC147" s="8"/>
      <c r="BD147" s="49">
        <v>39</v>
      </c>
      <c r="BE147" s="83">
        <f t="shared" si="83"/>
        <v>7</v>
      </c>
      <c r="BF147" s="15">
        <f t="shared" si="80"/>
        <v>10.029999999999999</v>
      </c>
      <c r="BG147" s="52">
        <v>2836</v>
      </c>
      <c r="BH147" s="16">
        <f t="shared" si="76"/>
        <v>3.0727225448556817E-2</v>
      </c>
      <c r="BI147" s="17">
        <f>IF(AND(BD147&lt;&gt;"", BG147&lt;&gt;""), SUM(BG$114:BG147), "")</f>
        <v>84460</v>
      </c>
      <c r="BJ147" s="16">
        <f t="shared" si="77"/>
        <v>0.91509924590448122</v>
      </c>
      <c r="BK147" s="14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</row>
    <row r="148" spans="1:180" ht="16" customHeight="1" x14ac:dyDescent="0.2">
      <c r="A148" s="1"/>
      <c r="B148" s="1"/>
      <c r="C148" s="1"/>
      <c r="D148" s="1"/>
      <c r="N148" s="1"/>
      <c r="O148" s="42"/>
      <c r="P148" s="83" t="str">
        <f t="shared" si="90"/>
        <v/>
      </c>
      <c r="Q148" s="15" t="str">
        <f t="shared" si="88"/>
        <v/>
      </c>
      <c r="R148" s="42"/>
      <c r="S148" s="16" t="str">
        <f t="shared" si="84"/>
        <v/>
      </c>
      <c r="T148" s="17" t="str">
        <f>IF(AND(O148&lt;&gt;"", R148&lt;&gt;""), SUM(R$4:R148), "")</f>
        <v/>
      </c>
      <c r="U148" s="16" t="str">
        <f t="shared" si="85"/>
        <v/>
      </c>
      <c r="W148" s="42"/>
      <c r="X148" s="83" t="str">
        <f t="shared" si="91"/>
        <v/>
      </c>
      <c r="Y148" s="15" t="str">
        <f t="shared" si="89"/>
        <v/>
      </c>
      <c r="Z148" s="42"/>
      <c r="AA148" s="16" t="str">
        <f t="shared" si="86"/>
        <v/>
      </c>
      <c r="AB148" s="17" t="str">
        <f>IF(AND(W148&lt;&gt;"", Z148&lt;&gt;""), SUM(Z$4:Z148), "")</f>
        <v/>
      </c>
      <c r="AC148" s="16" t="str">
        <f t="shared" si="87"/>
        <v/>
      </c>
      <c r="AD148" s="1"/>
      <c r="AE148" s="19">
        <v>15</v>
      </c>
      <c r="AF148" s="20">
        <v>45</v>
      </c>
      <c r="AG148" s="8"/>
      <c r="AH148" s="49">
        <v>42</v>
      </c>
      <c r="AI148" s="83">
        <f t="shared" si="81"/>
        <v>6</v>
      </c>
      <c r="AJ148" s="15">
        <f t="shared" si="78"/>
        <v>26.58</v>
      </c>
      <c r="AK148" s="52">
        <v>724</v>
      </c>
      <c r="AL148" s="16">
        <f t="shared" si="72"/>
        <v>3.4972466428364407E-2</v>
      </c>
      <c r="AM148" s="17">
        <f>IF(AND(AH148&lt;&gt;"", AK148&lt;&gt;""), SUM(AK$114:AK148), "")</f>
        <v>15562</v>
      </c>
      <c r="AN148" s="16">
        <f t="shared" si="73"/>
        <v>0.75171481016326924</v>
      </c>
      <c r="AO148" s="14"/>
      <c r="AP148" s="27">
        <v>15</v>
      </c>
      <c r="AQ148" s="20">
        <v>47</v>
      </c>
      <c r="AR148" s="8"/>
      <c r="AS148" s="49">
        <v>45</v>
      </c>
      <c r="AT148" s="83">
        <f t="shared" si="82"/>
        <v>5</v>
      </c>
      <c r="AU148" s="15">
        <f t="shared" si="79"/>
        <v>40.020000000000003</v>
      </c>
      <c r="AV148" s="52">
        <v>162</v>
      </c>
      <c r="AW148" s="16">
        <f t="shared" si="74"/>
        <v>3.1111964662953715E-2</v>
      </c>
      <c r="AX148" s="17">
        <f>IF(AND(AS148&lt;&gt;"", AV148&lt;&gt;""), SUM(AV$114:AV148), "")</f>
        <v>3204</v>
      </c>
      <c r="AY148" s="16">
        <f t="shared" si="75"/>
        <v>0.6153255233339735</v>
      </c>
      <c r="AZ148" s="14"/>
      <c r="BA148" s="27">
        <v>15</v>
      </c>
      <c r="BB148" s="20">
        <v>43</v>
      </c>
      <c r="BC148" s="8"/>
      <c r="BD148" s="49">
        <v>38</v>
      </c>
      <c r="BE148" s="83">
        <f t="shared" si="83"/>
        <v>8</v>
      </c>
      <c r="BF148" s="15">
        <f t="shared" si="80"/>
        <v>7.47</v>
      </c>
      <c r="BG148" s="52">
        <v>1876</v>
      </c>
      <c r="BH148" s="16">
        <f t="shared" si="76"/>
        <v>2.0325907948340122E-2</v>
      </c>
      <c r="BI148" s="17">
        <f>IF(AND(BD148&lt;&gt;"", BG148&lt;&gt;""), SUM(BG$114:BG148), "")</f>
        <v>86336</v>
      </c>
      <c r="BJ148" s="16">
        <f t="shared" si="77"/>
        <v>0.93542515385282132</v>
      </c>
      <c r="BK148" s="14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</row>
    <row r="149" spans="1:180" ht="16" customHeight="1" x14ac:dyDescent="0.2">
      <c r="A149" s="1"/>
      <c r="B149" s="1"/>
      <c r="C149" s="1"/>
      <c r="D149" s="1"/>
      <c r="N149" s="1"/>
      <c r="O149" s="42"/>
      <c r="P149" s="83" t="str">
        <f t="shared" si="90"/>
        <v/>
      </c>
      <c r="Q149" s="15" t="str">
        <f t="shared" si="88"/>
        <v/>
      </c>
      <c r="R149" s="42"/>
      <c r="S149" s="16" t="str">
        <f t="shared" si="84"/>
        <v/>
      </c>
      <c r="T149" s="17" t="str">
        <f>IF(AND(O149&lt;&gt;"", R149&lt;&gt;""), SUM(R$4:R149), "")</f>
        <v/>
      </c>
      <c r="U149" s="16" t="str">
        <f t="shared" si="85"/>
        <v/>
      </c>
      <c r="W149" s="42"/>
      <c r="X149" s="83" t="str">
        <f t="shared" si="91"/>
        <v/>
      </c>
      <c r="Y149" s="15" t="str">
        <f t="shared" si="89"/>
        <v/>
      </c>
      <c r="Z149" s="42"/>
      <c r="AA149" s="16" t="str">
        <f t="shared" si="86"/>
        <v/>
      </c>
      <c r="AB149" s="17" t="str">
        <f>IF(AND(W149&lt;&gt;"", Z149&lt;&gt;""), SUM(Z$4:Z149), "")</f>
        <v/>
      </c>
      <c r="AC149" s="16" t="str">
        <f t="shared" si="87"/>
        <v/>
      </c>
      <c r="AD149" s="1"/>
      <c r="AE149" s="19">
        <v>14</v>
      </c>
      <c r="AF149" s="20">
        <v>44</v>
      </c>
      <c r="AG149" s="8"/>
      <c r="AH149" s="49">
        <v>41</v>
      </c>
      <c r="AI149" s="83">
        <f t="shared" si="81"/>
        <v>6</v>
      </c>
      <c r="AJ149" s="15">
        <f t="shared" si="78"/>
        <v>18.8</v>
      </c>
      <c r="AK149" s="52">
        <v>2497</v>
      </c>
      <c r="AL149" s="16">
        <f t="shared" si="72"/>
        <v>0.1206163655685441</v>
      </c>
      <c r="AM149" s="17">
        <f>IF(AND(AH149&lt;&gt;"", AK149&lt;&gt;""), SUM(AK$114:AK149), "")</f>
        <v>18059</v>
      </c>
      <c r="AN149" s="16">
        <f t="shared" si="73"/>
        <v>0.8723311757318134</v>
      </c>
      <c r="AO149" s="14"/>
      <c r="AP149" s="27">
        <v>14</v>
      </c>
      <c r="AQ149" s="20">
        <v>46</v>
      </c>
      <c r="AR149" s="8"/>
      <c r="AS149" s="49">
        <v>44</v>
      </c>
      <c r="AT149" s="83">
        <f t="shared" si="82"/>
        <v>6</v>
      </c>
      <c r="AU149" s="15">
        <f t="shared" si="79"/>
        <v>34.57</v>
      </c>
      <c r="AV149" s="52">
        <v>406</v>
      </c>
      <c r="AW149" s="16">
        <f t="shared" si="74"/>
        <v>7.7971960821970429E-2</v>
      </c>
      <c r="AX149" s="17">
        <f>IF(AND(AS149&lt;&gt;"", AV149&lt;&gt;""), SUM(AV$114:AV149), "")</f>
        <v>3610</v>
      </c>
      <c r="AY149" s="16">
        <f t="shared" si="75"/>
        <v>0.69329748415594394</v>
      </c>
      <c r="AZ149" s="14"/>
      <c r="BA149" s="27">
        <v>14</v>
      </c>
      <c r="BB149" s="20">
        <v>42</v>
      </c>
      <c r="BC149" s="8"/>
      <c r="BD149" s="49">
        <v>37</v>
      </c>
      <c r="BE149" s="83">
        <f t="shared" si="83"/>
        <v>8</v>
      </c>
      <c r="BF149" s="15">
        <f t="shared" si="80"/>
        <v>5.72</v>
      </c>
      <c r="BG149" s="52">
        <v>1363</v>
      </c>
      <c r="BH149" s="16">
        <f t="shared" si="76"/>
        <v>1.4767703909161827E-2</v>
      </c>
      <c r="BI149" s="17">
        <f>IF(AND(BD149&lt;&gt;"", BG149&lt;&gt;""), SUM(BG$114:BG149), "")</f>
        <v>87699</v>
      </c>
      <c r="BJ149" s="16">
        <f t="shared" si="77"/>
        <v>0.95019285776198315</v>
      </c>
      <c r="BK149" s="14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</row>
    <row r="150" spans="1:180" ht="16" customHeight="1" x14ac:dyDescent="0.2">
      <c r="A150" s="1"/>
      <c r="B150" s="1"/>
      <c r="C150" s="1"/>
      <c r="D150" s="1"/>
      <c r="N150" s="1"/>
      <c r="O150" s="42"/>
      <c r="P150" s="83" t="str">
        <f t="shared" si="90"/>
        <v/>
      </c>
      <c r="Q150" s="15" t="str">
        <f t="shared" si="88"/>
        <v/>
      </c>
      <c r="R150" s="42"/>
      <c r="S150" s="16" t="str">
        <f t="shared" si="84"/>
        <v/>
      </c>
      <c r="T150" s="17" t="str">
        <f>IF(AND(O150&lt;&gt;"", R150&lt;&gt;""), SUM(R$4:R150), "")</f>
        <v/>
      </c>
      <c r="U150" s="16" t="str">
        <f t="shared" si="85"/>
        <v/>
      </c>
      <c r="W150" s="42"/>
      <c r="X150" s="83" t="str">
        <f t="shared" si="91"/>
        <v/>
      </c>
      <c r="Y150" s="15" t="str">
        <f t="shared" si="89"/>
        <v/>
      </c>
      <c r="Z150" s="42"/>
      <c r="AA150" s="16" t="str">
        <f t="shared" si="86"/>
        <v/>
      </c>
      <c r="AB150" s="17" t="str">
        <f>IF(AND(W150&lt;&gt;"", Z150&lt;&gt;""), SUM(Z$4:Z150), "")</f>
        <v/>
      </c>
      <c r="AC150" s="16" t="str">
        <f t="shared" si="87"/>
        <v/>
      </c>
      <c r="AD150" s="1"/>
      <c r="AE150" s="19">
        <v>13</v>
      </c>
      <c r="AF150" s="20">
        <v>43</v>
      </c>
      <c r="AG150" s="8"/>
      <c r="AH150" s="49">
        <v>40</v>
      </c>
      <c r="AI150" s="83">
        <f t="shared" si="81"/>
        <v>7</v>
      </c>
      <c r="AJ150" s="15">
        <f t="shared" si="78"/>
        <v>11.69</v>
      </c>
      <c r="AK150" s="52">
        <v>447</v>
      </c>
      <c r="AL150" s="16">
        <f t="shared" si="72"/>
        <v>2.1592116703700124E-2</v>
      </c>
      <c r="AM150" s="17">
        <f>IF(AND(AH150&lt;&gt;"", AK150&lt;&gt;""), SUM(AK$114:AK150), "")</f>
        <v>18506</v>
      </c>
      <c r="AN150" s="16">
        <f t="shared" si="73"/>
        <v>0.89392329243551349</v>
      </c>
      <c r="AO150" s="14"/>
      <c r="AP150" s="27">
        <v>13</v>
      </c>
      <c r="AQ150" s="20">
        <v>45</v>
      </c>
      <c r="AR150" s="8"/>
      <c r="AS150" s="49">
        <v>43</v>
      </c>
      <c r="AT150" s="83">
        <f t="shared" si="82"/>
        <v>6</v>
      </c>
      <c r="AU150" s="15">
        <f t="shared" si="79"/>
        <v>24.69</v>
      </c>
      <c r="AV150" s="52">
        <v>623</v>
      </c>
      <c r="AW150" s="16">
        <f t="shared" si="74"/>
        <v>0.11964662953716151</v>
      </c>
      <c r="AX150" s="17">
        <f>IF(AND(AS150&lt;&gt;"", AV150&lt;&gt;""), SUM(AV$114:AV150), "")</f>
        <v>4233</v>
      </c>
      <c r="AY150" s="16">
        <f t="shared" si="75"/>
        <v>0.81294411369310549</v>
      </c>
      <c r="AZ150" s="14"/>
      <c r="BA150" s="27">
        <v>13</v>
      </c>
      <c r="BB150" s="20">
        <v>41</v>
      </c>
      <c r="BC150" s="8"/>
      <c r="BD150" s="49">
        <v>36</v>
      </c>
      <c r="BE150" s="83">
        <f t="shared" si="83"/>
        <v>8</v>
      </c>
      <c r="BF150" s="15">
        <f t="shared" si="80"/>
        <v>4.26</v>
      </c>
      <c r="BG150" s="52">
        <v>1333</v>
      </c>
      <c r="BH150" s="16">
        <f t="shared" si="76"/>
        <v>1.4442662737280055E-2</v>
      </c>
      <c r="BI150" s="17">
        <f>IF(AND(BD150&lt;&gt;"", BG150&lt;&gt;""), SUM(BG$114:BG150), "")</f>
        <v>89032</v>
      </c>
      <c r="BJ150" s="16">
        <f t="shared" si="77"/>
        <v>0.96463552049926327</v>
      </c>
      <c r="BK150" s="14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</row>
    <row r="151" spans="1:180" ht="16" customHeight="1" x14ac:dyDescent="0.2">
      <c r="A151" s="1"/>
      <c r="B151" s="1"/>
      <c r="C151" s="1"/>
      <c r="D151" s="1"/>
      <c r="N151" s="1"/>
      <c r="O151" s="1"/>
      <c r="P151" s="1"/>
      <c r="Q151" s="1"/>
      <c r="R151" s="1"/>
      <c r="S151" s="1"/>
      <c r="T151" s="1"/>
      <c r="U151" s="1"/>
      <c r="W151" s="1"/>
      <c r="X151" s="1"/>
      <c r="Y151" s="1"/>
      <c r="Z151" s="1"/>
      <c r="AA151" s="1"/>
      <c r="AB151" s="1"/>
      <c r="AC151" s="1"/>
      <c r="AD151" s="1"/>
      <c r="AE151" s="19">
        <v>12</v>
      </c>
      <c r="AF151" s="20">
        <v>42</v>
      </c>
      <c r="AG151" s="8"/>
      <c r="AH151" s="49">
        <v>39</v>
      </c>
      <c r="AI151" s="83">
        <f t="shared" si="81"/>
        <v>8</v>
      </c>
      <c r="AJ151" s="15">
        <f t="shared" si="78"/>
        <v>9.1300000000000008</v>
      </c>
      <c r="AK151" s="52">
        <v>611</v>
      </c>
      <c r="AL151" s="16">
        <f t="shared" si="72"/>
        <v>2.9514056612887644E-2</v>
      </c>
      <c r="AM151" s="17">
        <f>IF(AND(AH151&lt;&gt;"", AK151&lt;&gt;""), SUM(AK$114:AK151), "")</f>
        <v>19117</v>
      </c>
      <c r="AN151" s="16">
        <f t="shared" si="73"/>
        <v>0.92343734904840113</v>
      </c>
      <c r="AO151" s="14"/>
      <c r="AP151" s="27">
        <v>12</v>
      </c>
      <c r="AQ151" s="20">
        <v>44</v>
      </c>
      <c r="AR151" s="8"/>
      <c r="AS151" s="49">
        <v>42</v>
      </c>
      <c r="AT151" s="83">
        <f t="shared" si="82"/>
        <v>7</v>
      </c>
      <c r="AU151" s="15">
        <f t="shared" si="79"/>
        <v>16.95</v>
      </c>
      <c r="AV151" s="52">
        <v>183</v>
      </c>
      <c r="AW151" s="16">
        <f t="shared" si="74"/>
        <v>3.5144997119262535E-2</v>
      </c>
      <c r="AX151" s="17">
        <f>IF(AND(AS151&lt;&gt;"", AV151&lt;&gt;""), SUM(AV$114:AV151), "")</f>
        <v>4416</v>
      </c>
      <c r="AY151" s="16">
        <f t="shared" si="75"/>
        <v>0.84808911081236793</v>
      </c>
      <c r="AZ151" s="14"/>
      <c r="BA151" s="27">
        <v>12</v>
      </c>
      <c r="BB151" s="20">
        <v>40</v>
      </c>
      <c r="BC151" s="8"/>
      <c r="BD151" s="49">
        <v>35</v>
      </c>
      <c r="BE151" s="83">
        <f t="shared" si="83"/>
        <v>9</v>
      </c>
      <c r="BF151" s="15">
        <f t="shared" si="80"/>
        <v>2.57</v>
      </c>
      <c r="BG151" s="52">
        <v>1789</v>
      </c>
      <c r="BH151" s="16">
        <f t="shared" si="76"/>
        <v>1.9383288549882985E-2</v>
      </c>
      <c r="BI151" s="17">
        <f>IF(AND(BD151&lt;&gt;"", BG151&lt;&gt;""), SUM(BG$114:BG151), "")</f>
        <v>90821</v>
      </c>
      <c r="BJ151" s="16">
        <f t="shared" si="77"/>
        <v>0.98401880904914618</v>
      </c>
      <c r="BK151" s="14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</row>
    <row r="152" spans="1:180" ht="16" customHeight="1" x14ac:dyDescent="0.2">
      <c r="A152" s="1"/>
      <c r="B152" s="1"/>
      <c r="C152" s="1"/>
      <c r="D152" s="1"/>
      <c r="N152" s="1"/>
      <c r="O152" s="1"/>
      <c r="P152" s="1"/>
      <c r="Q152" s="1"/>
      <c r="R152" s="1"/>
      <c r="S152" s="1"/>
      <c r="T152" s="1"/>
      <c r="U152" s="1"/>
      <c r="W152" s="1"/>
      <c r="X152" s="1"/>
      <c r="Y152" s="1"/>
      <c r="Z152" s="1"/>
      <c r="AA152" s="1"/>
      <c r="AB152" s="1"/>
      <c r="AC152" s="1"/>
      <c r="AD152" s="1"/>
      <c r="AE152" s="19">
        <v>11</v>
      </c>
      <c r="AF152" s="20">
        <v>41</v>
      </c>
      <c r="AG152" s="8"/>
      <c r="AH152" s="49">
        <v>38</v>
      </c>
      <c r="AI152" s="83">
        <f t="shared" si="81"/>
        <v>8</v>
      </c>
      <c r="AJ152" s="15">
        <f t="shared" si="78"/>
        <v>6.54</v>
      </c>
      <c r="AK152" s="52">
        <v>463</v>
      </c>
      <c r="AL152" s="16">
        <f t="shared" si="72"/>
        <v>2.2364988889962321E-2</v>
      </c>
      <c r="AM152" s="17">
        <f>IF(AND(AH152&lt;&gt;"", AK152&lt;&gt;""), SUM(AK$114:AK152), "")</f>
        <v>19580</v>
      </c>
      <c r="AN152" s="16">
        <f t="shared" si="73"/>
        <v>0.94580233793836344</v>
      </c>
      <c r="AO152" s="14"/>
      <c r="AP152" s="27">
        <v>11</v>
      </c>
      <c r="AQ152" s="20">
        <v>43</v>
      </c>
      <c r="AR152" s="8"/>
      <c r="AS152" s="49">
        <v>41</v>
      </c>
      <c r="AT152" s="83">
        <f t="shared" si="82"/>
        <v>7</v>
      </c>
      <c r="AU152" s="15">
        <f t="shared" si="79"/>
        <v>13.47</v>
      </c>
      <c r="AV152" s="52">
        <v>179</v>
      </c>
      <c r="AW152" s="16">
        <f t="shared" si="74"/>
        <v>3.4376800460917997E-2</v>
      </c>
      <c r="AX152" s="17">
        <f>IF(AND(AS152&lt;&gt;"", AV152&lt;&gt;""), SUM(AV$114:AV152), "")</f>
        <v>4595</v>
      </c>
      <c r="AY152" s="16">
        <f t="shared" si="75"/>
        <v>0.882465911273286</v>
      </c>
      <c r="AZ152" s="14"/>
      <c r="BA152" s="27">
        <v>11</v>
      </c>
      <c r="BB152" s="20">
        <v>40</v>
      </c>
      <c r="BC152" s="8"/>
      <c r="BD152" s="49">
        <v>34</v>
      </c>
      <c r="BE152" s="83">
        <f t="shared" si="83"/>
        <v>9</v>
      </c>
      <c r="BF152" s="15">
        <f t="shared" si="80"/>
        <v>1.33</v>
      </c>
      <c r="BG152" s="52">
        <v>486</v>
      </c>
      <c r="BH152" s="16">
        <f t="shared" si="76"/>
        <v>5.2656669844847017E-3</v>
      </c>
      <c r="BI152" s="17">
        <f>IF(AND(BD152&lt;&gt;"", BG152&lt;&gt;""), SUM(BG$114:BG152), "")</f>
        <v>91307</v>
      </c>
      <c r="BJ152" s="16">
        <f t="shared" si="77"/>
        <v>0.9892844760336309</v>
      </c>
      <c r="BK152" s="14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</row>
    <row r="153" spans="1:180" ht="16" customHeight="1" x14ac:dyDescent="0.2">
      <c r="A153" s="1"/>
      <c r="B153" s="1"/>
      <c r="C153" s="1"/>
      <c r="D153" s="1"/>
      <c r="N153" s="1"/>
      <c r="O153" s="1"/>
      <c r="P153" s="1"/>
      <c r="Q153" s="1"/>
      <c r="R153" s="1"/>
      <c r="S153" s="1"/>
      <c r="T153" s="1"/>
      <c r="U153" s="1"/>
      <c r="W153" s="1"/>
      <c r="X153" s="1"/>
      <c r="Y153" s="1"/>
      <c r="Z153" s="1"/>
      <c r="AA153" s="1"/>
      <c r="AB153" s="1"/>
      <c r="AC153" s="1"/>
      <c r="AD153" s="1"/>
      <c r="AE153" s="19">
        <v>10</v>
      </c>
      <c r="AF153" s="20">
        <v>41</v>
      </c>
      <c r="AG153" s="8"/>
      <c r="AH153" s="49">
        <v>37</v>
      </c>
      <c r="AI153" s="83">
        <f t="shared" si="81"/>
        <v>8</v>
      </c>
      <c r="AJ153" s="15">
        <f t="shared" si="78"/>
        <v>4.87</v>
      </c>
      <c r="AK153" s="52">
        <v>227</v>
      </c>
      <c r="AL153" s="16">
        <f t="shared" si="72"/>
        <v>1.0965124142594918E-2</v>
      </c>
      <c r="AM153" s="17">
        <f>IF(AND(AH153&lt;&gt;"", AK153&lt;&gt;""), SUM(AK$114:AK153), "")</f>
        <v>19807</v>
      </c>
      <c r="AN153" s="16">
        <f t="shared" si="73"/>
        <v>0.95676746208095831</v>
      </c>
      <c r="AO153" s="14"/>
      <c r="AP153" s="27">
        <v>10</v>
      </c>
      <c r="AQ153" s="20">
        <v>42</v>
      </c>
      <c r="AR153" s="8"/>
      <c r="AS153" s="49">
        <v>40</v>
      </c>
      <c r="AT153" s="83">
        <f t="shared" si="82"/>
        <v>7</v>
      </c>
      <c r="AU153" s="15">
        <f t="shared" si="79"/>
        <v>10.42</v>
      </c>
      <c r="AV153" s="52">
        <v>139</v>
      </c>
      <c r="AW153" s="16">
        <f t="shared" si="74"/>
        <v>2.6694833877472634E-2</v>
      </c>
      <c r="AX153" s="17">
        <f>IF(AND(AS153&lt;&gt;"", AV153&lt;&gt;""), SUM(AV$114:AV153), "")</f>
        <v>4734</v>
      </c>
      <c r="AY153" s="16">
        <f t="shared" si="75"/>
        <v>0.90916074515075862</v>
      </c>
      <c r="AZ153" s="14"/>
      <c r="BA153" s="27">
        <v>10</v>
      </c>
      <c r="BB153" s="20">
        <v>39</v>
      </c>
      <c r="BC153" s="8"/>
      <c r="BD153" s="49">
        <v>33</v>
      </c>
      <c r="BE153" s="83">
        <f t="shared" si="83"/>
        <v>9</v>
      </c>
      <c r="BF153" s="15">
        <f t="shared" si="80"/>
        <v>0.93</v>
      </c>
      <c r="BG153" s="52">
        <v>256</v>
      </c>
      <c r="BH153" s="16">
        <f t="shared" si="76"/>
        <v>2.7736846667244519E-3</v>
      </c>
      <c r="BI153" s="17">
        <f>IF(AND(BD153&lt;&gt;"", BG153&lt;&gt;""), SUM(BG$114:BG153), "")</f>
        <v>91563</v>
      </c>
      <c r="BJ153" s="16">
        <f t="shared" si="77"/>
        <v>0.99205816070035535</v>
      </c>
      <c r="BK153" s="14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</row>
    <row r="154" spans="1:180" ht="16" customHeight="1" x14ac:dyDescent="0.2">
      <c r="A154" s="1"/>
      <c r="B154" s="1"/>
      <c r="C154" s="1"/>
      <c r="D154" s="1"/>
      <c r="N154" s="1"/>
      <c r="O154" s="1"/>
      <c r="P154" s="1"/>
      <c r="Q154" s="1"/>
      <c r="R154" s="1"/>
      <c r="S154" s="1"/>
      <c r="T154" s="1"/>
      <c r="U154" s="1"/>
      <c r="W154" s="1"/>
      <c r="X154" s="1"/>
      <c r="Y154" s="1"/>
      <c r="Z154" s="1"/>
      <c r="AA154" s="1"/>
      <c r="AB154" s="1"/>
      <c r="AC154" s="1"/>
      <c r="AD154" s="1"/>
      <c r="AE154" s="19">
        <v>9</v>
      </c>
      <c r="AF154" s="20">
        <v>40</v>
      </c>
      <c r="AG154" s="8"/>
      <c r="AH154" s="49">
        <v>36</v>
      </c>
      <c r="AI154" s="83">
        <f t="shared" si="81"/>
        <v>8</v>
      </c>
      <c r="AJ154" s="15">
        <f t="shared" si="78"/>
        <v>3.21</v>
      </c>
      <c r="AK154" s="52">
        <v>459</v>
      </c>
      <c r="AL154" s="16">
        <f t="shared" si="72"/>
        <v>2.2171770843396773E-2</v>
      </c>
      <c r="AM154" s="17">
        <f>IF(AND(AH154&lt;&gt;"", AK154&lt;&gt;""), SUM(AK$114:AK154), "")</f>
        <v>20266</v>
      </c>
      <c r="AN154" s="16">
        <f t="shared" si="73"/>
        <v>0.97893923292435514</v>
      </c>
      <c r="AO154" s="14"/>
      <c r="AP154" s="27">
        <v>9</v>
      </c>
      <c r="AQ154" s="20">
        <v>41</v>
      </c>
      <c r="AR154" s="8"/>
      <c r="AS154" s="49">
        <v>39</v>
      </c>
      <c r="AT154" s="83">
        <f t="shared" si="82"/>
        <v>8</v>
      </c>
      <c r="AU154" s="15">
        <f t="shared" si="79"/>
        <v>7.27</v>
      </c>
      <c r="AV154" s="52">
        <v>189</v>
      </c>
      <c r="AW154" s="16">
        <f t="shared" si="74"/>
        <v>3.6297292106779337E-2</v>
      </c>
      <c r="AX154" s="17">
        <f>IF(AND(AS154&lt;&gt;"", AV154&lt;&gt;""), SUM(AV$114:AV154), "")</f>
        <v>4923</v>
      </c>
      <c r="AY154" s="16">
        <f t="shared" si="75"/>
        <v>0.94545803725753796</v>
      </c>
      <c r="AZ154" s="14"/>
      <c r="BA154" s="27">
        <v>9</v>
      </c>
      <c r="BB154" s="20">
        <v>38</v>
      </c>
      <c r="BC154" s="8"/>
      <c r="BD154" s="49">
        <v>32</v>
      </c>
      <c r="BE154" s="83">
        <f t="shared" si="83"/>
        <v>9</v>
      </c>
      <c r="BF154" s="15">
        <f t="shared" si="80"/>
        <v>0.61</v>
      </c>
      <c r="BG154" s="52">
        <v>347</v>
      </c>
      <c r="BH154" s="16">
        <f t="shared" si="76"/>
        <v>3.7596428880991594E-3</v>
      </c>
      <c r="BI154" s="17">
        <f>IF(AND(BD154&lt;&gt;"", BG154&lt;&gt;""), SUM(BG$114:BG154), "")</f>
        <v>91910</v>
      </c>
      <c r="BJ154" s="16">
        <f t="shared" si="77"/>
        <v>0.99581780358845451</v>
      </c>
      <c r="BK154" s="1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</row>
    <row r="155" spans="1:180" ht="16" customHeight="1" x14ac:dyDescent="0.2">
      <c r="A155" s="1"/>
      <c r="B155" s="1"/>
      <c r="C155" s="1"/>
      <c r="D155" s="1"/>
      <c r="N155" s="1"/>
      <c r="O155" s="1"/>
      <c r="P155" s="1"/>
      <c r="Q155" s="1"/>
      <c r="R155" s="1"/>
      <c r="S155" s="1"/>
      <c r="T155" s="1"/>
      <c r="U155" s="1"/>
      <c r="W155" s="1"/>
      <c r="X155" s="1"/>
      <c r="Y155" s="1"/>
      <c r="Z155" s="1"/>
      <c r="AA155" s="1"/>
      <c r="AB155" s="1"/>
      <c r="AC155" s="1"/>
      <c r="AD155" s="1"/>
      <c r="AE155" s="19">
        <v>8</v>
      </c>
      <c r="AF155" s="20">
        <v>39</v>
      </c>
      <c r="AG155" s="8"/>
      <c r="AH155" s="49">
        <v>35</v>
      </c>
      <c r="AI155" s="83">
        <f t="shared" si="81"/>
        <v>9</v>
      </c>
      <c r="AJ155" s="15">
        <f t="shared" si="78"/>
        <v>1.81</v>
      </c>
      <c r="AK155" s="52">
        <v>124</v>
      </c>
      <c r="AL155" s="16">
        <f t="shared" si="72"/>
        <v>5.9897594435320261E-3</v>
      </c>
      <c r="AM155" s="17">
        <f>IF(AND(AH155&lt;&gt;"", AK155&lt;&gt;""), SUM(AK$114:AK155), "")</f>
        <v>20390</v>
      </c>
      <c r="AN155" s="16">
        <f t="shared" si="73"/>
        <v>0.98492899236788711</v>
      </c>
      <c r="AO155" s="14"/>
      <c r="AP155" s="27">
        <v>8</v>
      </c>
      <c r="AQ155" s="20">
        <v>40</v>
      </c>
      <c r="AR155" s="8"/>
      <c r="AS155" s="49">
        <v>38</v>
      </c>
      <c r="AT155" s="83">
        <f t="shared" si="82"/>
        <v>8</v>
      </c>
      <c r="AU155" s="15">
        <f t="shared" si="79"/>
        <v>4.7699999999999996</v>
      </c>
      <c r="AV155" s="52">
        <v>71</v>
      </c>
      <c r="AW155" s="16">
        <f t="shared" si="74"/>
        <v>1.3635490685615518E-2</v>
      </c>
      <c r="AX155" s="17">
        <f>IF(AND(AS155&lt;&gt;"", AV155&lt;&gt;""), SUM(AV$114:AV155), "")</f>
        <v>4994</v>
      </c>
      <c r="AY155" s="16">
        <f t="shared" si="75"/>
        <v>0.9590935279431535</v>
      </c>
      <c r="AZ155" s="14"/>
      <c r="BA155" s="27">
        <v>8</v>
      </c>
      <c r="BB155" s="20">
        <v>37</v>
      </c>
      <c r="BC155" s="8"/>
      <c r="BD155" s="49">
        <v>30</v>
      </c>
      <c r="BE155" s="83">
        <f t="shared" si="83"/>
        <v>9</v>
      </c>
      <c r="BF155" s="15">
        <f t="shared" si="80"/>
        <v>0.21</v>
      </c>
      <c r="BG155" s="52">
        <v>386</v>
      </c>
      <c r="BH155" s="16">
        <f t="shared" si="76"/>
        <v>4.1821964115454626E-3</v>
      </c>
      <c r="BI155" s="17">
        <f>IF(AND(BD155&lt;&gt;"", BG155&lt;&gt;""), SUM(BG$114:BG155), "")</f>
        <v>92296</v>
      </c>
      <c r="BJ155" s="16">
        <f t="shared" si="77"/>
        <v>1</v>
      </c>
      <c r="BK155" s="14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</row>
    <row r="156" spans="1:180" ht="16" customHeight="1" x14ac:dyDescent="0.2">
      <c r="A156" s="1"/>
      <c r="B156" s="1"/>
      <c r="C156" s="1"/>
      <c r="D156" s="1"/>
      <c r="N156" s="1"/>
      <c r="O156" s="1"/>
      <c r="P156" s="1"/>
      <c r="Q156" s="1"/>
      <c r="R156" s="1"/>
      <c r="S156" s="1"/>
      <c r="T156" s="1"/>
      <c r="U156" s="1"/>
      <c r="W156" s="1"/>
      <c r="X156" s="1"/>
      <c r="Y156" s="1"/>
      <c r="Z156" s="1"/>
      <c r="AA156" s="1"/>
      <c r="AB156" s="1"/>
      <c r="AC156" s="1"/>
      <c r="AD156" s="1"/>
      <c r="AE156" s="19">
        <v>7</v>
      </c>
      <c r="AF156" s="20">
        <v>38</v>
      </c>
      <c r="AG156" s="8"/>
      <c r="AH156" s="49">
        <v>34</v>
      </c>
      <c r="AI156" s="83">
        <f t="shared" si="81"/>
        <v>9</v>
      </c>
      <c r="AJ156" s="15">
        <f t="shared" si="78"/>
        <v>1.28</v>
      </c>
      <c r="AK156" s="52">
        <v>94</v>
      </c>
      <c r="AL156" s="16">
        <f t="shared" si="72"/>
        <v>4.5406240942904071E-3</v>
      </c>
      <c r="AM156" s="17">
        <f>IF(AND(AH156&lt;&gt;"", AK156&lt;&gt;""), SUM(AK$114:AK156), "")</f>
        <v>20484</v>
      </c>
      <c r="AN156" s="16">
        <f t="shared" si="73"/>
        <v>0.98946961646217757</v>
      </c>
      <c r="AO156" s="14"/>
      <c r="AP156" s="27">
        <v>7</v>
      </c>
      <c r="AQ156" s="20">
        <v>39</v>
      </c>
      <c r="AR156" s="8"/>
      <c r="AS156" s="49">
        <v>37</v>
      </c>
      <c r="AT156" s="83">
        <f t="shared" si="82"/>
        <v>8</v>
      </c>
      <c r="AU156" s="15">
        <f t="shared" si="79"/>
        <v>3.26</v>
      </c>
      <c r="AV156" s="52">
        <v>86</v>
      </c>
      <c r="AW156" s="16">
        <f t="shared" si="74"/>
        <v>1.6516228154407529E-2</v>
      </c>
      <c r="AX156" s="17">
        <f>IF(AND(AS156&lt;&gt;"", AV156&lt;&gt;""), SUM(AV$114:AV156), "")</f>
        <v>5080</v>
      </c>
      <c r="AY156" s="16">
        <f t="shared" si="75"/>
        <v>0.97560975609756095</v>
      </c>
      <c r="AZ156" s="14"/>
      <c r="BA156" s="27">
        <v>7</v>
      </c>
      <c r="BB156" s="20">
        <v>36</v>
      </c>
      <c r="BC156" s="8"/>
      <c r="BD156" s="49"/>
      <c r="BE156" s="83" t="str">
        <f t="shared" si="83"/>
        <v/>
      </c>
      <c r="BF156" s="15" t="str">
        <f t="shared" si="80"/>
        <v/>
      </c>
      <c r="BG156" s="52"/>
      <c r="BH156" s="16" t="str">
        <f t="shared" si="76"/>
        <v/>
      </c>
      <c r="BI156" s="17" t="str">
        <f>IF(AND(BD156&lt;&gt;"", BG156&lt;&gt;""), SUM(BG$114:BG156), "")</f>
        <v/>
      </c>
      <c r="BJ156" s="16" t="str">
        <f t="shared" si="77"/>
        <v/>
      </c>
      <c r="BK156" s="14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</row>
    <row r="157" spans="1:180" ht="16" customHeight="1" x14ac:dyDescent="0.2">
      <c r="A157" s="1"/>
      <c r="B157" s="1"/>
      <c r="C157" s="1"/>
      <c r="D157" s="1"/>
      <c r="N157" s="1"/>
      <c r="O157" s="1"/>
      <c r="P157" s="1"/>
      <c r="Q157" s="1"/>
      <c r="R157" s="1"/>
      <c r="S157" s="1"/>
      <c r="T157" s="1"/>
      <c r="U157" s="1"/>
      <c r="W157" s="1"/>
      <c r="X157" s="1"/>
      <c r="Y157" s="1"/>
      <c r="Z157" s="1"/>
      <c r="AA157" s="1"/>
      <c r="AB157" s="1"/>
      <c r="AC157" s="1"/>
      <c r="AD157" s="1"/>
      <c r="AE157" s="19">
        <v>6</v>
      </c>
      <c r="AF157" s="20">
        <v>37</v>
      </c>
      <c r="AG157" s="8"/>
      <c r="AH157" s="49">
        <v>33</v>
      </c>
      <c r="AI157" s="83">
        <f t="shared" si="81"/>
        <v>9</v>
      </c>
      <c r="AJ157" s="15">
        <f t="shared" si="78"/>
        <v>0.78</v>
      </c>
      <c r="AK157" s="52">
        <v>114</v>
      </c>
      <c r="AL157" s="16">
        <f t="shared" si="72"/>
        <v>5.5067143271181531E-3</v>
      </c>
      <c r="AM157" s="17">
        <f>IF(AND(AH157&lt;&gt;"", AK157&lt;&gt;""), SUM(AK$114:AK157), "")</f>
        <v>20598</v>
      </c>
      <c r="AN157" s="16">
        <f t="shared" si="73"/>
        <v>0.9949763307892957</v>
      </c>
      <c r="AO157" s="14"/>
      <c r="AP157" s="27">
        <v>6</v>
      </c>
      <c r="AQ157" s="20">
        <v>38</v>
      </c>
      <c r="AR157" s="8"/>
      <c r="AS157" s="53">
        <v>36</v>
      </c>
      <c r="AT157" s="83">
        <f t="shared" si="82"/>
        <v>9</v>
      </c>
      <c r="AU157" s="15">
        <f t="shared" si="79"/>
        <v>2.04</v>
      </c>
      <c r="AV157" s="54">
        <v>42</v>
      </c>
      <c r="AW157" s="16">
        <f t="shared" si="74"/>
        <v>8.0660649126176303E-3</v>
      </c>
      <c r="AX157" s="17">
        <f>IF(AND(AS157&lt;&gt;"", AV157&lt;&gt;""), SUM(AV$114:AV157), "")</f>
        <v>5122</v>
      </c>
      <c r="AY157" s="16">
        <f t="shared" si="75"/>
        <v>0.98367582101017859</v>
      </c>
      <c r="AZ157" s="14"/>
      <c r="BA157" s="27">
        <v>6</v>
      </c>
      <c r="BB157" s="20">
        <v>35</v>
      </c>
      <c r="BC157" s="8"/>
      <c r="BD157" s="38"/>
      <c r="BE157" s="83" t="str">
        <f t="shared" si="83"/>
        <v/>
      </c>
      <c r="BF157" s="15" t="str">
        <f t="shared" si="80"/>
        <v/>
      </c>
      <c r="BG157" s="43"/>
      <c r="BH157" s="16" t="str">
        <f t="shared" si="76"/>
        <v/>
      </c>
      <c r="BI157" s="17" t="str">
        <f>IF(AND(BD157&lt;&gt;"", BG157&lt;&gt;""), SUM(BG$114:BG157), "")</f>
        <v/>
      </c>
      <c r="BJ157" s="16" t="str">
        <f t="shared" si="77"/>
        <v/>
      </c>
      <c r="BK157" s="14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</row>
    <row r="158" spans="1:180" ht="16" customHeight="1" x14ac:dyDescent="0.2">
      <c r="A158" s="1"/>
      <c r="B158" s="1"/>
      <c r="C158" s="1"/>
      <c r="D158" s="1"/>
      <c r="N158" s="1"/>
      <c r="O158" s="1"/>
      <c r="P158" s="1"/>
      <c r="Q158" s="1"/>
      <c r="R158" s="1"/>
      <c r="S158" s="1"/>
      <c r="T158" s="1"/>
      <c r="U158" s="1"/>
      <c r="W158" s="1"/>
      <c r="X158" s="1"/>
      <c r="Y158" s="1"/>
      <c r="Z158" s="1"/>
      <c r="AA158" s="1"/>
      <c r="AB158" s="1"/>
      <c r="AC158" s="1"/>
      <c r="AD158" s="1"/>
      <c r="AE158" s="19">
        <v>5</v>
      </c>
      <c r="AF158" s="20">
        <v>36</v>
      </c>
      <c r="AG158" s="8"/>
      <c r="AH158" s="49">
        <v>32</v>
      </c>
      <c r="AI158" s="83">
        <f t="shared" si="81"/>
        <v>9</v>
      </c>
      <c r="AJ158" s="15">
        <f t="shared" si="78"/>
        <v>0.25</v>
      </c>
      <c r="AK158" s="52">
        <v>104</v>
      </c>
      <c r="AL158" s="16">
        <f t="shared" si="72"/>
        <v>5.0236692107042801E-3</v>
      </c>
      <c r="AM158" s="17">
        <f>IF(AND(AH158&lt;&gt;"", AK158&lt;&gt;""), SUM(AK$114:AK158), "")</f>
        <v>20702</v>
      </c>
      <c r="AN158" s="16">
        <f t="shared" si="73"/>
        <v>1</v>
      </c>
      <c r="AO158" s="14"/>
      <c r="AP158" s="27">
        <v>5</v>
      </c>
      <c r="AQ158" s="20">
        <v>37</v>
      </c>
      <c r="AR158" s="8"/>
      <c r="AS158" s="53">
        <v>35</v>
      </c>
      <c r="AT158" s="83">
        <f t="shared" si="82"/>
        <v>9</v>
      </c>
      <c r="AU158" s="15">
        <f t="shared" si="79"/>
        <v>1.45</v>
      </c>
      <c r="AV158" s="54">
        <v>19</v>
      </c>
      <c r="AW158" s="16">
        <f t="shared" si="74"/>
        <v>3.6489341271365469E-3</v>
      </c>
      <c r="AX158" s="17">
        <f>IF(AND(AS158&lt;&gt;"", AV158&lt;&gt;""), SUM(AV$114:AV158), "")</f>
        <v>5141</v>
      </c>
      <c r="AY158" s="16">
        <f t="shared" si="75"/>
        <v>0.9873247551373151</v>
      </c>
      <c r="AZ158" s="14"/>
      <c r="BA158" s="27">
        <v>5</v>
      </c>
      <c r="BB158" s="20">
        <v>35</v>
      </c>
      <c r="BC158" s="8"/>
      <c r="BD158" s="38"/>
      <c r="BE158" s="83" t="str">
        <f t="shared" si="83"/>
        <v/>
      </c>
      <c r="BF158" s="15" t="str">
        <f t="shared" si="80"/>
        <v/>
      </c>
      <c r="BG158" s="43"/>
      <c r="BH158" s="16" t="str">
        <f t="shared" si="76"/>
        <v/>
      </c>
      <c r="BI158" s="17" t="str">
        <f>IF(AND(BD158&lt;&gt;"", BG158&lt;&gt;""), SUM(BG$114:BG158), "")</f>
        <v/>
      </c>
      <c r="BJ158" s="16" t="str">
        <f t="shared" si="77"/>
        <v/>
      </c>
      <c r="BK158" s="9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</row>
    <row r="159" spans="1:180" ht="16" customHeight="1" x14ac:dyDescent="0.2">
      <c r="AE159" s="19">
        <v>4</v>
      </c>
      <c r="AF159" s="20">
        <v>35</v>
      </c>
      <c r="AG159" s="8"/>
      <c r="AH159" s="38"/>
      <c r="AI159" s="83" t="str">
        <f t="shared" si="81"/>
        <v/>
      </c>
      <c r="AJ159" s="15" t="str">
        <f t="shared" si="78"/>
        <v/>
      </c>
      <c r="AK159" s="43"/>
      <c r="AL159" s="16" t="str">
        <f t="shared" si="72"/>
        <v/>
      </c>
      <c r="AM159" s="17" t="str">
        <f>IF(AND(AH159&lt;&gt;"", AK159&lt;&gt;""), SUM(AK$114:AK159), "")</f>
        <v/>
      </c>
      <c r="AN159" s="16" t="str">
        <f t="shared" si="73"/>
        <v/>
      </c>
      <c r="AO159" s="14"/>
      <c r="AP159" s="27">
        <v>4</v>
      </c>
      <c r="AQ159" s="20">
        <v>36</v>
      </c>
      <c r="AR159" s="8"/>
      <c r="AS159" s="53">
        <v>34</v>
      </c>
      <c r="AT159" s="83">
        <f t="shared" si="82"/>
        <v>9</v>
      </c>
      <c r="AU159" s="15">
        <f t="shared" si="79"/>
        <v>1.04</v>
      </c>
      <c r="AV159" s="54">
        <v>24</v>
      </c>
      <c r="AW159" s="16">
        <f t="shared" si="74"/>
        <v>4.6091799500672173E-3</v>
      </c>
      <c r="AX159" s="17">
        <f>IF(AND(AS159&lt;&gt;"", AV159&lt;&gt;""), SUM(AV$114:AV159), "")</f>
        <v>5165</v>
      </c>
      <c r="AY159" s="16">
        <f t="shared" si="75"/>
        <v>0.99193393508738237</v>
      </c>
      <c r="AZ159" s="14"/>
      <c r="BA159" s="27">
        <v>4</v>
      </c>
      <c r="BB159" s="20">
        <v>34</v>
      </c>
      <c r="BC159" s="8"/>
      <c r="BD159" s="38"/>
      <c r="BE159" s="83" t="str">
        <f t="shared" si="83"/>
        <v/>
      </c>
      <c r="BF159" s="15" t="str">
        <f t="shared" si="80"/>
        <v/>
      </c>
      <c r="BG159" s="43"/>
      <c r="BH159" s="16" t="str">
        <f t="shared" si="76"/>
        <v/>
      </c>
      <c r="BI159" s="17" t="str">
        <f>IF(AND(BD159&lt;&gt;"", BG159&lt;&gt;""), SUM(BG$114:BG159), "")</f>
        <v/>
      </c>
      <c r="BJ159" s="16" t="str">
        <f t="shared" si="77"/>
        <v/>
      </c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</row>
    <row r="160" spans="1:180" ht="16" customHeight="1" x14ac:dyDescent="0.2">
      <c r="AE160" s="19">
        <v>3</v>
      </c>
      <c r="AF160" s="20">
        <v>34</v>
      </c>
      <c r="AG160" s="8"/>
      <c r="AH160" s="38"/>
      <c r="AI160" s="83" t="str">
        <f t="shared" si="81"/>
        <v/>
      </c>
      <c r="AJ160" s="15" t="str">
        <f t="shared" si="78"/>
        <v/>
      </c>
      <c r="AK160" s="43"/>
      <c r="AL160" s="16" t="str">
        <f t="shared" si="72"/>
        <v/>
      </c>
      <c r="AM160" s="17" t="str">
        <f>IF(AND(AH160&lt;&gt;"", AK160&lt;&gt;""), SUM(AK$114:AK160), "")</f>
        <v/>
      </c>
      <c r="AN160" s="16" t="str">
        <f t="shared" si="73"/>
        <v/>
      </c>
      <c r="AO160" s="14"/>
      <c r="AP160" s="27">
        <v>3</v>
      </c>
      <c r="AQ160" s="20">
        <v>35</v>
      </c>
      <c r="AR160" s="8"/>
      <c r="AS160" s="53">
        <v>32</v>
      </c>
      <c r="AT160" s="83">
        <f t="shared" si="82"/>
        <v>9</v>
      </c>
      <c r="AU160" s="15">
        <f t="shared" si="79"/>
        <v>0.4</v>
      </c>
      <c r="AV160" s="54">
        <v>42</v>
      </c>
      <c r="AW160" s="16">
        <f t="shared" si="74"/>
        <v>8.0660649126176303E-3</v>
      </c>
      <c r="AX160" s="17">
        <f>IF(AND(AS160&lt;&gt;"", AV160&lt;&gt;""), SUM(AV$114:AV160), "")</f>
        <v>5207</v>
      </c>
      <c r="AY160" s="16">
        <f t="shared" si="75"/>
        <v>1</v>
      </c>
      <c r="AZ160" s="14"/>
      <c r="BA160" s="27">
        <v>3</v>
      </c>
      <c r="BB160" s="20">
        <v>33</v>
      </c>
      <c r="BC160" s="8"/>
      <c r="BD160" s="38"/>
      <c r="BE160" s="83" t="str">
        <f t="shared" si="83"/>
        <v/>
      </c>
      <c r="BF160" s="15" t="str">
        <f t="shared" si="80"/>
        <v/>
      </c>
      <c r="BG160" s="43"/>
      <c r="BH160" s="16" t="str">
        <f t="shared" si="76"/>
        <v/>
      </c>
      <c r="BI160" s="17" t="str">
        <f>IF(AND(BD160&lt;&gt;"", BG160&lt;&gt;""), SUM(BG$114:BG160), "")</f>
        <v/>
      </c>
      <c r="BJ160" s="16" t="str">
        <f t="shared" si="77"/>
        <v/>
      </c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</row>
    <row r="161" spans="31:180" ht="16" customHeight="1" x14ac:dyDescent="0.2">
      <c r="AE161" s="19">
        <v>2</v>
      </c>
      <c r="AF161" s="20">
        <v>33</v>
      </c>
      <c r="AG161" s="8"/>
      <c r="AH161" s="38"/>
      <c r="AI161" s="83" t="str">
        <f t="shared" si="81"/>
        <v/>
      </c>
      <c r="AJ161" s="15" t="str">
        <f t="shared" si="78"/>
        <v/>
      </c>
      <c r="AK161" s="43"/>
      <c r="AL161" s="16" t="str">
        <f t="shared" si="72"/>
        <v/>
      </c>
      <c r="AM161" s="17" t="str">
        <f>IF(AND(AH161&lt;&gt;"", AK161&lt;&gt;""), SUM(AK$114:AK161), "")</f>
        <v/>
      </c>
      <c r="AN161" s="16" t="str">
        <f t="shared" si="73"/>
        <v/>
      </c>
      <c r="AO161" s="14"/>
      <c r="AP161" s="27">
        <v>2</v>
      </c>
      <c r="AQ161" s="20">
        <v>34</v>
      </c>
      <c r="AR161" s="8"/>
      <c r="AS161" s="38"/>
      <c r="AT161" s="83" t="str">
        <f t="shared" si="82"/>
        <v/>
      </c>
      <c r="AU161" s="15" t="str">
        <f t="shared" si="79"/>
        <v/>
      </c>
      <c r="AV161" s="43"/>
      <c r="AW161" s="16" t="str">
        <f t="shared" si="74"/>
        <v/>
      </c>
      <c r="AX161" s="17" t="str">
        <f>IF(AND(AS161&lt;&gt;"", AV161&lt;&gt;""), SUM(AV$114:AV161), "")</f>
        <v/>
      </c>
      <c r="AY161" s="16" t="str">
        <f t="shared" si="75"/>
        <v/>
      </c>
      <c r="AZ161" s="14"/>
      <c r="BA161" s="27">
        <v>2</v>
      </c>
      <c r="BB161" s="20">
        <v>32</v>
      </c>
      <c r="BC161" s="8"/>
      <c r="BD161" s="38"/>
      <c r="BE161" s="83" t="str">
        <f t="shared" si="83"/>
        <v/>
      </c>
      <c r="BF161" s="15" t="str">
        <f t="shared" si="80"/>
        <v/>
      </c>
      <c r="BG161" s="43"/>
      <c r="BH161" s="16" t="str">
        <f t="shared" si="76"/>
        <v/>
      </c>
      <c r="BI161" s="17" t="str">
        <f>IF(AND(BD161&lt;&gt;"", BG161&lt;&gt;""), SUM(BG$114:BG161), "")</f>
        <v/>
      </c>
      <c r="BJ161" s="16" t="str">
        <f t="shared" si="77"/>
        <v/>
      </c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</row>
    <row r="162" spans="31:180" ht="16" customHeight="1" x14ac:dyDescent="0.2">
      <c r="AE162" s="19">
        <v>0</v>
      </c>
      <c r="AF162" s="20">
        <v>32</v>
      </c>
      <c r="AG162" s="8"/>
      <c r="AH162" s="38"/>
      <c r="AI162" s="83" t="str">
        <f t="shared" si="81"/>
        <v/>
      </c>
      <c r="AJ162" s="15" t="str">
        <f t="shared" si="78"/>
        <v/>
      </c>
      <c r="AK162" s="43"/>
      <c r="AL162" s="16" t="str">
        <f t="shared" si="72"/>
        <v/>
      </c>
      <c r="AM162" s="17" t="str">
        <f>IF(AND(AH162&lt;&gt;"", AK162&lt;&gt;""), SUM(AK$114:AK162), "")</f>
        <v/>
      </c>
      <c r="AN162" s="16" t="str">
        <f t="shared" si="73"/>
        <v/>
      </c>
      <c r="AO162" s="9"/>
      <c r="AP162" s="27">
        <v>0</v>
      </c>
      <c r="AQ162" s="20">
        <v>32</v>
      </c>
      <c r="AR162" s="8"/>
      <c r="AS162" s="38"/>
      <c r="AT162" s="83" t="str">
        <f t="shared" si="82"/>
        <v/>
      </c>
      <c r="AU162" s="15" t="str">
        <f t="shared" si="79"/>
        <v/>
      </c>
      <c r="AV162" s="43"/>
      <c r="AW162" s="16" t="str">
        <f t="shared" si="74"/>
        <v/>
      </c>
      <c r="AX162" s="17" t="str">
        <f>IF(AND(AS162&lt;&gt;"", AV162&lt;&gt;""), SUM(AV$114:AV162), "")</f>
        <v/>
      </c>
      <c r="AY162" s="16" t="str">
        <f t="shared" si="75"/>
        <v/>
      </c>
      <c r="AZ162" s="9"/>
      <c r="BA162" s="27">
        <v>0</v>
      </c>
      <c r="BB162" s="20">
        <v>30</v>
      </c>
      <c r="BC162" s="8"/>
      <c r="BD162" s="38"/>
      <c r="BE162" s="83" t="str">
        <f t="shared" si="83"/>
        <v/>
      </c>
      <c r="BF162" s="15" t="str">
        <f t="shared" si="80"/>
        <v/>
      </c>
      <c r="BG162" s="43"/>
      <c r="BH162" s="16" t="str">
        <f t="shared" si="76"/>
        <v/>
      </c>
      <c r="BI162" s="17" t="str">
        <f>IF(AND(BD162&lt;&gt;"", BG162&lt;&gt;""), SUM(BG$114:BG162), "")</f>
        <v/>
      </c>
      <c r="BJ162" s="16" t="str">
        <f t="shared" si="77"/>
        <v/>
      </c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</row>
  </sheetData>
  <mergeCells count="50">
    <mergeCell ref="A7:D7"/>
    <mergeCell ref="A10:A18"/>
    <mergeCell ref="A19:A26"/>
    <mergeCell ref="BW1:BZ1"/>
    <mergeCell ref="CH1:CK1"/>
    <mergeCell ref="B5:D5"/>
    <mergeCell ref="A3:A4"/>
    <mergeCell ref="C3:D3"/>
    <mergeCell ref="F3:G3"/>
    <mergeCell ref="I3:J3"/>
    <mergeCell ref="B4:D4"/>
    <mergeCell ref="F15:G15"/>
    <mergeCell ref="I15:J15"/>
    <mergeCell ref="CS1:CV1"/>
    <mergeCell ref="B2:D2"/>
    <mergeCell ref="A1:D1"/>
    <mergeCell ref="F1:M1"/>
    <mergeCell ref="O1:S1"/>
    <mergeCell ref="W1:AA1"/>
    <mergeCell ref="AE1:AH1"/>
    <mergeCell ref="AP1:AS1"/>
    <mergeCell ref="BA1:BD1"/>
    <mergeCell ref="BL1:BO1"/>
    <mergeCell ref="F27:G27"/>
    <mergeCell ref="I27:J27"/>
    <mergeCell ref="L27:M27"/>
    <mergeCell ref="F39:G39"/>
    <mergeCell ref="I39:J39"/>
    <mergeCell ref="L39:M39"/>
    <mergeCell ref="F51:G51"/>
    <mergeCell ref="I51:J51"/>
    <mergeCell ref="L51:M51"/>
    <mergeCell ref="F87:G87"/>
    <mergeCell ref="I87:J87"/>
    <mergeCell ref="F75:G75"/>
    <mergeCell ref="I75:J75"/>
    <mergeCell ref="AE56:AH56"/>
    <mergeCell ref="AP56:AS56"/>
    <mergeCell ref="BA56:BD56"/>
    <mergeCell ref="CS56:CV56"/>
    <mergeCell ref="F63:G63"/>
    <mergeCell ref="I63:J63"/>
    <mergeCell ref="BL56:BO56"/>
    <mergeCell ref="BW56:BZ56"/>
    <mergeCell ref="CH56:CK56"/>
    <mergeCell ref="F99:G99"/>
    <mergeCell ref="I99:J99"/>
    <mergeCell ref="AE111:AH111"/>
    <mergeCell ref="AP111:AS111"/>
    <mergeCell ref="BA111:BD111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Intermediate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2022-05-16T06:09:00Z</dcterms:created>
  <dcterms:modified xsi:type="dcterms:W3CDTF">2022-09-28T05:47:06Z</dcterms:modified>
</cp:coreProperties>
</file>